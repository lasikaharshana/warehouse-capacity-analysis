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asik\Documents\warehouse-capacity-analysis\excel\"/>
    </mc:Choice>
  </mc:AlternateContent>
  <xr:revisionPtr revIDLastSave="0" documentId="13_ncr:1_{9B5F3678-C036-4704-8C25-B9C06D62250C}" xr6:coauthVersionLast="47" xr6:coauthVersionMax="47" xr10:uidLastSave="{00000000-0000-0000-0000-000000000000}"/>
  <bookViews>
    <workbookView xWindow="-28898" yWindow="-1260" windowWidth="28996" windowHeight="15675" xr2:uid="{DC5D01AE-1B89-4C51-832E-78AA757E2328}"/>
  </bookViews>
  <sheets>
    <sheet name="Dashboard" sheetId="1" r:id="rId1"/>
    <sheet name="SKU Lookup" sheetId="2" r:id="rId2"/>
    <sheet name="Rack Scenario" sheetId="3" r:id="rId3"/>
    <sheet name="Cycle Count" sheetId="4" r:id="rId4"/>
    <sheet name="About" sheetId="8" r:id="rId5"/>
    <sheet name="SKU Data" sheetId="5" r:id="rId6"/>
    <sheet name="Stock Data" sheetId="6" r:id="rId7"/>
    <sheet name="Notes" sheetId="7" r:id="rId8"/>
  </sheets>
  <definedNames>
    <definedName name="_xlnm._FilterDatabase" localSheetId="7" hidden="1">Notes!$O$1:$P$14</definedName>
    <definedName name="critPrincipal">Notes!$J$2</definedName>
    <definedName name="critStorage">Notes!$J$1</definedName>
    <definedName name="critVelocity">Notes!$J$3</definedName>
    <definedName name="ExternalData_1" localSheetId="5" hidden="1">'SKU Data'!$A$1:$AE$589</definedName>
    <definedName name="ExternalData_1" localSheetId="6" hidden="1">'Stock Data'!$A$1:$AG$1235</definedName>
    <definedName name="PrincipalList">_xlfn.ANCHORARRAY(Notes!$F$2)</definedName>
    <definedName name="SKUList">tblSKU[sku]</definedName>
    <definedName name="SnapshotDate">Notes!$B$1</definedName>
    <definedName name="StorageList">Notes!$D$2:$D$5</definedName>
    <definedName name="VelocityList">Notes!$H$2:$H$6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2" i="5" l="1"/>
  <c r="AF3" i="5"/>
  <c r="AF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70" i="5"/>
  <c r="AF71" i="5"/>
  <c r="AF72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F89" i="5"/>
  <c r="AF90" i="5"/>
  <c r="AF91" i="5"/>
  <c r="AF92" i="5"/>
  <c r="AF93" i="5"/>
  <c r="AF94" i="5"/>
  <c r="AF95" i="5"/>
  <c r="AF96" i="5"/>
  <c r="AF97" i="5"/>
  <c r="AF98" i="5"/>
  <c r="AF99" i="5"/>
  <c r="AF100" i="5"/>
  <c r="AF101" i="5"/>
  <c r="AF102" i="5"/>
  <c r="AF103" i="5"/>
  <c r="AF104" i="5"/>
  <c r="AF105" i="5"/>
  <c r="AF106" i="5"/>
  <c r="AF107" i="5"/>
  <c r="AF108" i="5"/>
  <c r="AF109" i="5"/>
  <c r="AF110" i="5"/>
  <c r="AF111" i="5"/>
  <c r="AF112" i="5"/>
  <c r="AF113" i="5"/>
  <c r="AF114" i="5"/>
  <c r="AF115" i="5"/>
  <c r="AF116" i="5"/>
  <c r="AF117" i="5"/>
  <c r="AF118" i="5"/>
  <c r="AF119" i="5"/>
  <c r="AF120" i="5"/>
  <c r="AF121" i="5"/>
  <c r="AF122" i="5"/>
  <c r="AF123" i="5"/>
  <c r="AF124" i="5"/>
  <c r="AF125" i="5"/>
  <c r="AF126" i="5"/>
  <c r="AF127" i="5"/>
  <c r="AF128" i="5"/>
  <c r="AF129" i="5"/>
  <c r="AF130" i="5"/>
  <c r="AF131" i="5"/>
  <c r="AF132" i="5"/>
  <c r="AF133" i="5"/>
  <c r="AF134" i="5"/>
  <c r="AF135" i="5"/>
  <c r="AF136" i="5"/>
  <c r="AF137" i="5"/>
  <c r="AF138" i="5"/>
  <c r="AF139" i="5"/>
  <c r="AF140" i="5"/>
  <c r="AF141" i="5"/>
  <c r="AF142" i="5"/>
  <c r="AF143" i="5"/>
  <c r="AF144" i="5"/>
  <c r="AF145" i="5"/>
  <c r="AF146" i="5"/>
  <c r="AF147" i="5"/>
  <c r="AF148" i="5"/>
  <c r="AF149" i="5"/>
  <c r="AF150" i="5"/>
  <c r="AF151" i="5"/>
  <c r="AF152" i="5"/>
  <c r="AF153" i="5"/>
  <c r="AF154" i="5"/>
  <c r="AF155" i="5"/>
  <c r="AF156" i="5"/>
  <c r="AF157" i="5"/>
  <c r="AF158" i="5"/>
  <c r="AF159" i="5"/>
  <c r="AF160" i="5"/>
  <c r="AF161" i="5"/>
  <c r="AF162" i="5"/>
  <c r="AF163" i="5"/>
  <c r="AF164" i="5"/>
  <c r="AF165" i="5"/>
  <c r="AF166" i="5"/>
  <c r="AF167" i="5"/>
  <c r="AF168" i="5"/>
  <c r="AF169" i="5"/>
  <c r="AF170" i="5"/>
  <c r="AF171" i="5"/>
  <c r="AF172" i="5"/>
  <c r="AF173" i="5"/>
  <c r="AF174" i="5"/>
  <c r="AF175" i="5"/>
  <c r="AF176" i="5"/>
  <c r="AF177" i="5"/>
  <c r="AF178" i="5"/>
  <c r="AF179" i="5"/>
  <c r="AF180" i="5"/>
  <c r="AF181" i="5"/>
  <c r="AF182" i="5"/>
  <c r="AF183" i="5"/>
  <c r="AF184" i="5"/>
  <c r="AF185" i="5"/>
  <c r="AF186" i="5"/>
  <c r="AF187" i="5"/>
  <c r="AF188" i="5"/>
  <c r="AF189" i="5"/>
  <c r="AF190" i="5"/>
  <c r="AF191" i="5"/>
  <c r="AF192" i="5"/>
  <c r="AF193" i="5"/>
  <c r="AF194" i="5"/>
  <c r="AF195" i="5"/>
  <c r="AF196" i="5"/>
  <c r="AF197" i="5"/>
  <c r="AF198" i="5"/>
  <c r="AF199" i="5"/>
  <c r="AF200" i="5"/>
  <c r="AF201" i="5"/>
  <c r="AF202" i="5"/>
  <c r="AF203" i="5"/>
  <c r="AF204" i="5"/>
  <c r="AF205" i="5"/>
  <c r="AF206" i="5"/>
  <c r="AF207" i="5"/>
  <c r="AF208" i="5"/>
  <c r="AF209" i="5"/>
  <c r="AF210" i="5"/>
  <c r="AF211" i="5"/>
  <c r="AF212" i="5"/>
  <c r="AF213" i="5"/>
  <c r="AF214" i="5"/>
  <c r="AF215" i="5"/>
  <c r="AF216" i="5"/>
  <c r="AF217" i="5"/>
  <c r="AF218" i="5"/>
  <c r="AF219" i="5"/>
  <c r="AF220" i="5"/>
  <c r="AF221" i="5"/>
  <c r="AF222" i="5"/>
  <c r="AF223" i="5"/>
  <c r="AF224" i="5"/>
  <c r="AF225" i="5"/>
  <c r="AF226" i="5"/>
  <c r="AF227" i="5"/>
  <c r="AF228" i="5"/>
  <c r="AF229" i="5"/>
  <c r="AF230" i="5"/>
  <c r="AF231" i="5"/>
  <c r="AF232" i="5"/>
  <c r="AF233" i="5"/>
  <c r="AF234" i="5"/>
  <c r="AF235" i="5"/>
  <c r="AF236" i="5"/>
  <c r="AF237" i="5"/>
  <c r="AF238" i="5"/>
  <c r="AF239" i="5"/>
  <c r="AF240" i="5"/>
  <c r="AF241" i="5"/>
  <c r="AF242" i="5"/>
  <c r="AF243" i="5"/>
  <c r="AF244" i="5"/>
  <c r="AF245" i="5"/>
  <c r="AF246" i="5"/>
  <c r="AF247" i="5"/>
  <c r="AF248" i="5"/>
  <c r="AF249" i="5"/>
  <c r="AF250" i="5"/>
  <c r="AF251" i="5"/>
  <c r="AF252" i="5"/>
  <c r="AF253" i="5"/>
  <c r="AF254" i="5"/>
  <c r="AF255" i="5"/>
  <c r="AF256" i="5"/>
  <c r="AF257" i="5"/>
  <c r="AF258" i="5"/>
  <c r="AF259" i="5"/>
  <c r="AF260" i="5"/>
  <c r="AF261" i="5"/>
  <c r="AF262" i="5"/>
  <c r="AF263" i="5"/>
  <c r="AF264" i="5"/>
  <c r="AF265" i="5"/>
  <c r="AF266" i="5"/>
  <c r="AF267" i="5"/>
  <c r="AF268" i="5"/>
  <c r="AF269" i="5"/>
  <c r="AF270" i="5"/>
  <c r="AF271" i="5"/>
  <c r="AF272" i="5"/>
  <c r="AF273" i="5"/>
  <c r="AF274" i="5"/>
  <c r="AF275" i="5"/>
  <c r="AF276" i="5"/>
  <c r="AF277" i="5"/>
  <c r="AF278" i="5"/>
  <c r="AF279" i="5"/>
  <c r="AF280" i="5"/>
  <c r="AF281" i="5"/>
  <c r="AF282" i="5"/>
  <c r="AF283" i="5"/>
  <c r="AF284" i="5"/>
  <c r="AF285" i="5"/>
  <c r="AF286" i="5"/>
  <c r="AF287" i="5"/>
  <c r="AF288" i="5"/>
  <c r="AF289" i="5"/>
  <c r="AF290" i="5"/>
  <c r="AF291" i="5"/>
  <c r="AF292" i="5"/>
  <c r="AF293" i="5"/>
  <c r="AF294" i="5"/>
  <c r="AF295" i="5"/>
  <c r="AF296" i="5"/>
  <c r="AF297" i="5"/>
  <c r="AF298" i="5"/>
  <c r="AF299" i="5"/>
  <c r="AF300" i="5"/>
  <c r="AF301" i="5"/>
  <c r="AF302" i="5"/>
  <c r="AF303" i="5"/>
  <c r="AF304" i="5"/>
  <c r="AF305" i="5"/>
  <c r="AF306" i="5"/>
  <c r="AF307" i="5"/>
  <c r="AF308" i="5"/>
  <c r="AF309" i="5"/>
  <c r="AF310" i="5"/>
  <c r="AF311" i="5"/>
  <c r="AF312" i="5"/>
  <c r="AF313" i="5"/>
  <c r="AF314" i="5"/>
  <c r="AF315" i="5"/>
  <c r="AF316" i="5"/>
  <c r="AF317" i="5"/>
  <c r="AF318" i="5"/>
  <c r="AF319" i="5"/>
  <c r="AF320" i="5"/>
  <c r="AF321" i="5"/>
  <c r="AF322" i="5"/>
  <c r="AF323" i="5"/>
  <c r="AF324" i="5"/>
  <c r="AF325" i="5"/>
  <c r="AF326" i="5"/>
  <c r="AF327" i="5"/>
  <c r="AF328" i="5"/>
  <c r="AF329" i="5"/>
  <c r="AF330" i="5"/>
  <c r="AF331" i="5"/>
  <c r="AF332" i="5"/>
  <c r="AF333" i="5"/>
  <c r="AF334" i="5"/>
  <c r="AF335" i="5"/>
  <c r="AF336" i="5"/>
  <c r="AF337" i="5"/>
  <c r="AF338" i="5"/>
  <c r="AF339" i="5"/>
  <c r="AF340" i="5"/>
  <c r="AF341" i="5"/>
  <c r="AF342" i="5"/>
  <c r="AF343" i="5"/>
  <c r="AF344" i="5"/>
  <c r="AF345" i="5"/>
  <c r="AF346" i="5"/>
  <c r="AF347" i="5"/>
  <c r="AF348" i="5"/>
  <c r="AF349" i="5"/>
  <c r="AF350" i="5"/>
  <c r="AF351" i="5"/>
  <c r="AF352" i="5"/>
  <c r="AF353" i="5"/>
  <c r="AF354" i="5"/>
  <c r="AF355" i="5"/>
  <c r="AF356" i="5"/>
  <c r="AF357" i="5"/>
  <c r="AF358" i="5"/>
  <c r="AF359" i="5"/>
  <c r="AF360" i="5"/>
  <c r="AF361" i="5"/>
  <c r="AF362" i="5"/>
  <c r="AF363" i="5"/>
  <c r="AF364" i="5"/>
  <c r="AF365" i="5"/>
  <c r="AF366" i="5"/>
  <c r="AF367" i="5"/>
  <c r="AF368" i="5"/>
  <c r="AF369" i="5"/>
  <c r="AF370" i="5"/>
  <c r="AF371" i="5"/>
  <c r="AF372" i="5"/>
  <c r="AF373" i="5"/>
  <c r="AF374" i="5"/>
  <c r="AF375" i="5"/>
  <c r="AF376" i="5"/>
  <c r="AF377" i="5"/>
  <c r="AF378" i="5"/>
  <c r="AF379" i="5"/>
  <c r="AF380" i="5"/>
  <c r="AF381" i="5"/>
  <c r="AF382" i="5"/>
  <c r="AF383" i="5"/>
  <c r="AF384" i="5"/>
  <c r="AF385" i="5"/>
  <c r="AF386" i="5"/>
  <c r="AF387" i="5"/>
  <c r="AF388" i="5"/>
  <c r="AF389" i="5"/>
  <c r="AF390" i="5"/>
  <c r="AF391" i="5"/>
  <c r="AF392" i="5"/>
  <c r="AF393" i="5"/>
  <c r="AF394" i="5"/>
  <c r="AF395" i="5"/>
  <c r="AF396" i="5"/>
  <c r="AF397" i="5"/>
  <c r="AF398" i="5"/>
  <c r="AF399" i="5"/>
  <c r="AF400" i="5"/>
  <c r="AF401" i="5"/>
  <c r="AF402" i="5"/>
  <c r="AF403" i="5"/>
  <c r="AF404" i="5"/>
  <c r="AF405" i="5"/>
  <c r="AF406" i="5"/>
  <c r="AF407" i="5"/>
  <c r="AF408" i="5"/>
  <c r="AF409" i="5"/>
  <c r="AF410" i="5"/>
  <c r="AF411" i="5"/>
  <c r="AF412" i="5"/>
  <c r="AF413" i="5"/>
  <c r="AF414" i="5"/>
  <c r="AF415" i="5"/>
  <c r="AF416" i="5"/>
  <c r="AF417" i="5"/>
  <c r="AF418" i="5"/>
  <c r="AF419" i="5"/>
  <c r="AF420" i="5"/>
  <c r="AF421" i="5"/>
  <c r="AF422" i="5"/>
  <c r="AF423" i="5"/>
  <c r="AF424" i="5"/>
  <c r="AF425" i="5"/>
  <c r="AF426" i="5"/>
  <c r="AF427" i="5"/>
  <c r="AF428" i="5"/>
  <c r="AF429" i="5"/>
  <c r="AF430" i="5"/>
  <c r="AF431" i="5"/>
  <c r="AF432" i="5"/>
  <c r="AF433" i="5"/>
  <c r="AF434" i="5"/>
  <c r="AF435" i="5"/>
  <c r="AF436" i="5"/>
  <c r="AF437" i="5"/>
  <c r="AF438" i="5"/>
  <c r="AF439" i="5"/>
  <c r="AF440" i="5"/>
  <c r="AF441" i="5"/>
  <c r="AF442" i="5"/>
  <c r="AF443" i="5"/>
  <c r="AF444" i="5"/>
  <c r="AF445" i="5"/>
  <c r="AF446" i="5"/>
  <c r="AF447" i="5"/>
  <c r="AF448" i="5"/>
  <c r="AF449" i="5"/>
  <c r="AF450" i="5"/>
  <c r="AF451" i="5"/>
  <c r="AF452" i="5"/>
  <c r="AF453" i="5"/>
  <c r="AF454" i="5"/>
  <c r="AF455" i="5"/>
  <c r="AF456" i="5"/>
  <c r="AF457" i="5"/>
  <c r="AF458" i="5"/>
  <c r="AF459" i="5"/>
  <c r="AF460" i="5"/>
  <c r="AF461" i="5"/>
  <c r="AF462" i="5"/>
  <c r="AF463" i="5"/>
  <c r="AF464" i="5"/>
  <c r="AF465" i="5"/>
  <c r="AF466" i="5"/>
  <c r="AF467" i="5"/>
  <c r="AF468" i="5"/>
  <c r="AF469" i="5"/>
  <c r="AF470" i="5"/>
  <c r="AF471" i="5"/>
  <c r="AF472" i="5"/>
  <c r="AF473" i="5"/>
  <c r="AF474" i="5"/>
  <c r="AF475" i="5"/>
  <c r="AF476" i="5"/>
  <c r="AF477" i="5"/>
  <c r="AF478" i="5"/>
  <c r="AF479" i="5"/>
  <c r="AF480" i="5"/>
  <c r="AF481" i="5"/>
  <c r="AF482" i="5"/>
  <c r="AF483" i="5"/>
  <c r="AF484" i="5"/>
  <c r="AF485" i="5"/>
  <c r="AF486" i="5"/>
  <c r="AF487" i="5"/>
  <c r="AF488" i="5"/>
  <c r="AF489" i="5"/>
  <c r="AF490" i="5"/>
  <c r="AF491" i="5"/>
  <c r="AF492" i="5"/>
  <c r="AF493" i="5"/>
  <c r="AF494" i="5"/>
  <c r="AF495" i="5"/>
  <c r="AF496" i="5"/>
  <c r="AF497" i="5"/>
  <c r="AF498" i="5"/>
  <c r="AF499" i="5"/>
  <c r="AF500" i="5"/>
  <c r="AF501" i="5"/>
  <c r="AF502" i="5"/>
  <c r="AF503" i="5"/>
  <c r="AF504" i="5"/>
  <c r="AF505" i="5"/>
  <c r="AF506" i="5"/>
  <c r="AF507" i="5"/>
  <c r="AF508" i="5"/>
  <c r="AF509" i="5"/>
  <c r="AF510" i="5"/>
  <c r="AF511" i="5"/>
  <c r="AF512" i="5"/>
  <c r="AF513" i="5"/>
  <c r="AF514" i="5"/>
  <c r="AF515" i="5"/>
  <c r="AF516" i="5"/>
  <c r="AF517" i="5"/>
  <c r="AF518" i="5"/>
  <c r="AF519" i="5"/>
  <c r="AF520" i="5"/>
  <c r="AF521" i="5"/>
  <c r="AF522" i="5"/>
  <c r="AF523" i="5"/>
  <c r="AF524" i="5"/>
  <c r="AF525" i="5"/>
  <c r="AF526" i="5"/>
  <c r="AF527" i="5"/>
  <c r="AF528" i="5"/>
  <c r="AF529" i="5"/>
  <c r="AF530" i="5"/>
  <c r="AF531" i="5"/>
  <c r="AF532" i="5"/>
  <c r="AF533" i="5"/>
  <c r="AF534" i="5"/>
  <c r="AF535" i="5"/>
  <c r="AF536" i="5"/>
  <c r="AF537" i="5"/>
  <c r="AF538" i="5"/>
  <c r="AF539" i="5"/>
  <c r="AF540" i="5"/>
  <c r="AF541" i="5"/>
  <c r="AF542" i="5"/>
  <c r="AF543" i="5"/>
  <c r="AF544" i="5"/>
  <c r="AF545" i="5"/>
  <c r="AF546" i="5"/>
  <c r="AF547" i="5"/>
  <c r="AF548" i="5"/>
  <c r="AF549" i="5"/>
  <c r="AF550" i="5"/>
  <c r="AF551" i="5"/>
  <c r="AF552" i="5"/>
  <c r="AF553" i="5"/>
  <c r="AF554" i="5"/>
  <c r="AF555" i="5"/>
  <c r="AF556" i="5"/>
  <c r="AF557" i="5"/>
  <c r="AF558" i="5"/>
  <c r="AF559" i="5"/>
  <c r="AF560" i="5"/>
  <c r="AF561" i="5"/>
  <c r="AF562" i="5"/>
  <c r="AF563" i="5"/>
  <c r="AF564" i="5"/>
  <c r="AF565" i="5"/>
  <c r="AF566" i="5"/>
  <c r="AF567" i="5"/>
  <c r="AF568" i="5"/>
  <c r="AF569" i="5"/>
  <c r="AF570" i="5"/>
  <c r="AF571" i="5"/>
  <c r="AF572" i="5"/>
  <c r="AF573" i="5"/>
  <c r="AF574" i="5"/>
  <c r="AF575" i="5"/>
  <c r="AF576" i="5"/>
  <c r="AF577" i="5"/>
  <c r="AF578" i="5"/>
  <c r="AF579" i="5"/>
  <c r="AF580" i="5"/>
  <c r="AF581" i="5"/>
  <c r="AF582" i="5"/>
  <c r="AF583" i="5"/>
  <c r="AF584" i="5"/>
  <c r="AF585" i="5"/>
  <c r="AF586" i="5"/>
  <c r="AF587" i="5"/>
  <c r="AF588" i="5"/>
  <c r="AF589" i="5"/>
  <c r="AG2" i="5" a="1"/>
  <c r="AG2" i="5" s="1"/>
  <c r="AG3" i="5" a="1"/>
  <c r="AG3" i="5" s="1"/>
  <c r="AG4" i="5" a="1"/>
  <c r="AG4" i="5" s="1"/>
  <c r="AG5" i="5" a="1"/>
  <c r="AG5" i="5" s="1"/>
  <c r="AG6" i="5" a="1"/>
  <c r="AG6" i="5" s="1"/>
  <c r="AG7" i="5" a="1"/>
  <c r="AG7" i="5" s="1"/>
  <c r="AG8" i="5" a="1"/>
  <c r="AG8" i="5" s="1"/>
  <c r="AG9" i="5" a="1"/>
  <c r="AG9" i="5" s="1"/>
  <c r="AG10" i="5" a="1"/>
  <c r="AG10" i="5" s="1"/>
  <c r="C27" i="2" s="1"/>
  <c r="AG11" i="5" a="1"/>
  <c r="AG11" i="5" s="1"/>
  <c r="AG12" i="5" a="1"/>
  <c r="AG12" i="5" s="1"/>
  <c r="AG13" i="5" a="1"/>
  <c r="AG13" i="5" s="1"/>
  <c r="AG14" i="5" a="1"/>
  <c r="AG14" i="5" s="1"/>
  <c r="AG15" i="5" a="1"/>
  <c r="AG15" i="5" s="1"/>
  <c r="AG16" i="5" a="1"/>
  <c r="AG16" i="5"/>
  <c r="AG17" i="5" a="1"/>
  <c r="AG17" i="5" s="1"/>
  <c r="AG18" i="5" a="1"/>
  <c r="AG18" i="5" s="1"/>
  <c r="AG19" i="5" a="1"/>
  <c r="AG19" i="5" s="1"/>
  <c r="AG20" i="5" a="1"/>
  <c r="AG20" i="5"/>
  <c r="AG21" i="5" a="1"/>
  <c r="AG21" i="5" s="1"/>
  <c r="AG22" i="5" a="1"/>
  <c r="AG22" i="5" s="1"/>
  <c r="AG23" i="5" a="1"/>
  <c r="AG23" i="5" s="1"/>
  <c r="AG24" i="5" a="1"/>
  <c r="AG24" i="5" s="1"/>
  <c r="AG25" i="5" a="1"/>
  <c r="AG25" i="5" s="1"/>
  <c r="AG26" i="5" a="1"/>
  <c r="AG26" i="5" s="1"/>
  <c r="AG27" i="5" a="1"/>
  <c r="AG27" i="5" s="1"/>
  <c r="AG28" i="5" a="1"/>
  <c r="AG28" i="5" s="1"/>
  <c r="AG29" i="5" a="1"/>
  <c r="AG29" i="5" s="1"/>
  <c r="AG30" i="5" a="1"/>
  <c r="AG30" i="5" s="1"/>
  <c r="AG31" i="5" a="1"/>
  <c r="AG31" i="5" s="1"/>
  <c r="AG32" i="5" a="1"/>
  <c r="AG32" i="5" s="1"/>
  <c r="AG33" i="5" a="1"/>
  <c r="AG33" i="5"/>
  <c r="AG34" i="5" a="1"/>
  <c r="AG34" i="5" s="1"/>
  <c r="AG35" i="5" a="1"/>
  <c r="AG35" i="5" s="1"/>
  <c r="AG36" i="5" a="1"/>
  <c r="AG36" i="5" s="1"/>
  <c r="AG37" i="5" a="1"/>
  <c r="AG37" i="5" s="1"/>
  <c r="AG38" i="5" a="1"/>
  <c r="AG38" i="5" s="1"/>
  <c r="AG39" i="5" a="1"/>
  <c r="AG39" i="5" s="1"/>
  <c r="AG40" i="5" a="1"/>
  <c r="AG40" i="5" s="1"/>
  <c r="AG41" i="5" a="1"/>
  <c r="AG41" i="5" s="1"/>
  <c r="AG42" i="5" a="1"/>
  <c r="AG42" i="5" s="1"/>
  <c r="AG43" i="5" a="1"/>
  <c r="AG43" i="5" s="1"/>
  <c r="AG44" i="5" a="1"/>
  <c r="AG44" i="5" s="1"/>
  <c r="AG45" i="5" a="1"/>
  <c r="AG45" i="5"/>
  <c r="AG46" i="5" a="1"/>
  <c r="AG46" i="5" s="1"/>
  <c r="AG47" i="5" a="1"/>
  <c r="AG47" i="5" s="1"/>
  <c r="AG48" i="5" a="1"/>
  <c r="AG48" i="5" s="1"/>
  <c r="AG49" i="5" a="1"/>
  <c r="AG49" i="5" s="1"/>
  <c r="AG50" i="5" a="1"/>
  <c r="AG50" i="5" s="1"/>
  <c r="AG51" i="5" a="1"/>
  <c r="AG51" i="5" s="1"/>
  <c r="AG52" i="5" a="1"/>
  <c r="AG52" i="5" s="1"/>
  <c r="AG53" i="5" a="1"/>
  <c r="AG53" i="5"/>
  <c r="AG54" i="5" a="1"/>
  <c r="AG54" i="5" s="1"/>
  <c r="AG55" i="5" a="1"/>
  <c r="AG55" i="5" s="1"/>
  <c r="AG56" i="5" a="1"/>
  <c r="AG56" i="5" s="1"/>
  <c r="AG57" i="5" a="1"/>
  <c r="AG57" i="5" s="1"/>
  <c r="AG58" i="5" a="1"/>
  <c r="AG58" i="5" s="1"/>
  <c r="AG59" i="5" a="1"/>
  <c r="AG59" i="5" s="1"/>
  <c r="AG60" i="5" a="1"/>
  <c r="AG60" i="5" s="1"/>
  <c r="AG61" i="5" a="1"/>
  <c r="AG61" i="5" s="1"/>
  <c r="AG62" i="5" a="1"/>
  <c r="AG62" i="5" s="1"/>
  <c r="AG63" i="5" a="1"/>
  <c r="AG63" i="5" s="1"/>
  <c r="AG64" i="5" a="1"/>
  <c r="AG64" i="5" s="1"/>
  <c r="AG65" i="5" a="1"/>
  <c r="AG65" i="5" s="1"/>
  <c r="AG66" i="5" a="1"/>
  <c r="AG66" i="5" s="1"/>
  <c r="AG67" i="5" a="1"/>
  <c r="AG67" i="5" s="1"/>
  <c r="AG68" i="5" a="1"/>
  <c r="AG68" i="5" s="1"/>
  <c r="AG69" i="5" a="1"/>
  <c r="AG69" i="5" s="1"/>
  <c r="AG70" i="5" a="1"/>
  <c r="AG70" i="5" s="1"/>
  <c r="AG71" i="5" a="1"/>
  <c r="AG71" i="5" s="1"/>
  <c r="AG72" i="5" a="1"/>
  <c r="AG72" i="5" s="1"/>
  <c r="AG73" i="5" a="1"/>
  <c r="AG73" i="5" s="1"/>
  <c r="AG74" i="5" a="1"/>
  <c r="AG74" i="5" s="1"/>
  <c r="AG75" i="5" a="1"/>
  <c r="AG75" i="5" s="1"/>
  <c r="AG76" i="5" a="1"/>
  <c r="AG76" i="5" s="1"/>
  <c r="AG77" i="5" a="1"/>
  <c r="AG77" i="5"/>
  <c r="AG78" i="5" a="1"/>
  <c r="AG78" i="5" s="1"/>
  <c r="AG79" i="5" a="1"/>
  <c r="AG79" i="5" s="1"/>
  <c r="AG80" i="5" a="1"/>
  <c r="AG80" i="5"/>
  <c r="AG81" i="5" a="1"/>
  <c r="AG81" i="5" s="1"/>
  <c r="AG82" i="5" a="1"/>
  <c r="AG82" i="5" s="1"/>
  <c r="AG83" i="5" a="1"/>
  <c r="AG83" i="5" s="1"/>
  <c r="AG84" i="5" a="1"/>
  <c r="AG84" i="5" s="1"/>
  <c r="AG85" i="5" a="1"/>
  <c r="AG85" i="5" s="1"/>
  <c r="AG86" i="5" a="1"/>
  <c r="AG86" i="5" s="1"/>
  <c r="AG87" i="5" a="1"/>
  <c r="AG87" i="5" s="1"/>
  <c r="AG88" i="5" a="1"/>
  <c r="AG88" i="5" s="1"/>
  <c r="AG89" i="5" a="1"/>
  <c r="AG89" i="5" s="1"/>
  <c r="AG90" i="5" a="1"/>
  <c r="AG90" i="5" s="1"/>
  <c r="AG91" i="5" a="1"/>
  <c r="AG91" i="5" s="1"/>
  <c r="AG92" i="5" a="1"/>
  <c r="AG92" i="5"/>
  <c r="AG93" i="5" a="1"/>
  <c r="AG93" i="5" s="1"/>
  <c r="AG94" i="5" a="1"/>
  <c r="AG94" i="5" s="1"/>
  <c r="AG95" i="5" a="1"/>
  <c r="AG95" i="5"/>
  <c r="AG96" i="5" a="1"/>
  <c r="AG96" i="5" s="1"/>
  <c r="AG97" i="5" a="1"/>
  <c r="AG97" i="5" s="1"/>
  <c r="AG98" i="5" a="1"/>
  <c r="AG98" i="5" s="1"/>
  <c r="AG99" i="5" a="1"/>
  <c r="AG99" i="5" s="1"/>
  <c r="AG100" i="5" a="1"/>
  <c r="AG100" i="5" s="1"/>
  <c r="AG101" i="5" a="1"/>
  <c r="AG101" i="5"/>
  <c r="AG102" i="5" a="1"/>
  <c r="AG102" i="5" s="1"/>
  <c r="AG103" i="5" a="1"/>
  <c r="AG103" i="5"/>
  <c r="AG104" i="5" a="1"/>
  <c r="AG104" i="5" s="1"/>
  <c r="AG105" i="5" a="1"/>
  <c r="AG105" i="5" s="1"/>
  <c r="AG106" i="5" a="1"/>
  <c r="AG106" i="5" s="1"/>
  <c r="AG107" i="5" a="1"/>
  <c r="AG107" i="5" s="1"/>
  <c r="AG108" i="5" a="1"/>
  <c r="AG108" i="5" s="1"/>
  <c r="AG109" i="5" a="1"/>
  <c r="AG109" i="5"/>
  <c r="AG110" i="5" a="1"/>
  <c r="AG110" i="5" s="1"/>
  <c r="AG111" i="5" a="1"/>
  <c r="AG111" i="5" s="1"/>
  <c r="AG112" i="5" a="1"/>
  <c r="AG112" i="5"/>
  <c r="AG113" i="5" a="1"/>
  <c r="AG113" i="5" s="1"/>
  <c r="AG114" i="5" a="1"/>
  <c r="AG114" i="5" s="1"/>
  <c r="AG115" i="5" a="1"/>
  <c r="AG115" i="5"/>
  <c r="AG116" i="5" a="1"/>
  <c r="AG116" i="5" s="1"/>
  <c r="AG117" i="5" a="1"/>
  <c r="AG117" i="5" s="1"/>
  <c r="AG118" i="5" a="1"/>
  <c r="AG118" i="5" s="1"/>
  <c r="AG119" i="5" a="1"/>
  <c r="AG119" i="5" s="1"/>
  <c r="AG120" i="5" a="1"/>
  <c r="AG120" i="5" s="1"/>
  <c r="AG121" i="5" a="1"/>
  <c r="AG121" i="5" s="1"/>
  <c r="AG122" i="5" a="1"/>
  <c r="AG122" i="5" s="1"/>
  <c r="AG123" i="5" a="1"/>
  <c r="AG123" i="5" s="1"/>
  <c r="AG124" i="5" a="1"/>
  <c r="AG124" i="5" s="1"/>
  <c r="AG125" i="5" a="1"/>
  <c r="AG125" i="5" s="1"/>
  <c r="AG126" i="5" a="1"/>
  <c r="AG126" i="5" s="1"/>
  <c r="AG127" i="5" a="1"/>
  <c r="AG127" i="5" s="1"/>
  <c r="AG128" i="5" a="1"/>
  <c r="AG128" i="5" s="1"/>
  <c r="AG129" i="5" a="1"/>
  <c r="AG129" i="5" s="1"/>
  <c r="AG130" i="5" a="1"/>
  <c r="AG130" i="5" s="1"/>
  <c r="AG131" i="5" a="1"/>
  <c r="AG131" i="5" s="1"/>
  <c r="AG132" i="5" a="1"/>
  <c r="AG132" i="5" s="1"/>
  <c r="AG133" i="5" a="1"/>
  <c r="AG133" i="5" s="1"/>
  <c r="AG134" i="5" a="1"/>
  <c r="AG134" i="5" s="1"/>
  <c r="AG135" i="5" a="1"/>
  <c r="AG135" i="5" s="1"/>
  <c r="AG136" i="5" a="1"/>
  <c r="AG136" i="5" s="1"/>
  <c r="AG137" i="5" a="1"/>
  <c r="AG137" i="5" s="1"/>
  <c r="AG138" i="5" a="1"/>
  <c r="AG138" i="5" s="1"/>
  <c r="AG139" i="5" a="1"/>
  <c r="AG139" i="5" s="1"/>
  <c r="AG140" i="5" a="1"/>
  <c r="AG140" i="5" s="1"/>
  <c r="AG141" i="5" a="1"/>
  <c r="AG141" i="5" s="1"/>
  <c r="AG142" i="5" a="1"/>
  <c r="AG142" i="5" s="1"/>
  <c r="AG143" i="5" a="1"/>
  <c r="AG143" i="5" s="1"/>
  <c r="AG144" i="5" a="1"/>
  <c r="AG144" i="5" s="1"/>
  <c r="AG145" i="5" a="1"/>
  <c r="AG145" i="5" s="1"/>
  <c r="AG146" i="5" a="1"/>
  <c r="AG146" i="5" s="1"/>
  <c r="AG147" i="5" a="1"/>
  <c r="AG147" i="5" s="1"/>
  <c r="AG148" i="5" a="1"/>
  <c r="AG148" i="5" s="1"/>
  <c r="AG149" i="5" a="1"/>
  <c r="AG149" i="5" s="1"/>
  <c r="AG150" i="5" a="1"/>
  <c r="AG150" i="5"/>
  <c r="AG151" i="5" a="1"/>
  <c r="AG151" i="5" s="1"/>
  <c r="AG152" i="5" a="1"/>
  <c r="AG152" i="5" s="1"/>
  <c r="AG153" i="5" a="1"/>
  <c r="AG153" i="5" s="1"/>
  <c r="AG154" i="5" a="1"/>
  <c r="AG154" i="5"/>
  <c r="AG155" i="5" a="1"/>
  <c r="AG155" i="5" s="1"/>
  <c r="AG156" i="5" a="1"/>
  <c r="AG156" i="5" s="1"/>
  <c r="AG157" i="5" a="1"/>
  <c r="AG157" i="5" s="1"/>
  <c r="AG158" i="5" a="1"/>
  <c r="AG158" i="5" s="1"/>
  <c r="AG159" i="5" a="1"/>
  <c r="AG159" i="5" s="1"/>
  <c r="AG160" i="5" a="1"/>
  <c r="AG160" i="5" s="1"/>
  <c r="AG161" i="5" a="1"/>
  <c r="AG161" i="5" s="1"/>
  <c r="AG162" i="5" a="1"/>
  <c r="AG162" i="5" s="1"/>
  <c r="AG163" i="5" a="1"/>
  <c r="AG163" i="5" s="1"/>
  <c r="AG164" i="5" a="1"/>
  <c r="AG164" i="5" s="1"/>
  <c r="AG165" i="5" a="1"/>
  <c r="AG165" i="5" s="1"/>
  <c r="AG166" i="5" a="1"/>
  <c r="AG166" i="5" s="1"/>
  <c r="AG167" i="5" a="1"/>
  <c r="AG167" i="5" s="1"/>
  <c r="AG168" i="5" a="1"/>
  <c r="AG168" i="5"/>
  <c r="AG169" i="5" a="1"/>
  <c r="AG169" i="5" s="1"/>
  <c r="AG170" i="5" a="1"/>
  <c r="AG170" i="5" s="1"/>
  <c r="AG171" i="5" a="1"/>
  <c r="AG171" i="5" s="1"/>
  <c r="AG172" i="5" a="1"/>
  <c r="AG172" i="5" s="1"/>
  <c r="AG173" i="5" a="1"/>
  <c r="AG173" i="5" s="1"/>
  <c r="AG174" i="5" a="1"/>
  <c r="AG174" i="5" s="1"/>
  <c r="AG175" i="5" a="1"/>
  <c r="AG175" i="5" s="1"/>
  <c r="AG176" i="5" a="1"/>
  <c r="AG176" i="5" s="1"/>
  <c r="AG177" i="5" a="1"/>
  <c r="AG177" i="5" s="1"/>
  <c r="AG178" i="5" a="1"/>
  <c r="AG178" i="5" s="1"/>
  <c r="AG179" i="5" a="1"/>
  <c r="AG179" i="5" s="1"/>
  <c r="AG180" i="5" a="1"/>
  <c r="AG180" i="5" s="1"/>
  <c r="AG181" i="5" a="1"/>
  <c r="AG181" i="5" s="1"/>
  <c r="AG182" i="5" a="1"/>
  <c r="AG182" i="5" s="1"/>
  <c r="AG183" i="5" a="1"/>
  <c r="AG183" i="5" s="1"/>
  <c r="AG184" i="5" a="1"/>
  <c r="AG184" i="5" s="1"/>
  <c r="AG185" i="5" a="1"/>
  <c r="AG185" i="5" s="1"/>
  <c r="AG186" i="5" a="1"/>
  <c r="AG186" i="5" s="1"/>
  <c r="AG187" i="5" a="1"/>
  <c r="AG187" i="5" s="1"/>
  <c r="AG188" i="5" a="1"/>
  <c r="AG188" i="5" s="1"/>
  <c r="AG189" i="5" a="1"/>
  <c r="AG189" i="5" s="1"/>
  <c r="AG190" i="5" a="1"/>
  <c r="AG190" i="5" s="1"/>
  <c r="AG191" i="5" a="1"/>
  <c r="AG191" i="5" s="1"/>
  <c r="AG192" i="5" a="1"/>
  <c r="AG192" i="5" s="1"/>
  <c r="AG193" i="5" a="1"/>
  <c r="AG193" i="5" s="1"/>
  <c r="AG194" i="5" a="1"/>
  <c r="AG194" i="5" s="1"/>
  <c r="AG195" i="5" a="1"/>
  <c r="AG195" i="5" s="1"/>
  <c r="AG196" i="5" a="1"/>
  <c r="AG196" i="5" s="1"/>
  <c r="AG197" i="5" a="1"/>
  <c r="AG197" i="5" s="1"/>
  <c r="AG198" i="5" a="1"/>
  <c r="AG198" i="5" s="1"/>
  <c r="AG199" i="5" a="1"/>
  <c r="AG199" i="5" s="1"/>
  <c r="AG200" i="5" a="1"/>
  <c r="AG200" i="5"/>
  <c r="AG201" i="5" a="1"/>
  <c r="AG201" i="5" s="1"/>
  <c r="AG202" i="5" a="1"/>
  <c r="AG202" i="5" s="1"/>
  <c r="AG203" i="5" a="1"/>
  <c r="AG203" i="5" s="1"/>
  <c r="AG204" i="5" a="1"/>
  <c r="AG204" i="5" s="1"/>
  <c r="AG205" i="5" a="1"/>
  <c r="AG205" i="5" s="1"/>
  <c r="AG206" i="5" a="1"/>
  <c r="AG206" i="5"/>
  <c r="AG207" i="5" a="1"/>
  <c r="AG207" i="5" s="1"/>
  <c r="AG208" i="5" a="1"/>
  <c r="AG208" i="5" s="1"/>
  <c r="AG209" i="5" a="1"/>
  <c r="AG209" i="5" s="1"/>
  <c r="AG210" i="5" a="1"/>
  <c r="AG210" i="5" s="1"/>
  <c r="AG211" i="5" a="1"/>
  <c r="AG211" i="5" s="1"/>
  <c r="AG212" i="5" a="1"/>
  <c r="AG212" i="5" s="1"/>
  <c r="AG213" i="5" a="1"/>
  <c r="AG213" i="5"/>
  <c r="AG214" i="5" a="1"/>
  <c r="AG214" i="5" s="1"/>
  <c r="AG215" i="5" a="1"/>
  <c r="AG215" i="5" s="1"/>
  <c r="AG216" i="5" a="1"/>
  <c r="AG216" i="5" s="1"/>
  <c r="AG217" i="5" a="1"/>
  <c r="AG217" i="5" s="1"/>
  <c r="AG218" i="5" a="1"/>
  <c r="AG218" i="5" s="1"/>
  <c r="AG219" i="5" a="1"/>
  <c r="AG219" i="5" s="1"/>
  <c r="AG220" i="5" a="1"/>
  <c r="AG220" i="5" s="1"/>
  <c r="AG221" i="5" a="1"/>
  <c r="AG221" i="5" s="1"/>
  <c r="AG222" i="5" a="1"/>
  <c r="AG222" i="5" s="1"/>
  <c r="AG223" i="5" a="1"/>
  <c r="AG223" i="5" s="1"/>
  <c r="AG224" i="5" a="1"/>
  <c r="AG224" i="5" s="1"/>
  <c r="AG225" i="5" a="1"/>
  <c r="AG225" i="5" s="1"/>
  <c r="AG226" i="5" a="1"/>
  <c r="AG226" i="5" s="1"/>
  <c r="AG227" i="5" a="1"/>
  <c r="AG227" i="5" s="1"/>
  <c r="AG228" i="5" a="1"/>
  <c r="AG228" i="5" s="1"/>
  <c r="AG229" i="5" a="1"/>
  <c r="AG229" i="5" s="1"/>
  <c r="AG230" i="5" a="1"/>
  <c r="AG230" i="5" s="1"/>
  <c r="AG231" i="5" a="1"/>
  <c r="AG231" i="5" s="1"/>
  <c r="AG232" i="5" a="1"/>
  <c r="AG232" i="5" s="1"/>
  <c r="AG233" i="5" a="1"/>
  <c r="AG233" i="5" s="1"/>
  <c r="AG234" i="5" a="1"/>
  <c r="AG234" i="5" s="1"/>
  <c r="AG235" i="5" a="1"/>
  <c r="AG235" i="5" s="1"/>
  <c r="AG236" i="5" a="1"/>
  <c r="AG236" i="5" s="1"/>
  <c r="AG237" i="5" a="1"/>
  <c r="AG237" i="5" s="1"/>
  <c r="AG238" i="5" a="1"/>
  <c r="AG238" i="5" s="1"/>
  <c r="AG239" i="5" a="1"/>
  <c r="AG239" i="5" s="1"/>
  <c r="AG240" i="5" a="1"/>
  <c r="AG240" i="5" s="1"/>
  <c r="AG241" i="5" a="1"/>
  <c r="AG241" i="5" s="1"/>
  <c r="AG242" i="5" a="1"/>
  <c r="AG242" i="5" s="1"/>
  <c r="AG243" i="5" a="1"/>
  <c r="AG243" i="5" s="1"/>
  <c r="AG244" i="5" a="1"/>
  <c r="AG244" i="5" s="1"/>
  <c r="AG245" i="5" a="1"/>
  <c r="AG245" i="5" s="1"/>
  <c r="AG246" i="5" a="1"/>
  <c r="AG246" i="5" s="1"/>
  <c r="AG247" i="5" a="1"/>
  <c r="AG247" i="5" s="1"/>
  <c r="AG248" i="5" a="1"/>
  <c r="AG248" i="5" s="1"/>
  <c r="AG249" i="5" a="1"/>
  <c r="AG249" i="5" s="1"/>
  <c r="AG250" i="5" a="1"/>
  <c r="AG250" i="5" s="1"/>
  <c r="AG251" i="5" a="1"/>
  <c r="AG251" i="5" s="1"/>
  <c r="AG252" i="5" a="1"/>
  <c r="AG252" i="5" s="1"/>
  <c r="AG253" i="5" a="1"/>
  <c r="AG253" i="5" s="1"/>
  <c r="AG254" i="5" a="1"/>
  <c r="AG254" i="5" s="1"/>
  <c r="AG255" i="5" a="1"/>
  <c r="AG255" i="5" s="1"/>
  <c r="AG256" i="5" a="1"/>
  <c r="AG256" i="5" s="1"/>
  <c r="AG257" i="5" a="1"/>
  <c r="AG257" i="5" s="1"/>
  <c r="AG258" i="5" a="1"/>
  <c r="AG258" i="5" s="1"/>
  <c r="AG259" i="5" a="1"/>
  <c r="AG259" i="5" s="1"/>
  <c r="AG260" i="5" a="1"/>
  <c r="AG260" i="5" s="1"/>
  <c r="AG261" i="5" a="1"/>
  <c r="AG261" i="5" s="1"/>
  <c r="AG262" i="5" a="1"/>
  <c r="AG262" i="5" s="1"/>
  <c r="AG263" i="5" a="1"/>
  <c r="AG263" i="5" s="1"/>
  <c r="AG264" i="5" a="1"/>
  <c r="AG264" i="5" s="1"/>
  <c r="AG265" i="5" a="1"/>
  <c r="AG265" i="5" s="1"/>
  <c r="AG266" i="5" a="1"/>
  <c r="AG266" i="5" s="1"/>
  <c r="AG267" i="5" a="1"/>
  <c r="AG267" i="5" s="1"/>
  <c r="AG268" i="5" a="1"/>
  <c r="AG268" i="5" s="1"/>
  <c r="AG269" i="5" a="1"/>
  <c r="AG269" i="5" s="1"/>
  <c r="AG270" i="5" a="1"/>
  <c r="AG270" i="5" s="1"/>
  <c r="AG271" i="5" a="1"/>
  <c r="AG271" i="5" s="1"/>
  <c r="AG272" i="5" a="1"/>
  <c r="AG272" i="5" s="1"/>
  <c r="AG273" i="5" a="1"/>
  <c r="AG273" i="5" s="1"/>
  <c r="AG274" i="5" a="1"/>
  <c r="AG274" i="5" s="1"/>
  <c r="AG275" i="5" a="1"/>
  <c r="AG275" i="5" s="1"/>
  <c r="AG276" i="5" a="1"/>
  <c r="AG276" i="5" s="1"/>
  <c r="AG277" i="5" a="1"/>
  <c r="AG277" i="5" s="1"/>
  <c r="AG278" i="5" a="1"/>
  <c r="AG278" i="5" s="1"/>
  <c r="AG279" i="5" a="1"/>
  <c r="AG279" i="5" s="1"/>
  <c r="AG280" i="5" a="1"/>
  <c r="AG280" i="5" s="1"/>
  <c r="AG281" i="5" a="1"/>
  <c r="AG281" i="5" s="1"/>
  <c r="AG282" i="5" a="1"/>
  <c r="AG282" i="5" s="1"/>
  <c r="AG283" i="5" a="1"/>
  <c r="AG283" i="5" s="1"/>
  <c r="AG284" i="5" a="1"/>
  <c r="AG284" i="5" s="1"/>
  <c r="AG285" i="5" a="1"/>
  <c r="AG285" i="5" s="1"/>
  <c r="AG286" i="5" a="1"/>
  <c r="AG286" i="5" s="1"/>
  <c r="AG287" i="5" a="1"/>
  <c r="AG287" i="5" s="1"/>
  <c r="AG288" i="5" a="1"/>
  <c r="AG288" i="5" s="1"/>
  <c r="AG289" i="5" a="1"/>
  <c r="AG289" i="5" s="1"/>
  <c r="AG290" i="5" a="1"/>
  <c r="AG290" i="5" s="1"/>
  <c r="AG291" i="5" a="1"/>
  <c r="AG291" i="5" s="1"/>
  <c r="AG292" i="5" a="1"/>
  <c r="AG292" i="5" s="1"/>
  <c r="AG293" i="5" a="1"/>
  <c r="AG293" i="5" s="1"/>
  <c r="AG294" i="5" a="1"/>
  <c r="AG294" i="5" s="1"/>
  <c r="AG295" i="5" a="1"/>
  <c r="AG295" i="5" s="1"/>
  <c r="AG296" i="5" a="1"/>
  <c r="AG296" i="5" s="1"/>
  <c r="AG297" i="5" a="1"/>
  <c r="AG297" i="5" s="1"/>
  <c r="AG298" i="5" a="1"/>
  <c r="AG298" i="5" s="1"/>
  <c r="AG299" i="5" a="1"/>
  <c r="AG299" i="5" s="1"/>
  <c r="AG300" i="5" a="1"/>
  <c r="AG300" i="5" s="1"/>
  <c r="AG301" i="5" a="1"/>
  <c r="AG301" i="5" s="1"/>
  <c r="AG302" i="5" a="1"/>
  <c r="AG302" i="5" s="1"/>
  <c r="AG303" i="5" a="1"/>
  <c r="AG303" i="5" s="1"/>
  <c r="AG304" i="5" a="1"/>
  <c r="AG304" i="5" s="1"/>
  <c r="AG305" i="5" a="1"/>
  <c r="AG305" i="5" s="1"/>
  <c r="AG306" i="5" a="1"/>
  <c r="AG306" i="5" s="1"/>
  <c r="AG307" i="5" a="1"/>
  <c r="AG307" i="5" s="1"/>
  <c r="AG308" i="5" a="1"/>
  <c r="AG308" i="5"/>
  <c r="AG309" i="5" a="1"/>
  <c r="AG309" i="5" s="1"/>
  <c r="AG310" i="5" a="1"/>
  <c r="AG310" i="5" s="1"/>
  <c r="AG311" i="5" a="1"/>
  <c r="AG311" i="5" s="1"/>
  <c r="AG312" i="5" a="1"/>
  <c r="AG312" i="5" s="1"/>
  <c r="AG313" i="5" a="1"/>
  <c r="AG313" i="5" s="1"/>
  <c r="AG314" i="5" a="1"/>
  <c r="AG314" i="5" s="1"/>
  <c r="AG315" i="5" a="1"/>
  <c r="AG315" i="5" s="1"/>
  <c r="AG316" i="5" a="1"/>
  <c r="AG316" i="5" s="1"/>
  <c r="AG317" i="5" a="1"/>
  <c r="AG317" i="5" s="1"/>
  <c r="AG318" i="5" a="1"/>
  <c r="AG318" i="5" s="1"/>
  <c r="AG319" i="5" a="1"/>
  <c r="AG319" i="5" s="1"/>
  <c r="AG320" i="5" a="1"/>
  <c r="AG320" i="5" s="1"/>
  <c r="AG321" i="5" a="1"/>
  <c r="AG321" i="5"/>
  <c r="AG322" i="5" a="1"/>
  <c r="AG322" i="5" s="1"/>
  <c r="AG323" i="5" a="1"/>
  <c r="AG323" i="5" s="1"/>
  <c r="AG324" i="5" a="1"/>
  <c r="AG324" i="5" s="1"/>
  <c r="AG325" i="5" a="1"/>
  <c r="AG325" i="5" s="1"/>
  <c r="AG326" i="5" a="1"/>
  <c r="AG326" i="5" s="1"/>
  <c r="AG327" i="5" a="1"/>
  <c r="AG327" i="5" s="1"/>
  <c r="AG328" i="5" a="1"/>
  <c r="AG328" i="5" s="1"/>
  <c r="AG329" i="5" a="1"/>
  <c r="AG329" i="5" s="1"/>
  <c r="AG330" i="5" a="1"/>
  <c r="AG330" i="5" s="1"/>
  <c r="AG331" i="5" a="1"/>
  <c r="AG331" i="5" s="1"/>
  <c r="AG332" i="5" a="1"/>
  <c r="AG332" i="5" s="1"/>
  <c r="AG333" i="5" a="1"/>
  <c r="AG333" i="5" s="1"/>
  <c r="AG334" i="5" a="1"/>
  <c r="AG334" i="5" s="1"/>
  <c r="AG335" i="5" a="1"/>
  <c r="AG335" i="5" s="1"/>
  <c r="AG336" i="5" a="1"/>
  <c r="AG336" i="5" s="1"/>
  <c r="AG337" i="5" a="1"/>
  <c r="AG337" i="5" s="1"/>
  <c r="AG338" i="5" a="1"/>
  <c r="AG338" i="5" s="1"/>
  <c r="AG339" i="5" a="1"/>
  <c r="AG339" i="5" s="1"/>
  <c r="AG340" i="5" a="1"/>
  <c r="AG340" i="5" s="1"/>
  <c r="AG341" i="5" a="1"/>
  <c r="AG341" i="5" s="1"/>
  <c r="AG342" i="5" a="1"/>
  <c r="AG342" i="5" s="1"/>
  <c r="AG343" i="5" a="1"/>
  <c r="AG343" i="5" s="1"/>
  <c r="AG344" i="5" a="1"/>
  <c r="AG344" i="5" s="1"/>
  <c r="AG345" i="5" a="1"/>
  <c r="AG345" i="5" s="1"/>
  <c r="AG346" i="5" a="1"/>
  <c r="AG346" i="5" s="1"/>
  <c r="AG347" i="5" a="1"/>
  <c r="AG347" i="5" s="1"/>
  <c r="AG348" i="5" a="1"/>
  <c r="AG348" i="5" s="1"/>
  <c r="AG349" i="5" a="1"/>
  <c r="AG349" i="5" s="1"/>
  <c r="AG350" i="5" a="1"/>
  <c r="AG350" i="5" s="1"/>
  <c r="AG351" i="5" a="1"/>
  <c r="AG351" i="5" s="1"/>
  <c r="AG352" i="5" a="1"/>
  <c r="AG352" i="5" s="1"/>
  <c r="AG353" i="5" a="1"/>
  <c r="AG353" i="5"/>
  <c r="AG354" i="5" a="1"/>
  <c r="AG354" i="5" s="1"/>
  <c r="AG355" i="5" a="1"/>
  <c r="AG355" i="5" s="1"/>
  <c r="AG356" i="5" a="1"/>
  <c r="AG356" i="5" s="1"/>
  <c r="AG357" i="5" a="1"/>
  <c r="AG357" i="5" s="1"/>
  <c r="AG358" i="5" a="1"/>
  <c r="AG358" i="5" s="1"/>
  <c r="AG359" i="5" a="1"/>
  <c r="AG359" i="5" s="1"/>
  <c r="AG360" i="5" a="1"/>
  <c r="AG360" i="5" s="1"/>
  <c r="AG361" i="5" a="1"/>
  <c r="AG361" i="5" s="1"/>
  <c r="AG362" i="5" a="1"/>
  <c r="AG362" i="5" s="1"/>
  <c r="AG363" i="5" a="1"/>
  <c r="AG363" i="5" s="1"/>
  <c r="AG364" i="5" a="1"/>
  <c r="AG364" i="5" s="1"/>
  <c r="AG365" i="5" a="1"/>
  <c r="AG365" i="5" s="1"/>
  <c r="AG366" i="5" a="1"/>
  <c r="AG366" i="5" s="1"/>
  <c r="AG367" i="5" a="1"/>
  <c r="AG367" i="5" s="1"/>
  <c r="AG368" i="5" a="1"/>
  <c r="AG368" i="5" s="1"/>
  <c r="AG369" i="5" a="1"/>
  <c r="AG369" i="5" s="1"/>
  <c r="AG370" i="5" a="1"/>
  <c r="AG370" i="5" s="1"/>
  <c r="AG371" i="5" a="1"/>
  <c r="AG371" i="5" s="1"/>
  <c r="AG372" i="5" a="1"/>
  <c r="AG372" i="5" s="1"/>
  <c r="AG373" i="5" a="1"/>
  <c r="AG373" i="5" s="1"/>
  <c r="AG374" i="5" a="1"/>
  <c r="AG374" i="5" s="1"/>
  <c r="AG375" i="5" a="1"/>
  <c r="AG375" i="5" s="1"/>
  <c r="AG376" i="5" a="1"/>
  <c r="AG376" i="5" s="1"/>
  <c r="AG377" i="5" a="1"/>
  <c r="AG377" i="5" s="1"/>
  <c r="AG378" i="5" a="1"/>
  <c r="AG378" i="5" s="1"/>
  <c r="AG379" i="5" a="1"/>
  <c r="AG379" i="5" s="1"/>
  <c r="AG380" i="5" a="1"/>
  <c r="AG380" i="5" s="1"/>
  <c r="AG381" i="5" a="1"/>
  <c r="AG381" i="5" s="1"/>
  <c r="AG382" i="5" a="1"/>
  <c r="AG382" i="5" s="1"/>
  <c r="AG383" i="5" a="1"/>
  <c r="AG383" i="5" s="1"/>
  <c r="AG384" i="5" a="1"/>
  <c r="AG384" i="5" s="1"/>
  <c r="AG385" i="5" a="1"/>
  <c r="AG385" i="5" s="1"/>
  <c r="AG386" i="5" a="1"/>
  <c r="AG386" i="5" s="1"/>
  <c r="AG387" i="5" a="1"/>
  <c r="AG387" i="5" s="1"/>
  <c r="AG388" i="5" a="1"/>
  <c r="AG388" i="5" s="1"/>
  <c r="AG389" i="5" a="1"/>
  <c r="AG389" i="5" s="1"/>
  <c r="AG390" i="5" a="1"/>
  <c r="AG390" i="5" s="1"/>
  <c r="AG391" i="5" a="1"/>
  <c r="AG391" i="5" s="1"/>
  <c r="AG392" i="5" a="1"/>
  <c r="AG392" i="5" s="1"/>
  <c r="AG393" i="5" a="1"/>
  <c r="AG393" i="5" s="1"/>
  <c r="AG394" i="5" a="1"/>
  <c r="AG394" i="5" s="1"/>
  <c r="AG395" i="5" a="1"/>
  <c r="AG395" i="5" s="1"/>
  <c r="AG396" i="5" a="1"/>
  <c r="AG396" i="5" s="1"/>
  <c r="AG397" i="5" a="1"/>
  <c r="AG397" i="5" s="1"/>
  <c r="AG398" i="5" a="1"/>
  <c r="AG398" i="5" s="1"/>
  <c r="AG399" i="5" a="1"/>
  <c r="AG399" i="5" s="1"/>
  <c r="AG400" i="5" a="1"/>
  <c r="AG400" i="5" s="1"/>
  <c r="AG401" i="5" a="1"/>
  <c r="AG401" i="5" s="1"/>
  <c r="AG402" i="5" a="1"/>
  <c r="AG402" i="5" s="1"/>
  <c r="AG403" i="5" a="1"/>
  <c r="AG403" i="5" s="1"/>
  <c r="AG404" i="5" a="1"/>
  <c r="AG404" i="5" s="1"/>
  <c r="AG405" i="5" a="1"/>
  <c r="AG405" i="5" s="1"/>
  <c r="AG406" i="5" a="1"/>
  <c r="AG406" i="5" s="1"/>
  <c r="AG407" i="5" a="1"/>
  <c r="AG407" i="5" s="1"/>
  <c r="AG408" i="5" a="1"/>
  <c r="AG408" i="5" s="1"/>
  <c r="AG409" i="5" a="1"/>
  <c r="AG409" i="5" s="1"/>
  <c r="AG410" i="5" a="1"/>
  <c r="AG410" i="5" s="1"/>
  <c r="AG411" i="5" a="1"/>
  <c r="AG411" i="5" s="1"/>
  <c r="AG412" i="5" a="1"/>
  <c r="AG412" i="5" s="1"/>
  <c r="AG413" i="5" a="1"/>
  <c r="AG413" i="5" s="1"/>
  <c r="AG414" i="5" a="1"/>
  <c r="AG414" i="5" s="1"/>
  <c r="AG415" i="5" a="1"/>
  <c r="AG415" i="5" s="1"/>
  <c r="AG416" i="5" a="1"/>
  <c r="AG416" i="5" s="1"/>
  <c r="AG417" i="5" a="1"/>
  <c r="AG417" i="5" s="1"/>
  <c r="AG418" i="5" a="1"/>
  <c r="AG418" i="5" s="1"/>
  <c r="AG419" i="5" a="1"/>
  <c r="AG419" i="5" s="1"/>
  <c r="AG420" i="5" a="1"/>
  <c r="AG420" i="5" s="1"/>
  <c r="AG421" i="5" a="1"/>
  <c r="AG421" i="5" s="1"/>
  <c r="AG422" i="5" a="1"/>
  <c r="AG422" i="5" s="1"/>
  <c r="AG423" i="5" a="1"/>
  <c r="AG423" i="5" s="1"/>
  <c r="AG424" i="5" a="1"/>
  <c r="AG424" i="5" s="1"/>
  <c r="AG425" i="5" a="1"/>
  <c r="AG425" i="5" s="1"/>
  <c r="AG426" i="5" a="1"/>
  <c r="AG426" i="5" s="1"/>
  <c r="AG427" i="5" a="1"/>
  <c r="AG427" i="5" s="1"/>
  <c r="AG428" i="5" a="1"/>
  <c r="AG428" i="5" s="1"/>
  <c r="AG429" i="5" a="1"/>
  <c r="AG429" i="5" s="1"/>
  <c r="AG430" i="5" a="1"/>
  <c r="AG430" i="5" s="1"/>
  <c r="AG431" i="5" a="1"/>
  <c r="AG431" i="5" s="1"/>
  <c r="AG432" i="5" a="1"/>
  <c r="AG432" i="5" s="1"/>
  <c r="AG433" i="5" a="1"/>
  <c r="AG433" i="5" s="1"/>
  <c r="AG434" i="5" a="1"/>
  <c r="AG434" i="5" s="1"/>
  <c r="AG435" i="5" a="1"/>
  <c r="AG435" i="5" s="1"/>
  <c r="AG436" i="5" a="1"/>
  <c r="AG436" i="5" s="1"/>
  <c r="AG437" i="5" a="1"/>
  <c r="AG437" i="5" s="1"/>
  <c r="AG438" i="5" a="1"/>
  <c r="AG438" i="5" s="1"/>
  <c r="AG439" i="5" a="1"/>
  <c r="AG439" i="5" s="1"/>
  <c r="AG440" i="5" a="1"/>
  <c r="AG440" i="5" s="1"/>
  <c r="AG441" i="5" a="1"/>
  <c r="AG441" i="5" s="1"/>
  <c r="AG442" i="5" a="1"/>
  <c r="AG442" i="5" s="1"/>
  <c r="AG443" i="5" a="1"/>
  <c r="AG443" i="5" s="1"/>
  <c r="AG444" i="5" a="1"/>
  <c r="AG444" i="5" s="1"/>
  <c r="AG445" i="5" a="1"/>
  <c r="AG445" i="5" s="1"/>
  <c r="AG446" i="5" a="1"/>
  <c r="AG446" i="5" s="1"/>
  <c r="AG447" i="5" a="1"/>
  <c r="AG447" i="5" s="1"/>
  <c r="AG448" i="5" a="1"/>
  <c r="AG448" i="5" s="1"/>
  <c r="AG449" i="5" a="1"/>
  <c r="AG449" i="5" s="1"/>
  <c r="AG450" i="5" a="1"/>
  <c r="AG450" i="5" s="1"/>
  <c r="AG451" i="5" a="1"/>
  <c r="AG451" i="5" s="1"/>
  <c r="AG452" i="5" a="1"/>
  <c r="AG452" i="5" s="1"/>
  <c r="AG453" i="5" a="1"/>
  <c r="AG453" i="5" s="1"/>
  <c r="AG454" i="5" a="1"/>
  <c r="AG454" i="5" s="1"/>
  <c r="AG455" i="5" a="1"/>
  <c r="AG455" i="5" s="1"/>
  <c r="AG456" i="5" a="1"/>
  <c r="AG456" i="5" s="1"/>
  <c r="AG457" i="5" a="1"/>
  <c r="AG457" i="5" s="1"/>
  <c r="AG458" i="5" a="1"/>
  <c r="AG458" i="5" s="1"/>
  <c r="AG459" i="5" a="1"/>
  <c r="AG459" i="5" s="1"/>
  <c r="AG460" i="5" a="1"/>
  <c r="AG460" i="5" s="1"/>
  <c r="AG461" i="5" a="1"/>
  <c r="AG461" i="5" s="1"/>
  <c r="AG462" i="5" a="1"/>
  <c r="AG462" i="5" s="1"/>
  <c r="AG463" i="5" a="1"/>
  <c r="AG463" i="5" s="1"/>
  <c r="AG464" i="5" a="1"/>
  <c r="AG464" i="5" s="1"/>
  <c r="AG465" i="5" a="1"/>
  <c r="AG465" i="5" s="1"/>
  <c r="AG466" i="5" a="1"/>
  <c r="AG466" i="5" s="1"/>
  <c r="AG467" i="5" a="1"/>
  <c r="AG467" i="5" s="1"/>
  <c r="AG468" i="5" a="1"/>
  <c r="AG468" i="5" s="1"/>
  <c r="AG469" i="5" a="1"/>
  <c r="AG469" i="5" s="1"/>
  <c r="AG470" i="5" a="1"/>
  <c r="AG470" i="5" s="1"/>
  <c r="AG471" i="5" a="1"/>
  <c r="AG471" i="5" s="1"/>
  <c r="AG472" i="5" a="1"/>
  <c r="AG472" i="5" s="1"/>
  <c r="AG473" i="5" a="1"/>
  <c r="AG473" i="5" s="1"/>
  <c r="AG474" i="5" a="1"/>
  <c r="AG474" i="5" s="1"/>
  <c r="AG475" i="5" a="1"/>
  <c r="AG475" i="5" s="1"/>
  <c r="AG476" i="5" a="1"/>
  <c r="AG476" i="5" s="1"/>
  <c r="AG477" i="5" a="1"/>
  <c r="AG477" i="5" s="1"/>
  <c r="AG478" i="5" a="1"/>
  <c r="AG478" i="5" s="1"/>
  <c r="AG479" i="5" a="1"/>
  <c r="AG479" i="5" s="1"/>
  <c r="AG480" i="5" a="1"/>
  <c r="AG480" i="5" s="1"/>
  <c r="AG481" i="5" a="1"/>
  <c r="AG481" i="5" s="1"/>
  <c r="AG482" i="5" a="1"/>
  <c r="AG482" i="5" s="1"/>
  <c r="AG483" i="5" a="1"/>
  <c r="AG483" i="5" s="1"/>
  <c r="AG484" i="5" a="1"/>
  <c r="AG484" i="5" s="1"/>
  <c r="AG485" i="5" a="1"/>
  <c r="AG485" i="5" s="1"/>
  <c r="AG486" i="5" a="1"/>
  <c r="AG486" i="5" s="1"/>
  <c r="AG487" i="5" a="1"/>
  <c r="AG487" i="5" s="1"/>
  <c r="AG488" i="5" a="1"/>
  <c r="AG488" i="5" s="1"/>
  <c r="AG489" i="5" a="1"/>
  <c r="AG489" i="5" s="1"/>
  <c r="AG490" i="5" a="1"/>
  <c r="AG490" i="5" s="1"/>
  <c r="AG491" i="5" a="1"/>
  <c r="AG491" i="5" s="1"/>
  <c r="AG492" i="5" a="1"/>
  <c r="AG492" i="5" s="1"/>
  <c r="AG493" i="5" a="1"/>
  <c r="AG493" i="5" s="1"/>
  <c r="AG494" i="5" a="1"/>
  <c r="AG494" i="5" s="1"/>
  <c r="AG495" i="5" a="1"/>
  <c r="AG495" i="5" s="1"/>
  <c r="AG496" i="5" a="1"/>
  <c r="AG496" i="5" s="1"/>
  <c r="AG497" i="5" a="1"/>
  <c r="AG497" i="5" s="1"/>
  <c r="AG498" i="5" a="1"/>
  <c r="AG498" i="5" s="1"/>
  <c r="AG499" i="5" a="1"/>
  <c r="AG499" i="5" s="1"/>
  <c r="AG500" i="5" a="1"/>
  <c r="AG500" i="5" s="1"/>
  <c r="AG501" i="5" a="1"/>
  <c r="AG501" i="5" s="1"/>
  <c r="AG502" i="5" a="1"/>
  <c r="AG502" i="5" s="1"/>
  <c r="AG503" i="5" a="1"/>
  <c r="AG503" i="5" s="1"/>
  <c r="AG504" i="5" a="1"/>
  <c r="AG504" i="5"/>
  <c r="AG505" i="5" a="1"/>
  <c r="AG505" i="5" s="1"/>
  <c r="AG506" i="5" a="1"/>
  <c r="AG506" i="5" s="1"/>
  <c r="AG507" i="5" a="1"/>
  <c r="AG507" i="5" s="1"/>
  <c r="AG508" i="5" a="1"/>
  <c r="AG508" i="5" s="1"/>
  <c r="AG509" i="5" a="1"/>
  <c r="AG509" i="5" s="1"/>
  <c r="AG510" i="5" a="1"/>
  <c r="AG510" i="5" s="1"/>
  <c r="AG511" i="5" a="1"/>
  <c r="AG511" i="5" s="1"/>
  <c r="AG512" i="5" a="1"/>
  <c r="AG512" i="5" s="1"/>
  <c r="AG513" i="5" a="1"/>
  <c r="AG513" i="5" s="1"/>
  <c r="AG514" i="5" a="1"/>
  <c r="AG514" i="5" s="1"/>
  <c r="AG515" i="5" a="1"/>
  <c r="AG515" i="5" s="1"/>
  <c r="AG516" i="5" a="1"/>
  <c r="AG516" i="5" s="1"/>
  <c r="AG517" i="5" a="1"/>
  <c r="AG517" i="5" s="1"/>
  <c r="AG518" i="5" a="1"/>
  <c r="AG518" i="5" s="1"/>
  <c r="AG519" i="5" a="1"/>
  <c r="AG519" i="5" s="1"/>
  <c r="AG520" i="5" a="1"/>
  <c r="AG520" i="5" s="1"/>
  <c r="AG521" i="5" a="1"/>
  <c r="AG521" i="5" s="1"/>
  <c r="AG522" i="5" a="1"/>
  <c r="AG522" i="5" s="1"/>
  <c r="AG523" i="5" a="1"/>
  <c r="AG523" i="5" s="1"/>
  <c r="AG524" i="5" a="1"/>
  <c r="AG524" i="5" s="1"/>
  <c r="AG525" i="5" a="1"/>
  <c r="AG525" i="5" s="1"/>
  <c r="AG526" i="5" a="1"/>
  <c r="AG526" i="5" s="1"/>
  <c r="AG527" i="5" a="1"/>
  <c r="AG527" i="5" s="1"/>
  <c r="AG528" i="5" a="1"/>
  <c r="AG528" i="5" s="1"/>
  <c r="AG529" i="5" a="1"/>
  <c r="AG529" i="5" s="1"/>
  <c r="AG530" i="5" a="1"/>
  <c r="AG530" i="5" s="1"/>
  <c r="AG531" i="5" a="1"/>
  <c r="AG531" i="5" s="1"/>
  <c r="AG532" i="5" a="1"/>
  <c r="AG532" i="5" s="1"/>
  <c r="AG533" i="5" a="1"/>
  <c r="AG533" i="5" s="1"/>
  <c r="AG534" i="5" a="1"/>
  <c r="AG534" i="5" s="1"/>
  <c r="AG535" i="5" a="1"/>
  <c r="AG535" i="5" s="1"/>
  <c r="AG536" i="5" a="1"/>
  <c r="AG536" i="5" s="1"/>
  <c r="AG537" i="5" a="1"/>
  <c r="AG537" i="5" s="1"/>
  <c r="AG538" i="5" a="1"/>
  <c r="AG538" i="5" s="1"/>
  <c r="AG539" i="5" a="1"/>
  <c r="AG539" i="5" s="1"/>
  <c r="AG540" i="5" a="1"/>
  <c r="AG540" i="5" s="1"/>
  <c r="AG541" i="5" a="1"/>
  <c r="AG541" i="5" s="1"/>
  <c r="AG542" i="5" a="1"/>
  <c r="AG542" i="5" s="1"/>
  <c r="AG543" i="5" a="1"/>
  <c r="AG543" i="5" s="1"/>
  <c r="AG544" i="5" a="1"/>
  <c r="AG544" i="5" s="1"/>
  <c r="AG545" i="5" a="1"/>
  <c r="AG545" i="5" s="1"/>
  <c r="AG546" i="5" a="1"/>
  <c r="AG546" i="5" s="1"/>
  <c r="AG547" i="5" a="1"/>
  <c r="AG547" i="5" s="1"/>
  <c r="AG548" i="5" a="1"/>
  <c r="AG548" i="5" s="1"/>
  <c r="AG549" i="5" a="1"/>
  <c r="AG549" i="5" s="1"/>
  <c r="AG550" i="5" a="1"/>
  <c r="AG550" i="5" s="1"/>
  <c r="AG551" i="5" a="1"/>
  <c r="AG551" i="5" s="1"/>
  <c r="AG552" i="5" a="1"/>
  <c r="AG552" i="5" s="1"/>
  <c r="AG553" i="5" a="1"/>
  <c r="AG553" i="5" s="1"/>
  <c r="AG554" i="5" a="1"/>
  <c r="AG554" i="5" s="1"/>
  <c r="AG555" i="5" a="1"/>
  <c r="AG555" i="5" s="1"/>
  <c r="AG556" i="5" a="1"/>
  <c r="AG556" i="5" s="1"/>
  <c r="AG557" i="5" a="1"/>
  <c r="AG557" i="5" s="1"/>
  <c r="AG558" i="5" a="1"/>
  <c r="AG558" i="5" s="1"/>
  <c r="AG559" i="5" a="1"/>
  <c r="AG559" i="5" s="1"/>
  <c r="AG560" i="5" a="1"/>
  <c r="AG560" i="5" s="1"/>
  <c r="AG561" i="5" a="1"/>
  <c r="AG561" i="5" s="1"/>
  <c r="AG562" i="5" a="1"/>
  <c r="AG562" i="5" s="1"/>
  <c r="AG563" i="5" a="1"/>
  <c r="AG563" i="5" s="1"/>
  <c r="AG564" i="5" a="1"/>
  <c r="AG564" i="5" s="1"/>
  <c r="AG565" i="5" a="1"/>
  <c r="AG565" i="5" s="1"/>
  <c r="AG566" i="5" a="1"/>
  <c r="AG566" i="5" s="1"/>
  <c r="AG567" i="5" a="1"/>
  <c r="AG567" i="5" s="1"/>
  <c r="AG568" i="5" a="1"/>
  <c r="AG568" i="5" s="1"/>
  <c r="AG569" i="5" a="1"/>
  <c r="AG569" i="5" s="1"/>
  <c r="AG570" i="5" a="1"/>
  <c r="AG570" i="5" s="1"/>
  <c r="AG571" i="5" a="1"/>
  <c r="AG571" i="5" s="1"/>
  <c r="AG572" i="5" a="1"/>
  <c r="AG572" i="5" s="1"/>
  <c r="AG573" i="5" a="1"/>
  <c r="AG573" i="5" s="1"/>
  <c r="AG574" i="5" a="1"/>
  <c r="AG574" i="5" s="1"/>
  <c r="AG575" i="5" a="1"/>
  <c r="AG575" i="5" s="1"/>
  <c r="AG576" i="5" a="1"/>
  <c r="AG576" i="5" s="1"/>
  <c r="AG577" i="5" a="1"/>
  <c r="AG577" i="5" s="1"/>
  <c r="AG578" i="5" a="1"/>
  <c r="AG578" i="5" s="1"/>
  <c r="AG579" i="5" a="1"/>
  <c r="AG579" i="5" s="1"/>
  <c r="AG580" i="5" a="1"/>
  <c r="AG580" i="5" s="1"/>
  <c r="AG581" i="5" a="1"/>
  <c r="AG581" i="5" s="1"/>
  <c r="AG582" i="5" a="1"/>
  <c r="AG582" i="5" s="1"/>
  <c r="AG583" i="5" a="1"/>
  <c r="AG583" i="5" s="1"/>
  <c r="AG584" i="5" a="1"/>
  <c r="AG584" i="5" s="1"/>
  <c r="AG585" i="5" a="1"/>
  <c r="AG585" i="5" s="1"/>
  <c r="AG586" i="5" a="1"/>
  <c r="AG586" i="5" s="1"/>
  <c r="AG587" i="5" a="1"/>
  <c r="AG587" i="5" s="1"/>
  <c r="AG588" i="5" a="1"/>
  <c r="AG588" i="5" s="1"/>
  <c r="AG589" i="5" a="1"/>
  <c r="AG589" i="5" s="1"/>
  <c r="AH2" i="5"/>
  <c r="AH3" i="5"/>
  <c r="AH4" i="5"/>
  <c r="AH5" i="5"/>
  <c r="AH6" i="5"/>
  <c r="G9" i="4" s="1"/>
  <c r="AH7" i="5"/>
  <c r="AH8" i="5"/>
  <c r="AH9" i="5"/>
  <c r="AH10" i="5"/>
  <c r="C28" i="2" s="1"/>
  <c r="AH11" i="5"/>
  <c r="AH12" i="5"/>
  <c r="AH13" i="5"/>
  <c r="AH14" i="5"/>
  <c r="AH15" i="5"/>
  <c r="G10" i="4" s="1"/>
  <c r="AH16" i="5"/>
  <c r="AH17" i="5"/>
  <c r="AH18" i="5"/>
  <c r="AH19" i="5"/>
  <c r="AH20" i="5"/>
  <c r="AH21" i="5"/>
  <c r="AH22" i="5"/>
  <c r="G8" i="4" s="1"/>
  <c r="AH23" i="5"/>
  <c r="AH24" i="5"/>
  <c r="AH25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54" i="5"/>
  <c r="AH55" i="5"/>
  <c r="AH56" i="5"/>
  <c r="AH57" i="5"/>
  <c r="AH58" i="5"/>
  <c r="AH59" i="5"/>
  <c r="AH60" i="5"/>
  <c r="AH61" i="5"/>
  <c r="AH62" i="5"/>
  <c r="AH63" i="5"/>
  <c r="AH64" i="5"/>
  <c r="AH65" i="5"/>
  <c r="AH66" i="5"/>
  <c r="AH67" i="5"/>
  <c r="AH68" i="5"/>
  <c r="AH69" i="5"/>
  <c r="AH70" i="5"/>
  <c r="AH71" i="5"/>
  <c r="AH72" i="5"/>
  <c r="AH73" i="5"/>
  <c r="AH74" i="5"/>
  <c r="AH75" i="5"/>
  <c r="AH76" i="5"/>
  <c r="AH77" i="5"/>
  <c r="AH78" i="5"/>
  <c r="AH79" i="5"/>
  <c r="AH80" i="5"/>
  <c r="AH81" i="5"/>
  <c r="AH82" i="5"/>
  <c r="AH83" i="5"/>
  <c r="AH84" i="5"/>
  <c r="AH85" i="5"/>
  <c r="AH86" i="5"/>
  <c r="AH87" i="5"/>
  <c r="AH88" i="5"/>
  <c r="AH89" i="5"/>
  <c r="AH90" i="5"/>
  <c r="AH91" i="5"/>
  <c r="AH92" i="5"/>
  <c r="AH93" i="5"/>
  <c r="AH94" i="5"/>
  <c r="AH95" i="5"/>
  <c r="AH96" i="5"/>
  <c r="AH97" i="5"/>
  <c r="AH98" i="5"/>
  <c r="AH99" i="5"/>
  <c r="AH100" i="5"/>
  <c r="AH101" i="5"/>
  <c r="AH102" i="5"/>
  <c r="AH103" i="5"/>
  <c r="AH104" i="5"/>
  <c r="AH105" i="5"/>
  <c r="AH106" i="5"/>
  <c r="AH107" i="5"/>
  <c r="AH108" i="5"/>
  <c r="AH109" i="5"/>
  <c r="AH110" i="5"/>
  <c r="AH111" i="5"/>
  <c r="AH112" i="5"/>
  <c r="AH113" i="5"/>
  <c r="AH114" i="5"/>
  <c r="AH115" i="5"/>
  <c r="AH116" i="5"/>
  <c r="AH117" i="5"/>
  <c r="AH118" i="5"/>
  <c r="AH119" i="5"/>
  <c r="AH120" i="5"/>
  <c r="AH121" i="5"/>
  <c r="AH122" i="5"/>
  <c r="AH123" i="5"/>
  <c r="AH124" i="5"/>
  <c r="AH125" i="5"/>
  <c r="AH126" i="5"/>
  <c r="AH127" i="5"/>
  <c r="AH128" i="5"/>
  <c r="AH129" i="5"/>
  <c r="AH130" i="5"/>
  <c r="AH131" i="5"/>
  <c r="AH132" i="5"/>
  <c r="AH133" i="5"/>
  <c r="AH134" i="5"/>
  <c r="AH135" i="5"/>
  <c r="AH136" i="5"/>
  <c r="AH137" i="5"/>
  <c r="AH138" i="5"/>
  <c r="AH139" i="5"/>
  <c r="AH140" i="5"/>
  <c r="AH141" i="5"/>
  <c r="AH142" i="5"/>
  <c r="AH143" i="5"/>
  <c r="AH144" i="5"/>
  <c r="AH145" i="5"/>
  <c r="AH146" i="5"/>
  <c r="AH147" i="5"/>
  <c r="AH148" i="5"/>
  <c r="AH149" i="5"/>
  <c r="AH150" i="5"/>
  <c r="AH151" i="5"/>
  <c r="AH152" i="5"/>
  <c r="AH153" i="5"/>
  <c r="AH154" i="5"/>
  <c r="AH155" i="5"/>
  <c r="AH156" i="5"/>
  <c r="AH157" i="5"/>
  <c r="AH158" i="5"/>
  <c r="AH159" i="5"/>
  <c r="AH160" i="5"/>
  <c r="AH161" i="5"/>
  <c r="AH162" i="5"/>
  <c r="AH163" i="5"/>
  <c r="AH164" i="5"/>
  <c r="AH165" i="5"/>
  <c r="AH166" i="5"/>
  <c r="AH167" i="5"/>
  <c r="AH168" i="5"/>
  <c r="AH169" i="5"/>
  <c r="AH170" i="5"/>
  <c r="AH171" i="5"/>
  <c r="AH172" i="5"/>
  <c r="AH173" i="5"/>
  <c r="AH174" i="5"/>
  <c r="AH175" i="5"/>
  <c r="AH176" i="5"/>
  <c r="AH177" i="5"/>
  <c r="AH178" i="5"/>
  <c r="AH179" i="5"/>
  <c r="AH180" i="5"/>
  <c r="AH181" i="5"/>
  <c r="AH182" i="5"/>
  <c r="AH183" i="5"/>
  <c r="AH184" i="5"/>
  <c r="AH185" i="5"/>
  <c r="AH186" i="5"/>
  <c r="AH187" i="5"/>
  <c r="AH188" i="5"/>
  <c r="AH189" i="5"/>
  <c r="AH190" i="5"/>
  <c r="AH191" i="5"/>
  <c r="AH192" i="5"/>
  <c r="AH193" i="5"/>
  <c r="AH194" i="5"/>
  <c r="AH195" i="5"/>
  <c r="AH196" i="5"/>
  <c r="AH197" i="5"/>
  <c r="AH198" i="5"/>
  <c r="AH199" i="5"/>
  <c r="AH200" i="5"/>
  <c r="AH201" i="5"/>
  <c r="AH202" i="5"/>
  <c r="AH203" i="5"/>
  <c r="AH204" i="5"/>
  <c r="AH205" i="5"/>
  <c r="AH206" i="5"/>
  <c r="AH207" i="5"/>
  <c r="AH208" i="5"/>
  <c r="AH209" i="5"/>
  <c r="AH210" i="5"/>
  <c r="AH211" i="5"/>
  <c r="AH212" i="5"/>
  <c r="AH213" i="5"/>
  <c r="AH214" i="5"/>
  <c r="AH215" i="5"/>
  <c r="AH216" i="5"/>
  <c r="AH217" i="5"/>
  <c r="AH218" i="5"/>
  <c r="AH219" i="5"/>
  <c r="AH220" i="5"/>
  <c r="AH221" i="5"/>
  <c r="AH222" i="5"/>
  <c r="AH223" i="5"/>
  <c r="AH224" i="5"/>
  <c r="AH225" i="5"/>
  <c r="AH226" i="5"/>
  <c r="AH227" i="5"/>
  <c r="AH228" i="5"/>
  <c r="AH229" i="5"/>
  <c r="AH230" i="5"/>
  <c r="AH231" i="5"/>
  <c r="AH232" i="5"/>
  <c r="AH233" i="5"/>
  <c r="AH234" i="5"/>
  <c r="AH235" i="5"/>
  <c r="AH236" i="5"/>
  <c r="AH237" i="5"/>
  <c r="AH238" i="5"/>
  <c r="AH239" i="5"/>
  <c r="AH240" i="5"/>
  <c r="AH241" i="5"/>
  <c r="AH242" i="5"/>
  <c r="AH243" i="5"/>
  <c r="AH244" i="5"/>
  <c r="AH245" i="5"/>
  <c r="AH246" i="5"/>
  <c r="AH247" i="5"/>
  <c r="AH248" i="5"/>
  <c r="AH249" i="5"/>
  <c r="AH250" i="5"/>
  <c r="AH251" i="5"/>
  <c r="AH252" i="5"/>
  <c r="AH253" i="5"/>
  <c r="AH254" i="5"/>
  <c r="AH255" i="5"/>
  <c r="AH256" i="5"/>
  <c r="AH257" i="5"/>
  <c r="AH258" i="5"/>
  <c r="AH259" i="5"/>
  <c r="AH260" i="5"/>
  <c r="AH261" i="5"/>
  <c r="AH262" i="5"/>
  <c r="AH263" i="5"/>
  <c r="AH264" i="5"/>
  <c r="AH265" i="5"/>
  <c r="AH266" i="5"/>
  <c r="AH267" i="5"/>
  <c r="AH268" i="5"/>
  <c r="AH269" i="5"/>
  <c r="AH270" i="5"/>
  <c r="AH271" i="5"/>
  <c r="AH272" i="5"/>
  <c r="AH273" i="5"/>
  <c r="AH274" i="5"/>
  <c r="AH275" i="5"/>
  <c r="AH276" i="5"/>
  <c r="AH277" i="5"/>
  <c r="AH278" i="5"/>
  <c r="AH279" i="5"/>
  <c r="AH280" i="5"/>
  <c r="AH281" i="5"/>
  <c r="AH282" i="5"/>
  <c r="AH283" i="5"/>
  <c r="AH284" i="5"/>
  <c r="AH285" i="5"/>
  <c r="AH286" i="5"/>
  <c r="AH287" i="5"/>
  <c r="AH288" i="5"/>
  <c r="AH289" i="5"/>
  <c r="AH290" i="5"/>
  <c r="AH291" i="5"/>
  <c r="AH292" i="5"/>
  <c r="AH293" i="5"/>
  <c r="AH294" i="5"/>
  <c r="AH295" i="5"/>
  <c r="AH296" i="5"/>
  <c r="AH297" i="5"/>
  <c r="AH298" i="5"/>
  <c r="AH299" i="5"/>
  <c r="AH300" i="5"/>
  <c r="AH301" i="5"/>
  <c r="AH302" i="5"/>
  <c r="AH303" i="5"/>
  <c r="AH304" i="5"/>
  <c r="AH305" i="5"/>
  <c r="AH306" i="5"/>
  <c r="AH307" i="5"/>
  <c r="AH308" i="5"/>
  <c r="AH309" i="5"/>
  <c r="AH310" i="5"/>
  <c r="AH311" i="5"/>
  <c r="AH312" i="5"/>
  <c r="AH313" i="5"/>
  <c r="AH314" i="5"/>
  <c r="AH315" i="5"/>
  <c r="AH316" i="5"/>
  <c r="AH317" i="5"/>
  <c r="AH318" i="5"/>
  <c r="AH319" i="5"/>
  <c r="AH320" i="5"/>
  <c r="AH321" i="5"/>
  <c r="AH322" i="5"/>
  <c r="AH323" i="5"/>
  <c r="AH324" i="5"/>
  <c r="AH325" i="5"/>
  <c r="AH326" i="5"/>
  <c r="AH327" i="5"/>
  <c r="AH328" i="5"/>
  <c r="AH329" i="5"/>
  <c r="AH330" i="5"/>
  <c r="AH331" i="5"/>
  <c r="AH332" i="5"/>
  <c r="AH333" i="5"/>
  <c r="AH334" i="5"/>
  <c r="AH335" i="5"/>
  <c r="AH336" i="5"/>
  <c r="AH337" i="5"/>
  <c r="AH338" i="5"/>
  <c r="AH339" i="5"/>
  <c r="AH340" i="5"/>
  <c r="AH341" i="5"/>
  <c r="AH342" i="5"/>
  <c r="AH343" i="5"/>
  <c r="AH344" i="5"/>
  <c r="AH345" i="5"/>
  <c r="AH346" i="5"/>
  <c r="AH347" i="5"/>
  <c r="AH348" i="5"/>
  <c r="AH349" i="5"/>
  <c r="AH350" i="5"/>
  <c r="AH351" i="5"/>
  <c r="AH352" i="5"/>
  <c r="AH353" i="5"/>
  <c r="AH354" i="5"/>
  <c r="AH355" i="5"/>
  <c r="AH356" i="5"/>
  <c r="AH357" i="5"/>
  <c r="AH358" i="5"/>
  <c r="AH359" i="5"/>
  <c r="AH360" i="5"/>
  <c r="AH361" i="5"/>
  <c r="AH362" i="5"/>
  <c r="AH363" i="5"/>
  <c r="AH364" i="5"/>
  <c r="AH365" i="5"/>
  <c r="AH366" i="5"/>
  <c r="AH367" i="5"/>
  <c r="AH368" i="5"/>
  <c r="AH369" i="5"/>
  <c r="AH370" i="5"/>
  <c r="AH371" i="5"/>
  <c r="AH372" i="5"/>
  <c r="AH373" i="5"/>
  <c r="AH374" i="5"/>
  <c r="AH375" i="5"/>
  <c r="AH376" i="5"/>
  <c r="AH377" i="5"/>
  <c r="AH378" i="5"/>
  <c r="AH379" i="5"/>
  <c r="AH380" i="5"/>
  <c r="AH381" i="5"/>
  <c r="AH382" i="5"/>
  <c r="AH383" i="5"/>
  <c r="AH384" i="5"/>
  <c r="AH385" i="5"/>
  <c r="AH386" i="5"/>
  <c r="AH387" i="5"/>
  <c r="AH388" i="5"/>
  <c r="AH389" i="5"/>
  <c r="AH390" i="5"/>
  <c r="AH391" i="5"/>
  <c r="AH392" i="5"/>
  <c r="AH393" i="5"/>
  <c r="AH394" i="5"/>
  <c r="AH395" i="5"/>
  <c r="AH396" i="5"/>
  <c r="AH397" i="5"/>
  <c r="AH398" i="5"/>
  <c r="AH399" i="5"/>
  <c r="AH400" i="5"/>
  <c r="AH401" i="5"/>
  <c r="AH402" i="5"/>
  <c r="AH403" i="5"/>
  <c r="AH404" i="5"/>
  <c r="AH405" i="5"/>
  <c r="AH406" i="5"/>
  <c r="AH407" i="5"/>
  <c r="AH408" i="5"/>
  <c r="AH409" i="5"/>
  <c r="AH410" i="5"/>
  <c r="AH411" i="5"/>
  <c r="AH412" i="5"/>
  <c r="AH413" i="5"/>
  <c r="AH414" i="5"/>
  <c r="AH415" i="5"/>
  <c r="AH416" i="5"/>
  <c r="AH417" i="5"/>
  <c r="AH418" i="5"/>
  <c r="AH419" i="5"/>
  <c r="AH420" i="5"/>
  <c r="AH421" i="5"/>
  <c r="AH422" i="5"/>
  <c r="AH423" i="5"/>
  <c r="AH424" i="5"/>
  <c r="AH425" i="5"/>
  <c r="AH426" i="5"/>
  <c r="AH427" i="5"/>
  <c r="AH428" i="5"/>
  <c r="AH429" i="5"/>
  <c r="AH430" i="5"/>
  <c r="AH431" i="5"/>
  <c r="AH432" i="5"/>
  <c r="AH433" i="5"/>
  <c r="AH434" i="5"/>
  <c r="AH435" i="5"/>
  <c r="AH436" i="5"/>
  <c r="AH437" i="5"/>
  <c r="AH438" i="5"/>
  <c r="AH439" i="5"/>
  <c r="AH440" i="5"/>
  <c r="AH441" i="5"/>
  <c r="AH442" i="5"/>
  <c r="AH443" i="5"/>
  <c r="AH444" i="5"/>
  <c r="AH445" i="5"/>
  <c r="AH446" i="5"/>
  <c r="AH447" i="5"/>
  <c r="AH448" i="5"/>
  <c r="AH449" i="5"/>
  <c r="AH450" i="5"/>
  <c r="AH451" i="5"/>
  <c r="AH452" i="5"/>
  <c r="AH453" i="5"/>
  <c r="AH454" i="5"/>
  <c r="AH455" i="5"/>
  <c r="AH456" i="5"/>
  <c r="AH457" i="5"/>
  <c r="AH458" i="5"/>
  <c r="AH459" i="5"/>
  <c r="AH460" i="5"/>
  <c r="AH461" i="5"/>
  <c r="AH462" i="5"/>
  <c r="AH463" i="5"/>
  <c r="AH464" i="5"/>
  <c r="AH465" i="5"/>
  <c r="AH466" i="5"/>
  <c r="AH467" i="5"/>
  <c r="AH468" i="5"/>
  <c r="AH469" i="5"/>
  <c r="AH470" i="5"/>
  <c r="AH471" i="5"/>
  <c r="AH472" i="5"/>
  <c r="AH473" i="5"/>
  <c r="AH474" i="5"/>
  <c r="AH475" i="5"/>
  <c r="AH476" i="5"/>
  <c r="AH477" i="5"/>
  <c r="AH478" i="5"/>
  <c r="AH479" i="5"/>
  <c r="AH480" i="5"/>
  <c r="AH481" i="5"/>
  <c r="AH482" i="5"/>
  <c r="AH483" i="5"/>
  <c r="AH484" i="5"/>
  <c r="AH485" i="5"/>
  <c r="AH486" i="5"/>
  <c r="AH487" i="5"/>
  <c r="AH488" i="5"/>
  <c r="AH489" i="5"/>
  <c r="AH490" i="5"/>
  <c r="AH491" i="5"/>
  <c r="AH492" i="5"/>
  <c r="AH493" i="5"/>
  <c r="AH494" i="5"/>
  <c r="AH495" i="5"/>
  <c r="AH496" i="5"/>
  <c r="AH497" i="5"/>
  <c r="AH498" i="5"/>
  <c r="AH499" i="5"/>
  <c r="AH500" i="5"/>
  <c r="AH501" i="5"/>
  <c r="AH502" i="5"/>
  <c r="AH503" i="5"/>
  <c r="AH504" i="5"/>
  <c r="AH505" i="5"/>
  <c r="AH506" i="5"/>
  <c r="AH507" i="5"/>
  <c r="AH508" i="5"/>
  <c r="AH509" i="5"/>
  <c r="AH510" i="5"/>
  <c r="AH511" i="5"/>
  <c r="AH512" i="5"/>
  <c r="AH513" i="5"/>
  <c r="AH514" i="5"/>
  <c r="AH515" i="5"/>
  <c r="AH516" i="5"/>
  <c r="AH517" i="5"/>
  <c r="AH518" i="5"/>
  <c r="AH519" i="5"/>
  <c r="AH520" i="5"/>
  <c r="AH521" i="5"/>
  <c r="AH522" i="5"/>
  <c r="AH523" i="5"/>
  <c r="AH524" i="5"/>
  <c r="AH525" i="5"/>
  <c r="AH526" i="5"/>
  <c r="AH527" i="5"/>
  <c r="AH528" i="5"/>
  <c r="AH529" i="5"/>
  <c r="AH530" i="5"/>
  <c r="AH531" i="5"/>
  <c r="AH532" i="5"/>
  <c r="AH533" i="5"/>
  <c r="AH534" i="5"/>
  <c r="AH535" i="5"/>
  <c r="AH536" i="5"/>
  <c r="AH537" i="5"/>
  <c r="AH538" i="5"/>
  <c r="AH539" i="5"/>
  <c r="AH540" i="5"/>
  <c r="AH541" i="5"/>
  <c r="AH542" i="5"/>
  <c r="AH543" i="5"/>
  <c r="AH544" i="5"/>
  <c r="AH545" i="5"/>
  <c r="AH546" i="5"/>
  <c r="AH547" i="5"/>
  <c r="AH548" i="5"/>
  <c r="AH549" i="5"/>
  <c r="AH550" i="5"/>
  <c r="AH551" i="5"/>
  <c r="AH552" i="5"/>
  <c r="AH553" i="5"/>
  <c r="AH554" i="5"/>
  <c r="AH555" i="5"/>
  <c r="AH556" i="5"/>
  <c r="AH557" i="5"/>
  <c r="AH558" i="5"/>
  <c r="AH559" i="5"/>
  <c r="AH560" i="5"/>
  <c r="AH561" i="5"/>
  <c r="AH562" i="5"/>
  <c r="AH563" i="5"/>
  <c r="AH564" i="5"/>
  <c r="AH565" i="5"/>
  <c r="AH566" i="5"/>
  <c r="AH567" i="5"/>
  <c r="AH568" i="5"/>
  <c r="AH569" i="5"/>
  <c r="AH570" i="5"/>
  <c r="AH571" i="5"/>
  <c r="AH572" i="5"/>
  <c r="AH573" i="5"/>
  <c r="AH574" i="5"/>
  <c r="AH575" i="5"/>
  <c r="AH576" i="5"/>
  <c r="AH577" i="5"/>
  <c r="AH578" i="5"/>
  <c r="AH579" i="5"/>
  <c r="AH580" i="5"/>
  <c r="AH581" i="5"/>
  <c r="AH582" i="5"/>
  <c r="AH583" i="5"/>
  <c r="AH584" i="5"/>
  <c r="AH585" i="5"/>
  <c r="AH586" i="5"/>
  <c r="AH587" i="5"/>
  <c r="AH588" i="5"/>
  <c r="AH589" i="5"/>
  <c r="AI2" i="5"/>
  <c r="AI3" i="5"/>
  <c r="AI4" i="5"/>
  <c r="AI5" i="5"/>
  <c r="AI6" i="5"/>
  <c r="AI7" i="5"/>
  <c r="AI8" i="5"/>
  <c r="AI9" i="5"/>
  <c r="AI10" i="5"/>
  <c r="C29" i="2" s="1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09" i="5"/>
  <c r="AI110" i="5"/>
  <c r="AI111" i="5"/>
  <c r="AI112" i="5"/>
  <c r="AI113" i="5"/>
  <c r="AI114" i="5"/>
  <c r="AI115" i="5"/>
  <c r="AI116" i="5"/>
  <c r="AI117" i="5"/>
  <c r="AI118" i="5"/>
  <c r="AI119" i="5"/>
  <c r="AI120" i="5"/>
  <c r="AI121" i="5"/>
  <c r="AI122" i="5"/>
  <c r="AI123" i="5"/>
  <c r="AI124" i="5"/>
  <c r="AI125" i="5"/>
  <c r="AI126" i="5"/>
  <c r="AI127" i="5"/>
  <c r="AI128" i="5"/>
  <c r="AI129" i="5"/>
  <c r="AI130" i="5"/>
  <c r="AI131" i="5"/>
  <c r="AI132" i="5"/>
  <c r="AI133" i="5"/>
  <c r="AI134" i="5"/>
  <c r="AI135" i="5"/>
  <c r="AI136" i="5"/>
  <c r="AI137" i="5"/>
  <c r="AI138" i="5"/>
  <c r="AI139" i="5"/>
  <c r="AI140" i="5"/>
  <c r="AI141" i="5"/>
  <c r="AI142" i="5"/>
  <c r="AI143" i="5"/>
  <c r="AI144" i="5"/>
  <c r="AI145" i="5"/>
  <c r="AI146" i="5"/>
  <c r="AI147" i="5"/>
  <c r="AI148" i="5"/>
  <c r="AI149" i="5"/>
  <c r="AI150" i="5"/>
  <c r="AI151" i="5"/>
  <c r="AI152" i="5"/>
  <c r="AI153" i="5"/>
  <c r="AI154" i="5"/>
  <c r="AI155" i="5"/>
  <c r="AI156" i="5"/>
  <c r="AI157" i="5"/>
  <c r="AI158" i="5"/>
  <c r="AI159" i="5"/>
  <c r="AI160" i="5"/>
  <c r="AI161" i="5"/>
  <c r="AI162" i="5"/>
  <c r="AI163" i="5"/>
  <c r="AI164" i="5"/>
  <c r="AI165" i="5"/>
  <c r="AI166" i="5"/>
  <c r="AI167" i="5"/>
  <c r="AI168" i="5"/>
  <c r="AI169" i="5"/>
  <c r="AI170" i="5"/>
  <c r="AI171" i="5"/>
  <c r="AI172" i="5"/>
  <c r="AI173" i="5"/>
  <c r="AI174" i="5"/>
  <c r="AI175" i="5"/>
  <c r="AI176" i="5"/>
  <c r="AI177" i="5"/>
  <c r="AI178" i="5"/>
  <c r="AI179" i="5"/>
  <c r="AI180" i="5"/>
  <c r="AI181" i="5"/>
  <c r="AI182" i="5"/>
  <c r="AI183" i="5"/>
  <c r="AI184" i="5"/>
  <c r="AI185" i="5"/>
  <c r="AI186" i="5"/>
  <c r="AI187" i="5"/>
  <c r="AI188" i="5"/>
  <c r="AI189" i="5"/>
  <c r="AI190" i="5"/>
  <c r="AI191" i="5"/>
  <c r="AI192" i="5"/>
  <c r="AI193" i="5"/>
  <c r="AI194" i="5"/>
  <c r="AI195" i="5"/>
  <c r="AI196" i="5"/>
  <c r="AI197" i="5"/>
  <c r="AI198" i="5"/>
  <c r="AI199" i="5"/>
  <c r="AI200" i="5"/>
  <c r="AI201" i="5"/>
  <c r="AI202" i="5"/>
  <c r="AI203" i="5"/>
  <c r="AI204" i="5"/>
  <c r="AI205" i="5"/>
  <c r="AI206" i="5"/>
  <c r="AI207" i="5"/>
  <c r="AI208" i="5"/>
  <c r="AI209" i="5"/>
  <c r="AI210" i="5"/>
  <c r="AI211" i="5"/>
  <c r="AI212" i="5"/>
  <c r="AI213" i="5"/>
  <c r="AI214" i="5"/>
  <c r="AI215" i="5"/>
  <c r="AI216" i="5"/>
  <c r="AI217" i="5"/>
  <c r="AI218" i="5"/>
  <c r="AI219" i="5"/>
  <c r="AI220" i="5"/>
  <c r="AI221" i="5"/>
  <c r="AI222" i="5"/>
  <c r="AI223" i="5"/>
  <c r="AI224" i="5"/>
  <c r="AI225" i="5"/>
  <c r="AI226" i="5"/>
  <c r="AI227" i="5"/>
  <c r="AI228" i="5"/>
  <c r="AI229" i="5"/>
  <c r="AI230" i="5"/>
  <c r="AI231" i="5"/>
  <c r="AI232" i="5"/>
  <c r="AI233" i="5"/>
  <c r="AI234" i="5"/>
  <c r="AI235" i="5"/>
  <c r="AI236" i="5"/>
  <c r="AI237" i="5"/>
  <c r="AI238" i="5"/>
  <c r="AI239" i="5"/>
  <c r="AI240" i="5"/>
  <c r="AI241" i="5"/>
  <c r="AI242" i="5"/>
  <c r="AI243" i="5"/>
  <c r="AI244" i="5"/>
  <c r="AI245" i="5"/>
  <c r="AI246" i="5"/>
  <c r="AI247" i="5"/>
  <c r="AI248" i="5"/>
  <c r="AI249" i="5"/>
  <c r="AI250" i="5"/>
  <c r="AI251" i="5"/>
  <c r="AI252" i="5"/>
  <c r="AI253" i="5"/>
  <c r="AI254" i="5"/>
  <c r="AI255" i="5"/>
  <c r="AI256" i="5"/>
  <c r="AI257" i="5"/>
  <c r="AI258" i="5"/>
  <c r="AI259" i="5"/>
  <c r="AI260" i="5"/>
  <c r="AI261" i="5"/>
  <c r="AI262" i="5"/>
  <c r="AI263" i="5"/>
  <c r="AI264" i="5"/>
  <c r="AI265" i="5"/>
  <c r="AI266" i="5"/>
  <c r="AI267" i="5"/>
  <c r="AI268" i="5"/>
  <c r="AI269" i="5"/>
  <c r="AI270" i="5"/>
  <c r="AI271" i="5"/>
  <c r="AI272" i="5"/>
  <c r="AI273" i="5"/>
  <c r="AI274" i="5"/>
  <c r="AI275" i="5"/>
  <c r="AI276" i="5"/>
  <c r="AI277" i="5"/>
  <c r="AI278" i="5"/>
  <c r="AI279" i="5"/>
  <c r="AI280" i="5"/>
  <c r="AI281" i="5"/>
  <c r="AI282" i="5"/>
  <c r="AI283" i="5"/>
  <c r="AI284" i="5"/>
  <c r="AI285" i="5"/>
  <c r="AI286" i="5"/>
  <c r="AI287" i="5"/>
  <c r="AI288" i="5"/>
  <c r="AI289" i="5"/>
  <c r="AI290" i="5"/>
  <c r="AI291" i="5"/>
  <c r="AI292" i="5"/>
  <c r="AI293" i="5"/>
  <c r="AI294" i="5"/>
  <c r="AI295" i="5"/>
  <c r="AI296" i="5"/>
  <c r="AI297" i="5"/>
  <c r="AI298" i="5"/>
  <c r="AI299" i="5"/>
  <c r="AI300" i="5"/>
  <c r="AI301" i="5"/>
  <c r="AI302" i="5"/>
  <c r="AI303" i="5"/>
  <c r="AI304" i="5"/>
  <c r="AI305" i="5"/>
  <c r="AI306" i="5"/>
  <c r="AI307" i="5"/>
  <c r="AI308" i="5"/>
  <c r="AI309" i="5"/>
  <c r="AI310" i="5"/>
  <c r="AI311" i="5"/>
  <c r="AI312" i="5"/>
  <c r="AI313" i="5"/>
  <c r="AI314" i="5"/>
  <c r="AI315" i="5"/>
  <c r="AI316" i="5"/>
  <c r="AI317" i="5"/>
  <c r="AI318" i="5"/>
  <c r="AI319" i="5"/>
  <c r="AI320" i="5"/>
  <c r="AI321" i="5"/>
  <c r="AI322" i="5"/>
  <c r="AI323" i="5"/>
  <c r="AI324" i="5"/>
  <c r="AI325" i="5"/>
  <c r="AI326" i="5"/>
  <c r="AI327" i="5"/>
  <c r="AI328" i="5"/>
  <c r="AI329" i="5"/>
  <c r="AI330" i="5"/>
  <c r="AI331" i="5"/>
  <c r="AI332" i="5"/>
  <c r="AI333" i="5"/>
  <c r="AI334" i="5"/>
  <c r="AI335" i="5"/>
  <c r="AI336" i="5"/>
  <c r="AI337" i="5"/>
  <c r="AI338" i="5"/>
  <c r="AI339" i="5"/>
  <c r="AI340" i="5"/>
  <c r="AI341" i="5"/>
  <c r="AI342" i="5"/>
  <c r="AI343" i="5"/>
  <c r="AI344" i="5"/>
  <c r="AI345" i="5"/>
  <c r="AI346" i="5"/>
  <c r="AI347" i="5"/>
  <c r="AI348" i="5"/>
  <c r="AI349" i="5"/>
  <c r="AI350" i="5"/>
  <c r="AI351" i="5"/>
  <c r="AI352" i="5"/>
  <c r="AI353" i="5"/>
  <c r="AI354" i="5"/>
  <c r="AI355" i="5"/>
  <c r="AI356" i="5"/>
  <c r="AI357" i="5"/>
  <c r="AI358" i="5"/>
  <c r="AI359" i="5"/>
  <c r="AI360" i="5"/>
  <c r="AI361" i="5"/>
  <c r="AI362" i="5"/>
  <c r="AI363" i="5"/>
  <c r="AI364" i="5"/>
  <c r="AI365" i="5"/>
  <c r="AI366" i="5"/>
  <c r="AI367" i="5"/>
  <c r="AI368" i="5"/>
  <c r="AI369" i="5"/>
  <c r="AI370" i="5"/>
  <c r="AI371" i="5"/>
  <c r="AI372" i="5"/>
  <c r="AI373" i="5"/>
  <c r="AI374" i="5"/>
  <c r="AI375" i="5"/>
  <c r="AI376" i="5"/>
  <c r="AI377" i="5"/>
  <c r="AI378" i="5"/>
  <c r="AI379" i="5"/>
  <c r="AI380" i="5"/>
  <c r="AI381" i="5"/>
  <c r="AI382" i="5"/>
  <c r="AI383" i="5"/>
  <c r="AI384" i="5"/>
  <c r="AI385" i="5"/>
  <c r="AI386" i="5"/>
  <c r="AI387" i="5"/>
  <c r="AI388" i="5"/>
  <c r="AI389" i="5"/>
  <c r="AI390" i="5"/>
  <c r="AI391" i="5"/>
  <c r="AI392" i="5"/>
  <c r="AI393" i="5"/>
  <c r="AI394" i="5"/>
  <c r="AI395" i="5"/>
  <c r="AI396" i="5"/>
  <c r="AI397" i="5"/>
  <c r="AI398" i="5"/>
  <c r="AI399" i="5"/>
  <c r="AI400" i="5"/>
  <c r="AI401" i="5"/>
  <c r="AI402" i="5"/>
  <c r="AI403" i="5"/>
  <c r="AI404" i="5"/>
  <c r="AI405" i="5"/>
  <c r="AI406" i="5"/>
  <c r="AI407" i="5"/>
  <c r="AI408" i="5"/>
  <c r="AI409" i="5"/>
  <c r="AI410" i="5"/>
  <c r="AI411" i="5"/>
  <c r="AI412" i="5"/>
  <c r="AI413" i="5"/>
  <c r="AI414" i="5"/>
  <c r="AI415" i="5"/>
  <c r="AI416" i="5"/>
  <c r="AI417" i="5"/>
  <c r="AI418" i="5"/>
  <c r="AI419" i="5"/>
  <c r="AI420" i="5"/>
  <c r="AI421" i="5"/>
  <c r="AI422" i="5"/>
  <c r="AI423" i="5"/>
  <c r="AI424" i="5"/>
  <c r="AI425" i="5"/>
  <c r="AI426" i="5"/>
  <c r="AI427" i="5"/>
  <c r="AI428" i="5"/>
  <c r="AI429" i="5"/>
  <c r="AI430" i="5"/>
  <c r="AI431" i="5"/>
  <c r="AI432" i="5"/>
  <c r="AI433" i="5"/>
  <c r="AI434" i="5"/>
  <c r="AI435" i="5"/>
  <c r="AI436" i="5"/>
  <c r="AI437" i="5"/>
  <c r="AI438" i="5"/>
  <c r="AI439" i="5"/>
  <c r="AI440" i="5"/>
  <c r="AI441" i="5"/>
  <c r="AI442" i="5"/>
  <c r="AI443" i="5"/>
  <c r="AI444" i="5"/>
  <c r="AI445" i="5"/>
  <c r="AI446" i="5"/>
  <c r="AI447" i="5"/>
  <c r="AI448" i="5"/>
  <c r="AI449" i="5"/>
  <c r="AI450" i="5"/>
  <c r="AI451" i="5"/>
  <c r="AI452" i="5"/>
  <c r="AI453" i="5"/>
  <c r="AI454" i="5"/>
  <c r="AI455" i="5"/>
  <c r="AI456" i="5"/>
  <c r="AI457" i="5"/>
  <c r="AI458" i="5"/>
  <c r="AI459" i="5"/>
  <c r="AI460" i="5"/>
  <c r="AI461" i="5"/>
  <c r="AI462" i="5"/>
  <c r="AI463" i="5"/>
  <c r="AI464" i="5"/>
  <c r="AI465" i="5"/>
  <c r="AI466" i="5"/>
  <c r="AI467" i="5"/>
  <c r="AI468" i="5"/>
  <c r="AI469" i="5"/>
  <c r="AI470" i="5"/>
  <c r="AI471" i="5"/>
  <c r="AI472" i="5"/>
  <c r="AI473" i="5"/>
  <c r="AI474" i="5"/>
  <c r="AI475" i="5"/>
  <c r="AI476" i="5"/>
  <c r="AI477" i="5"/>
  <c r="AI478" i="5"/>
  <c r="AI479" i="5"/>
  <c r="AI480" i="5"/>
  <c r="AI481" i="5"/>
  <c r="AI482" i="5"/>
  <c r="AI483" i="5"/>
  <c r="AI484" i="5"/>
  <c r="AI485" i="5"/>
  <c r="AI486" i="5"/>
  <c r="AI487" i="5"/>
  <c r="AI488" i="5"/>
  <c r="AI489" i="5"/>
  <c r="AI490" i="5"/>
  <c r="AI491" i="5"/>
  <c r="AI492" i="5"/>
  <c r="AI493" i="5"/>
  <c r="AI494" i="5"/>
  <c r="AI495" i="5"/>
  <c r="AI496" i="5"/>
  <c r="AI497" i="5"/>
  <c r="AI498" i="5"/>
  <c r="AI499" i="5"/>
  <c r="AI500" i="5"/>
  <c r="AI501" i="5"/>
  <c r="AI502" i="5"/>
  <c r="AI503" i="5"/>
  <c r="AI504" i="5"/>
  <c r="AI505" i="5"/>
  <c r="AI506" i="5"/>
  <c r="AI507" i="5"/>
  <c r="AI508" i="5"/>
  <c r="AI509" i="5"/>
  <c r="AI510" i="5"/>
  <c r="AI511" i="5"/>
  <c r="AI512" i="5"/>
  <c r="AI513" i="5"/>
  <c r="AI514" i="5"/>
  <c r="AI515" i="5"/>
  <c r="AI516" i="5"/>
  <c r="AI517" i="5"/>
  <c r="AI518" i="5"/>
  <c r="AI519" i="5"/>
  <c r="AI520" i="5"/>
  <c r="AI521" i="5"/>
  <c r="AI522" i="5"/>
  <c r="AI523" i="5"/>
  <c r="AI524" i="5"/>
  <c r="AI525" i="5"/>
  <c r="AI526" i="5"/>
  <c r="AI527" i="5"/>
  <c r="AI528" i="5"/>
  <c r="AI529" i="5"/>
  <c r="AI530" i="5"/>
  <c r="AI531" i="5"/>
  <c r="AI532" i="5"/>
  <c r="AI533" i="5"/>
  <c r="AI534" i="5"/>
  <c r="AI535" i="5"/>
  <c r="AI536" i="5"/>
  <c r="AI537" i="5"/>
  <c r="AI538" i="5"/>
  <c r="AI539" i="5"/>
  <c r="AI540" i="5"/>
  <c r="AI541" i="5"/>
  <c r="AI542" i="5"/>
  <c r="AI543" i="5"/>
  <c r="AI544" i="5"/>
  <c r="AI545" i="5"/>
  <c r="AI546" i="5"/>
  <c r="AI547" i="5"/>
  <c r="AI548" i="5"/>
  <c r="AI549" i="5"/>
  <c r="AI550" i="5"/>
  <c r="AI551" i="5"/>
  <c r="AI552" i="5"/>
  <c r="AI553" i="5"/>
  <c r="AI554" i="5"/>
  <c r="AI555" i="5"/>
  <c r="AI556" i="5"/>
  <c r="AI557" i="5"/>
  <c r="AI558" i="5"/>
  <c r="AI559" i="5"/>
  <c r="AI560" i="5"/>
  <c r="AI561" i="5"/>
  <c r="AI562" i="5"/>
  <c r="AI563" i="5"/>
  <c r="AI564" i="5"/>
  <c r="AI565" i="5"/>
  <c r="AI566" i="5"/>
  <c r="AI567" i="5"/>
  <c r="AI568" i="5"/>
  <c r="AI569" i="5"/>
  <c r="AI570" i="5"/>
  <c r="AI571" i="5"/>
  <c r="AI572" i="5"/>
  <c r="AI573" i="5"/>
  <c r="AI574" i="5"/>
  <c r="AI575" i="5"/>
  <c r="AI576" i="5"/>
  <c r="AI577" i="5"/>
  <c r="AI578" i="5"/>
  <c r="AI579" i="5"/>
  <c r="AI580" i="5"/>
  <c r="AI581" i="5"/>
  <c r="AI582" i="5"/>
  <c r="AI583" i="5"/>
  <c r="AI584" i="5"/>
  <c r="AI585" i="5"/>
  <c r="AI586" i="5"/>
  <c r="AI587" i="5"/>
  <c r="AI588" i="5"/>
  <c r="AI589" i="5"/>
  <c r="AJ2" i="5"/>
  <c r="AJ3" i="5"/>
  <c r="AJ4" i="5"/>
  <c r="AJ5" i="5"/>
  <c r="AJ6" i="5"/>
  <c r="AJ7" i="5"/>
  <c r="AJ8" i="5"/>
  <c r="AJ9" i="5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J89" i="5"/>
  <c r="AJ90" i="5"/>
  <c r="AJ91" i="5"/>
  <c r="AJ92" i="5"/>
  <c r="AJ93" i="5"/>
  <c r="AJ94" i="5"/>
  <c r="AJ95" i="5"/>
  <c r="AJ96" i="5"/>
  <c r="AJ97" i="5"/>
  <c r="AJ98" i="5"/>
  <c r="AJ99" i="5"/>
  <c r="AJ100" i="5"/>
  <c r="AJ101" i="5"/>
  <c r="AJ102" i="5"/>
  <c r="AJ103" i="5"/>
  <c r="AJ104" i="5"/>
  <c r="AJ105" i="5"/>
  <c r="AJ106" i="5"/>
  <c r="AJ107" i="5"/>
  <c r="AJ108" i="5"/>
  <c r="AJ109" i="5"/>
  <c r="AJ110" i="5"/>
  <c r="AJ111" i="5"/>
  <c r="AJ112" i="5"/>
  <c r="AJ113" i="5"/>
  <c r="AJ114" i="5"/>
  <c r="AJ115" i="5"/>
  <c r="AJ116" i="5"/>
  <c r="AJ117" i="5"/>
  <c r="AJ118" i="5"/>
  <c r="AJ119" i="5"/>
  <c r="AJ120" i="5"/>
  <c r="AJ121" i="5"/>
  <c r="AJ122" i="5"/>
  <c r="AJ123" i="5"/>
  <c r="AJ124" i="5"/>
  <c r="AJ125" i="5"/>
  <c r="AJ126" i="5"/>
  <c r="AJ127" i="5"/>
  <c r="AJ128" i="5"/>
  <c r="AJ129" i="5"/>
  <c r="AJ130" i="5"/>
  <c r="AJ131" i="5"/>
  <c r="AJ132" i="5"/>
  <c r="AJ133" i="5"/>
  <c r="AJ134" i="5"/>
  <c r="AJ135" i="5"/>
  <c r="AJ136" i="5"/>
  <c r="AJ137" i="5"/>
  <c r="AJ138" i="5"/>
  <c r="AJ139" i="5"/>
  <c r="AJ140" i="5"/>
  <c r="AJ141" i="5"/>
  <c r="AJ142" i="5"/>
  <c r="AJ143" i="5"/>
  <c r="AJ144" i="5"/>
  <c r="AJ145" i="5"/>
  <c r="AJ146" i="5"/>
  <c r="AJ147" i="5"/>
  <c r="AJ148" i="5"/>
  <c r="AJ149" i="5"/>
  <c r="AJ150" i="5"/>
  <c r="AJ151" i="5"/>
  <c r="AJ152" i="5"/>
  <c r="AJ153" i="5"/>
  <c r="AJ154" i="5"/>
  <c r="AJ155" i="5"/>
  <c r="AJ156" i="5"/>
  <c r="AJ157" i="5"/>
  <c r="AJ158" i="5"/>
  <c r="AJ159" i="5"/>
  <c r="AJ160" i="5"/>
  <c r="AJ161" i="5"/>
  <c r="AJ162" i="5"/>
  <c r="AJ163" i="5"/>
  <c r="AJ164" i="5"/>
  <c r="AJ165" i="5"/>
  <c r="AJ166" i="5"/>
  <c r="AJ167" i="5"/>
  <c r="AJ168" i="5"/>
  <c r="AJ169" i="5"/>
  <c r="AJ170" i="5"/>
  <c r="AJ171" i="5"/>
  <c r="AJ172" i="5"/>
  <c r="AJ173" i="5"/>
  <c r="AJ174" i="5"/>
  <c r="AJ175" i="5"/>
  <c r="AJ176" i="5"/>
  <c r="AJ177" i="5"/>
  <c r="AJ178" i="5"/>
  <c r="AJ179" i="5"/>
  <c r="AJ180" i="5"/>
  <c r="AJ181" i="5"/>
  <c r="AJ182" i="5"/>
  <c r="AJ183" i="5"/>
  <c r="AJ184" i="5"/>
  <c r="AJ185" i="5"/>
  <c r="AJ186" i="5"/>
  <c r="AJ187" i="5"/>
  <c r="AJ188" i="5"/>
  <c r="AJ189" i="5"/>
  <c r="AJ190" i="5"/>
  <c r="AJ191" i="5"/>
  <c r="AJ192" i="5"/>
  <c r="AJ193" i="5"/>
  <c r="AJ194" i="5"/>
  <c r="AJ195" i="5"/>
  <c r="AJ196" i="5"/>
  <c r="AJ197" i="5"/>
  <c r="AJ198" i="5"/>
  <c r="AJ199" i="5"/>
  <c r="AJ200" i="5"/>
  <c r="AJ201" i="5"/>
  <c r="AJ202" i="5"/>
  <c r="AJ203" i="5"/>
  <c r="AJ204" i="5"/>
  <c r="AJ205" i="5"/>
  <c r="AJ206" i="5"/>
  <c r="AJ207" i="5"/>
  <c r="AJ208" i="5"/>
  <c r="AJ209" i="5"/>
  <c r="AJ210" i="5"/>
  <c r="AJ211" i="5"/>
  <c r="AJ212" i="5"/>
  <c r="AJ213" i="5"/>
  <c r="AJ214" i="5"/>
  <c r="AJ215" i="5"/>
  <c r="AJ216" i="5"/>
  <c r="AJ217" i="5"/>
  <c r="AJ218" i="5"/>
  <c r="AJ219" i="5"/>
  <c r="AJ220" i="5"/>
  <c r="AJ221" i="5"/>
  <c r="AJ222" i="5"/>
  <c r="AJ223" i="5"/>
  <c r="AJ224" i="5"/>
  <c r="AJ225" i="5"/>
  <c r="AJ226" i="5"/>
  <c r="AJ227" i="5"/>
  <c r="AJ228" i="5"/>
  <c r="AJ229" i="5"/>
  <c r="AJ230" i="5"/>
  <c r="AJ231" i="5"/>
  <c r="AJ232" i="5"/>
  <c r="AJ233" i="5"/>
  <c r="AJ234" i="5"/>
  <c r="AJ235" i="5"/>
  <c r="AJ236" i="5"/>
  <c r="AJ237" i="5"/>
  <c r="AJ238" i="5"/>
  <c r="AJ239" i="5"/>
  <c r="AJ240" i="5"/>
  <c r="AJ241" i="5"/>
  <c r="AJ242" i="5"/>
  <c r="AJ243" i="5"/>
  <c r="AJ244" i="5"/>
  <c r="AJ245" i="5"/>
  <c r="AJ246" i="5"/>
  <c r="AJ247" i="5"/>
  <c r="AJ248" i="5"/>
  <c r="AJ249" i="5"/>
  <c r="AJ250" i="5"/>
  <c r="AJ251" i="5"/>
  <c r="AJ252" i="5"/>
  <c r="AJ253" i="5"/>
  <c r="AJ254" i="5"/>
  <c r="AJ255" i="5"/>
  <c r="AJ256" i="5"/>
  <c r="AJ257" i="5"/>
  <c r="AJ258" i="5"/>
  <c r="AJ259" i="5"/>
  <c r="AJ260" i="5"/>
  <c r="AJ261" i="5"/>
  <c r="AJ262" i="5"/>
  <c r="AJ263" i="5"/>
  <c r="AJ264" i="5"/>
  <c r="AJ265" i="5"/>
  <c r="AJ266" i="5"/>
  <c r="AJ267" i="5"/>
  <c r="AJ268" i="5"/>
  <c r="AJ269" i="5"/>
  <c r="AJ270" i="5"/>
  <c r="AJ271" i="5"/>
  <c r="AJ272" i="5"/>
  <c r="AJ273" i="5"/>
  <c r="AJ274" i="5"/>
  <c r="AJ275" i="5"/>
  <c r="AJ276" i="5"/>
  <c r="AJ277" i="5"/>
  <c r="AJ278" i="5"/>
  <c r="AJ279" i="5"/>
  <c r="AJ280" i="5"/>
  <c r="AJ281" i="5"/>
  <c r="AJ282" i="5"/>
  <c r="AJ283" i="5"/>
  <c r="AJ284" i="5"/>
  <c r="AJ285" i="5"/>
  <c r="AJ286" i="5"/>
  <c r="AJ287" i="5"/>
  <c r="AJ288" i="5"/>
  <c r="AJ289" i="5"/>
  <c r="AJ290" i="5"/>
  <c r="AJ291" i="5"/>
  <c r="AJ292" i="5"/>
  <c r="AJ293" i="5"/>
  <c r="AJ294" i="5"/>
  <c r="AJ295" i="5"/>
  <c r="AJ296" i="5"/>
  <c r="AJ297" i="5"/>
  <c r="AJ298" i="5"/>
  <c r="AJ299" i="5"/>
  <c r="AJ300" i="5"/>
  <c r="AJ301" i="5"/>
  <c r="AJ302" i="5"/>
  <c r="AJ303" i="5"/>
  <c r="AJ304" i="5"/>
  <c r="AJ305" i="5"/>
  <c r="AJ306" i="5"/>
  <c r="AJ307" i="5"/>
  <c r="AJ308" i="5"/>
  <c r="AJ309" i="5"/>
  <c r="AJ310" i="5"/>
  <c r="AJ311" i="5"/>
  <c r="AJ312" i="5"/>
  <c r="AJ313" i="5"/>
  <c r="AJ314" i="5"/>
  <c r="AJ315" i="5"/>
  <c r="AJ316" i="5"/>
  <c r="AJ317" i="5"/>
  <c r="AJ318" i="5"/>
  <c r="AJ319" i="5"/>
  <c r="AJ320" i="5"/>
  <c r="AJ321" i="5"/>
  <c r="AJ322" i="5"/>
  <c r="AJ323" i="5"/>
  <c r="AJ324" i="5"/>
  <c r="AJ325" i="5"/>
  <c r="AJ326" i="5"/>
  <c r="AJ327" i="5"/>
  <c r="AJ328" i="5"/>
  <c r="AJ329" i="5"/>
  <c r="AJ330" i="5"/>
  <c r="AJ331" i="5"/>
  <c r="AJ332" i="5"/>
  <c r="AJ333" i="5"/>
  <c r="AJ334" i="5"/>
  <c r="AJ335" i="5"/>
  <c r="AJ336" i="5"/>
  <c r="AJ337" i="5"/>
  <c r="AJ338" i="5"/>
  <c r="AJ339" i="5"/>
  <c r="AJ340" i="5"/>
  <c r="AJ341" i="5"/>
  <c r="AJ342" i="5"/>
  <c r="AJ343" i="5"/>
  <c r="AJ344" i="5"/>
  <c r="AJ345" i="5"/>
  <c r="AJ346" i="5"/>
  <c r="AJ347" i="5"/>
  <c r="AJ348" i="5"/>
  <c r="AJ349" i="5"/>
  <c r="AJ350" i="5"/>
  <c r="AJ351" i="5"/>
  <c r="AJ352" i="5"/>
  <c r="AJ353" i="5"/>
  <c r="AJ354" i="5"/>
  <c r="AJ355" i="5"/>
  <c r="AJ356" i="5"/>
  <c r="AJ357" i="5"/>
  <c r="AJ358" i="5"/>
  <c r="AJ359" i="5"/>
  <c r="AJ360" i="5"/>
  <c r="AJ361" i="5"/>
  <c r="AJ362" i="5"/>
  <c r="AJ363" i="5"/>
  <c r="AJ364" i="5"/>
  <c r="AJ365" i="5"/>
  <c r="AJ366" i="5"/>
  <c r="AJ367" i="5"/>
  <c r="AJ368" i="5"/>
  <c r="AJ369" i="5"/>
  <c r="AJ370" i="5"/>
  <c r="AJ371" i="5"/>
  <c r="AJ372" i="5"/>
  <c r="AJ373" i="5"/>
  <c r="AJ374" i="5"/>
  <c r="AJ375" i="5"/>
  <c r="AJ376" i="5"/>
  <c r="AJ377" i="5"/>
  <c r="AJ378" i="5"/>
  <c r="AJ379" i="5"/>
  <c r="AJ380" i="5"/>
  <c r="AJ381" i="5"/>
  <c r="AJ382" i="5"/>
  <c r="AJ383" i="5"/>
  <c r="AJ384" i="5"/>
  <c r="AJ385" i="5"/>
  <c r="AJ386" i="5"/>
  <c r="AJ387" i="5"/>
  <c r="AJ388" i="5"/>
  <c r="AJ389" i="5"/>
  <c r="AJ390" i="5"/>
  <c r="AJ391" i="5"/>
  <c r="AJ392" i="5"/>
  <c r="AJ393" i="5"/>
  <c r="AJ394" i="5"/>
  <c r="AJ395" i="5"/>
  <c r="AJ396" i="5"/>
  <c r="AJ397" i="5"/>
  <c r="AJ398" i="5"/>
  <c r="AJ399" i="5"/>
  <c r="AJ400" i="5"/>
  <c r="AJ401" i="5"/>
  <c r="AJ402" i="5"/>
  <c r="AJ403" i="5"/>
  <c r="AJ404" i="5"/>
  <c r="AJ405" i="5"/>
  <c r="AJ406" i="5"/>
  <c r="AJ407" i="5"/>
  <c r="AJ408" i="5"/>
  <c r="AJ409" i="5"/>
  <c r="AJ410" i="5"/>
  <c r="AJ411" i="5"/>
  <c r="AJ412" i="5"/>
  <c r="AJ413" i="5"/>
  <c r="AJ414" i="5"/>
  <c r="AJ415" i="5"/>
  <c r="AJ416" i="5"/>
  <c r="AJ417" i="5"/>
  <c r="AJ418" i="5"/>
  <c r="AJ419" i="5"/>
  <c r="AJ420" i="5"/>
  <c r="AJ421" i="5"/>
  <c r="AJ422" i="5"/>
  <c r="AJ423" i="5"/>
  <c r="AJ424" i="5"/>
  <c r="AJ425" i="5"/>
  <c r="AJ426" i="5"/>
  <c r="AJ427" i="5"/>
  <c r="AJ428" i="5"/>
  <c r="AJ429" i="5"/>
  <c r="AJ430" i="5"/>
  <c r="AJ431" i="5"/>
  <c r="AJ432" i="5"/>
  <c r="AJ433" i="5"/>
  <c r="AJ434" i="5"/>
  <c r="AJ435" i="5"/>
  <c r="AJ436" i="5"/>
  <c r="AJ437" i="5"/>
  <c r="AJ438" i="5"/>
  <c r="AJ439" i="5"/>
  <c r="AJ440" i="5"/>
  <c r="AJ441" i="5"/>
  <c r="AJ442" i="5"/>
  <c r="AJ443" i="5"/>
  <c r="AJ444" i="5"/>
  <c r="AJ445" i="5"/>
  <c r="AJ446" i="5"/>
  <c r="AJ447" i="5"/>
  <c r="AJ448" i="5"/>
  <c r="AJ449" i="5"/>
  <c r="AJ450" i="5"/>
  <c r="AJ451" i="5"/>
  <c r="AJ452" i="5"/>
  <c r="AJ453" i="5"/>
  <c r="AJ454" i="5"/>
  <c r="AJ455" i="5"/>
  <c r="AJ456" i="5"/>
  <c r="AJ457" i="5"/>
  <c r="AJ458" i="5"/>
  <c r="AJ459" i="5"/>
  <c r="AJ460" i="5"/>
  <c r="AJ461" i="5"/>
  <c r="AJ462" i="5"/>
  <c r="AJ463" i="5"/>
  <c r="AJ464" i="5"/>
  <c r="AJ465" i="5"/>
  <c r="AJ466" i="5"/>
  <c r="AJ467" i="5"/>
  <c r="AJ468" i="5"/>
  <c r="AJ469" i="5"/>
  <c r="AJ470" i="5"/>
  <c r="AJ471" i="5"/>
  <c r="AJ472" i="5"/>
  <c r="AJ473" i="5"/>
  <c r="AJ474" i="5"/>
  <c r="AJ475" i="5"/>
  <c r="AJ476" i="5"/>
  <c r="AJ477" i="5"/>
  <c r="AJ478" i="5"/>
  <c r="AJ479" i="5"/>
  <c r="AJ480" i="5"/>
  <c r="AJ481" i="5"/>
  <c r="AJ482" i="5"/>
  <c r="AJ483" i="5"/>
  <c r="AJ484" i="5"/>
  <c r="AJ485" i="5"/>
  <c r="AJ486" i="5"/>
  <c r="AJ487" i="5"/>
  <c r="AJ488" i="5"/>
  <c r="AJ489" i="5"/>
  <c r="AJ490" i="5"/>
  <c r="AJ491" i="5"/>
  <c r="AJ492" i="5"/>
  <c r="AJ493" i="5"/>
  <c r="AJ494" i="5"/>
  <c r="AJ495" i="5"/>
  <c r="AJ496" i="5"/>
  <c r="AJ497" i="5"/>
  <c r="AJ498" i="5"/>
  <c r="AJ499" i="5"/>
  <c r="AJ500" i="5"/>
  <c r="AJ501" i="5"/>
  <c r="AJ502" i="5"/>
  <c r="AJ503" i="5"/>
  <c r="AJ504" i="5"/>
  <c r="AJ505" i="5"/>
  <c r="AJ506" i="5"/>
  <c r="AJ507" i="5"/>
  <c r="AJ508" i="5"/>
  <c r="AJ509" i="5"/>
  <c r="AJ510" i="5"/>
  <c r="AJ511" i="5"/>
  <c r="AJ512" i="5"/>
  <c r="AJ513" i="5"/>
  <c r="AJ514" i="5"/>
  <c r="AJ515" i="5"/>
  <c r="AJ516" i="5"/>
  <c r="AJ517" i="5"/>
  <c r="AJ518" i="5"/>
  <c r="AJ519" i="5"/>
  <c r="AJ520" i="5"/>
  <c r="AJ521" i="5"/>
  <c r="AJ522" i="5"/>
  <c r="AJ523" i="5"/>
  <c r="AJ524" i="5"/>
  <c r="AJ525" i="5"/>
  <c r="AJ526" i="5"/>
  <c r="AJ527" i="5"/>
  <c r="AJ528" i="5"/>
  <c r="AJ529" i="5"/>
  <c r="AJ530" i="5"/>
  <c r="AJ531" i="5"/>
  <c r="AJ532" i="5"/>
  <c r="AJ533" i="5"/>
  <c r="AJ534" i="5"/>
  <c r="AJ535" i="5"/>
  <c r="AJ536" i="5"/>
  <c r="AJ537" i="5"/>
  <c r="AJ538" i="5"/>
  <c r="AJ539" i="5"/>
  <c r="AJ540" i="5"/>
  <c r="AJ541" i="5"/>
  <c r="AJ542" i="5"/>
  <c r="AJ543" i="5"/>
  <c r="AJ544" i="5"/>
  <c r="AJ545" i="5"/>
  <c r="AJ546" i="5"/>
  <c r="AJ547" i="5"/>
  <c r="AJ548" i="5"/>
  <c r="AJ549" i="5"/>
  <c r="AJ550" i="5"/>
  <c r="AJ551" i="5"/>
  <c r="AJ552" i="5"/>
  <c r="AJ553" i="5"/>
  <c r="AJ554" i="5"/>
  <c r="AJ555" i="5"/>
  <c r="AJ556" i="5"/>
  <c r="AJ557" i="5"/>
  <c r="AJ558" i="5"/>
  <c r="AJ559" i="5"/>
  <c r="AJ560" i="5"/>
  <c r="AJ561" i="5"/>
  <c r="AJ562" i="5"/>
  <c r="AJ563" i="5"/>
  <c r="AJ564" i="5"/>
  <c r="AJ565" i="5"/>
  <c r="AJ566" i="5"/>
  <c r="AJ567" i="5"/>
  <c r="AJ568" i="5"/>
  <c r="AJ569" i="5"/>
  <c r="AJ570" i="5"/>
  <c r="AJ571" i="5"/>
  <c r="AJ572" i="5"/>
  <c r="AJ573" i="5"/>
  <c r="AJ574" i="5"/>
  <c r="AJ575" i="5"/>
  <c r="AJ576" i="5"/>
  <c r="AJ577" i="5"/>
  <c r="AJ578" i="5"/>
  <c r="AJ579" i="5"/>
  <c r="AJ580" i="5"/>
  <c r="AJ581" i="5"/>
  <c r="AJ582" i="5"/>
  <c r="AJ583" i="5"/>
  <c r="AJ584" i="5"/>
  <c r="AJ585" i="5"/>
  <c r="AJ586" i="5"/>
  <c r="AJ587" i="5"/>
  <c r="AJ588" i="5"/>
  <c r="AJ589" i="5"/>
  <c r="AK2" i="5"/>
  <c r="AK3" i="5"/>
  <c r="AK4" i="5"/>
  <c r="AK5" i="5"/>
  <c r="AK6" i="5"/>
  <c r="AK7" i="5"/>
  <c r="AK8" i="5"/>
  <c r="AK9" i="5"/>
  <c r="AK10" i="5"/>
  <c r="AK11" i="5"/>
  <c r="AK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7" i="5"/>
  <c r="AK28" i="5"/>
  <c r="AK29" i="5"/>
  <c r="AK30" i="5"/>
  <c r="AK31" i="5"/>
  <c r="AK32" i="5"/>
  <c r="AK33" i="5"/>
  <c r="AK34" i="5"/>
  <c r="AK35" i="5"/>
  <c r="AK36" i="5"/>
  <c r="AK37" i="5"/>
  <c r="AK38" i="5"/>
  <c r="AK39" i="5"/>
  <c r="AK40" i="5"/>
  <c r="AK41" i="5"/>
  <c r="AK42" i="5"/>
  <c r="AK43" i="5"/>
  <c r="AK44" i="5"/>
  <c r="AK45" i="5"/>
  <c r="AK46" i="5"/>
  <c r="AK47" i="5"/>
  <c r="AK48" i="5"/>
  <c r="AK49" i="5"/>
  <c r="AK50" i="5"/>
  <c r="AK51" i="5"/>
  <c r="AK52" i="5"/>
  <c r="AK53" i="5"/>
  <c r="AK54" i="5"/>
  <c r="AK55" i="5"/>
  <c r="AK56" i="5"/>
  <c r="AK57" i="5"/>
  <c r="AK58" i="5"/>
  <c r="AK59" i="5"/>
  <c r="AK60" i="5"/>
  <c r="AK61" i="5"/>
  <c r="AK62" i="5"/>
  <c r="AK63" i="5"/>
  <c r="AK64" i="5"/>
  <c r="AK65" i="5"/>
  <c r="AK66" i="5"/>
  <c r="AK67" i="5"/>
  <c r="AK68" i="5"/>
  <c r="AK69" i="5"/>
  <c r="AK70" i="5"/>
  <c r="AK71" i="5"/>
  <c r="AK72" i="5"/>
  <c r="AK73" i="5"/>
  <c r="AK74" i="5"/>
  <c r="AK75" i="5"/>
  <c r="AK76" i="5"/>
  <c r="AK77" i="5"/>
  <c r="AK78" i="5"/>
  <c r="AK79" i="5"/>
  <c r="AK80" i="5"/>
  <c r="AK81" i="5"/>
  <c r="AK82" i="5"/>
  <c r="AK83" i="5"/>
  <c r="AK84" i="5"/>
  <c r="AK85" i="5"/>
  <c r="AK86" i="5"/>
  <c r="AK87" i="5"/>
  <c r="AK88" i="5"/>
  <c r="AK89" i="5"/>
  <c r="AK90" i="5"/>
  <c r="AK91" i="5"/>
  <c r="AK92" i="5"/>
  <c r="AK93" i="5"/>
  <c r="AK94" i="5"/>
  <c r="AK95" i="5"/>
  <c r="AK96" i="5"/>
  <c r="AK97" i="5"/>
  <c r="AK98" i="5"/>
  <c r="AK99" i="5"/>
  <c r="AK100" i="5"/>
  <c r="AK101" i="5"/>
  <c r="AK102" i="5"/>
  <c r="AK103" i="5"/>
  <c r="AK104" i="5"/>
  <c r="AK105" i="5"/>
  <c r="AK106" i="5"/>
  <c r="AK107" i="5"/>
  <c r="AK108" i="5"/>
  <c r="AK109" i="5"/>
  <c r="AK110" i="5"/>
  <c r="AK111" i="5"/>
  <c r="AK112" i="5"/>
  <c r="AK113" i="5"/>
  <c r="AK114" i="5"/>
  <c r="AK115" i="5"/>
  <c r="AK116" i="5"/>
  <c r="AK117" i="5"/>
  <c r="AK118" i="5"/>
  <c r="AK119" i="5"/>
  <c r="AK120" i="5"/>
  <c r="AK121" i="5"/>
  <c r="AK122" i="5"/>
  <c r="AK123" i="5"/>
  <c r="AK124" i="5"/>
  <c r="AK125" i="5"/>
  <c r="AK126" i="5"/>
  <c r="AK127" i="5"/>
  <c r="AK128" i="5"/>
  <c r="AK129" i="5"/>
  <c r="AK130" i="5"/>
  <c r="AK131" i="5"/>
  <c r="AK132" i="5"/>
  <c r="AK133" i="5"/>
  <c r="AK134" i="5"/>
  <c r="AK135" i="5"/>
  <c r="AK136" i="5"/>
  <c r="AK137" i="5"/>
  <c r="AK138" i="5"/>
  <c r="AK139" i="5"/>
  <c r="AK140" i="5"/>
  <c r="AK141" i="5"/>
  <c r="AK142" i="5"/>
  <c r="AK143" i="5"/>
  <c r="AK144" i="5"/>
  <c r="AK145" i="5"/>
  <c r="AK146" i="5"/>
  <c r="AK147" i="5"/>
  <c r="AK148" i="5"/>
  <c r="AK149" i="5"/>
  <c r="AK150" i="5"/>
  <c r="AK151" i="5"/>
  <c r="AK152" i="5"/>
  <c r="AK153" i="5"/>
  <c r="AK154" i="5"/>
  <c r="AK155" i="5"/>
  <c r="AK156" i="5"/>
  <c r="AK157" i="5"/>
  <c r="AK158" i="5"/>
  <c r="AK159" i="5"/>
  <c r="AK160" i="5"/>
  <c r="AK161" i="5"/>
  <c r="AK162" i="5"/>
  <c r="AK163" i="5"/>
  <c r="AK164" i="5"/>
  <c r="AK165" i="5"/>
  <c r="AK166" i="5"/>
  <c r="AK167" i="5"/>
  <c r="AK168" i="5"/>
  <c r="AK169" i="5"/>
  <c r="AK170" i="5"/>
  <c r="AK171" i="5"/>
  <c r="AK172" i="5"/>
  <c r="AK173" i="5"/>
  <c r="AK174" i="5"/>
  <c r="AK175" i="5"/>
  <c r="AK176" i="5"/>
  <c r="AK177" i="5"/>
  <c r="AK178" i="5"/>
  <c r="AK179" i="5"/>
  <c r="AK180" i="5"/>
  <c r="AK181" i="5"/>
  <c r="AK182" i="5"/>
  <c r="AK183" i="5"/>
  <c r="AK184" i="5"/>
  <c r="AK185" i="5"/>
  <c r="AK186" i="5"/>
  <c r="AK187" i="5"/>
  <c r="AK188" i="5"/>
  <c r="AK189" i="5"/>
  <c r="AK190" i="5"/>
  <c r="AK191" i="5"/>
  <c r="AK192" i="5"/>
  <c r="AK193" i="5"/>
  <c r="AK194" i="5"/>
  <c r="AK195" i="5"/>
  <c r="AK196" i="5"/>
  <c r="AK197" i="5"/>
  <c r="AK198" i="5"/>
  <c r="AK199" i="5"/>
  <c r="AK200" i="5"/>
  <c r="AK201" i="5"/>
  <c r="AK202" i="5"/>
  <c r="AK203" i="5"/>
  <c r="AK204" i="5"/>
  <c r="AK205" i="5"/>
  <c r="AK206" i="5"/>
  <c r="AK207" i="5"/>
  <c r="AK208" i="5"/>
  <c r="AK209" i="5"/>
  <c r="AK210" i="5"/>
  <c r="AK211" i="5"/>
  <c r="AK212" i="5"/>
  <c r="AK213" i="5"/>
  <c r="AK214" i="5"/>
  <c r="AK215" i="5"/>
  <c r="AK216" i="5"/>
  <c r="AK217" i="5"/>
  <c r="AK218" i="5"/>
  <c r="AK219" i="5"/>
  <c r="AK220" i="5"/>
  <c r="AK221" i="5"/>
  <c r="AK222" i="5"/>
  <c r="AK223" i="5"/>
  <c r="AK224" i="5"/>
  <c r="AK225" i="5"/>
  <c r="AK226" i="5"/>
  <c r="AK227" i="5"/>
  <c r="AK228" i="5"/>
  <c r="AK229" i="5"/>
  <c r="AK230" i="5"/>
  <c r="AK231" i="5"/>
  <c r="AK232" i="5"/>
  <c r="AK233" i="5"/>
  <c r="AK234" i="5"/>
  <c r="AK235" i="5"/>
  <c r="AK236" i="5"/>
  <c r="AK237" i="5"/>
  <c r="AK238" i="5"/>
  <c r="AK239" i="5"/>
  <c r="AK240" i="5"/>
  <c r="AK241" i="5"/>
  <c r="AK242" i="5"/>
  <c r="AK243" i="5"/>
  <c r="AK244" i="5"/>
  <c r="AK245" i="5"/>
  <c r="AK246" i="5"/>
  <c r="AK247" i="5"/>
  <c r="AK248" i="5"/>
  <c r="AK249" i="5"/>
  <c r="AK250" i="5"/>
  <c r="AK251" i="5"/>
  <c r="AK252" i="5"/>
  <c r="AK253" i="5"/>
  <c r="AK254" i="5"/>
  <c r="AK255" i="5"/>
  <c r="AK256" i="5"/>
  <c r="AK257" i="5"/>
  <c r="AK258" i="5"/>
  <c r="AK259" i="5"/>
  <c r="AK260" i="5"/>
  <c r="AK261" i="5"/>
  <c r="AK262" i="5"/>
  <c r="AK263" i="5"/>
  <c r="AK264" i="5"/>
  <c r="AK265" i="5"/>
  <c r="AK266" i="5"/>
  <c r="AK267" i="5"/>
  <c r="AK268" i="5"/>
  <c r="AK269" i="5"/>
  <c r="AK270" i="5"/>
  <c r="AK271" i="5"/>
  <c r="AK272" i="5"/>
  <c r="AK273" i="5"/>
  <c r="AK274" i="5"/>
  <c r="AK275" i="5"/>
  <c r="AK276" i="5"/>
  <c r="AK277" i="5"/>
  <c r="AK278" i="5"/>
  <c r="AK279" i="5"/>
  <c r="AK280" i="5"/>
  <c r="AK281" i="5"/>
  <c r="AK282" i="5"/>
  <c r="AK283" i="5"/>
  <c r="AK284" i="5"/>
  <c r="AK285" i="5"/>
  <c r="AK286" i="5"/>
  <c r="AK287" i="5"/>
  <c r="AK288" i="5"/>
  <c r="AK289" i="5"/>
  <c r="AK290" i="5"/>
  <c r="AK291" i="5"/>
  <c r="AK292" i="5"/>
  <c r="AK293" i="5"/>
  <c r="AK294" i="5"/>
  <c r="AK295" i="5"/>
  <c r="AK296" i="5"/>
  <c r="AK297" i="5"/>
  <c r="AK298" i="5"/>
  <c r="AK299" i="5"/>
  <c r="AK300" i="5"/>
  <c r="AK301" i="5"/>
  <c r="AK302" i="5"/>
  <c r="AK303" i="5"/>
  <c r="AK304" i="5"/>
  <c r="AK305" i="5"/>
  <c r="AK306" i="5"/>
  <c r="AK307" i="5"/>
  <c r="AK308" i="5"/>
  <c r="AK309" i="5"/>
  <c r="AK310" i="5"/>
  <c r="AK311" i="5"/>
  <c r="AK312" i="5"/>
  <c r="AK313" i="5"/>
  <c r="AK314" i="5"/>
  <c r="AK315" i="5"/>
  <c r="AK316" i="5"/>
  <c r="AK317" i="5"/>
  <c r="AK318" i="5"/>
  <c r="AK319" i="5"/>
  <c r="AK320" i="5"/>
  <c r="AK321" i="5"/>
  <c r="AK322" i="5"/>
  <c r="AK323" i="5"/>
  <c r="AK324" i="5"/>
  <c r="AK325" i="5"/>
  <c r="AK326" i="5"/>
  <c r="AK327" i="5"/>
  <c r="AK328" i="5"/>
  <c r="AK329" i="5"/>
  <c r="AK330" i="5"/>
  <c r="AK331" i="5"/>
  <c r="AK332" i="5"/>
  <c r="AK333" i="5"/>
  <c r="AK334" i="5"/>
  <c r="AK335" i="5"/>
  <c r="AK336" i="5"/>
  <c r="AK337" i="5"/>
  <c r="AK338" i="5"/>
  <c r="AK339" i="5"/>
  <c r="AK340" i="5"/>
  <c r="AK341" i="5"/>
  <c r="AK342" i="5"/>
  <c r="AK343" i="5"/>
  <c r="AK344" i="5"/>
  <c r="AK345" i="5"/>
  <c r="AK346" i="5"/>
  <c r="AK347" i="5"/>
  <c r="AK348" i="5"/>
  <c r="AK349" i="5"/>
  <c r="AK350" i="5"/>
  <c r="AK351" i="5"/>
  <c r="AK352" i="5"/>
  <c r="AK353" i="5"/>
  <c r="AK354" i="5"/>
  <c r="AK355" i="5"/>
  <c r="AK356" i="5"/>
  <c r="AK357" i="5"/>
  <c r="AK358" i="5"/>
  <c r="AK359" i="5"/>
  <c r="AK360" i="5"/>
  <c r="AK361" i="5"/>
  <c r="AK362" i="5"/>
  <c r="AK363" i="5"/>
  <c r="AK364" i="5"/>
  <c r="AK365" i="5"/>
  <c r="AK366" i="5"/>
  <c r="AK367" i="5"/>
  <c r="AK368" i="5"/>
  <c r="AK369" i="5"/>
  <c r="AK370" i="5"/>
  <c r="AK371" i="5"/>
  <c r="AK372" i="5"/>
  <c r="AK373" i="5"/>
  <c r="AK374" i="5"/>
  <c r="AK375" i="5"/>
  <c r="AK376" i="5"/>
  <c r="AK377" i="5"/>
  <c r="AK378" i="5"/>
  <c r="AK379" i="5"/>
  <c r="AK380" i="5"/>
  <c r="AK381" i="5"/>
  <c r="AK382" i="5"/>
  <c r="AK383" i="5"/>
  <c r="AK384" i="5"/>
  <c r="AK385" i="5"/>
  <c r="AK386" i="5"/>
  <c r="AK387" i="5"/>
  <c r="AK388" i="5"/>
  <c r="AK389" i="5"/>
  <c r="AK390" i="5"/>
  <c r="AK391" i="5"/>
  <c r="AK392" i="5"/>
  <c r="AK393" i="5"/>
  <c r="AK394" i="5"/>
  <c r="AK395" i="5"/>
  <c r="AK396" i="5"/>
  <c r="AK397" i="5"/>
  <c r="AK398" i="5"/>
  <c r="AK399" i="5"/>
  <c r="AK400" i="5"/>
  <c r="AK401" i="5"/>
  <c r="AK402" i="5"/>
  <c r="AK403" i="5"/>
  <c r="AK404" i="5"/>
  <c r="AK405" i="5"/>
  <c r="AK406" i="5"/>
  <c r="AK407" i="5"/>
  <c r="AK408" i="5"/>
  <c r="AK409" i="5"/>
  <c r="AK410" i="5"/>
  <c r="AK411" i="5"/>
  <c r="AK412" i="5"/>
  <c r="AK413" i="5"/>
  <c r="AK414" i="5"/>
  <c r="AK415" i="5"/>
  <c r="AK416" i="5"/>
  <c r="AK417" i="5"/>
  <c r="AK418" i="5"/>
  <c r="AK419" i="5"/>
  <c r="AK420" i="5"/>
  <c r="AK421" i="5"/>
  <c r="AK422" i="5"/>
  <c r="AK423" i="5"/>
  <c r="AK424" i="5"/>
  <c r="AK425" i="5"/>
  <c r="AK426" i="5"/>
  <c r="AK427" i="5"/>
  <c r="AK428" i="5"/>
  <c r="AK429" i="5"/>
  <c r="AK430" i="5"/>
  <c r="AK431" i="5"/>
  <c r="AK432" i="5"/>
  <c r="AK433" i="5"/>
  <c r="AK434" i="5"/>
  <c r="AK435" i="5"/>
  <c r="AK436" i="5"/>
  <c r="AK437" i="5"/>
  <c r="AK438" i="5"/>
  <c r="AK439" i="5"/>
  <c r="AK440" i="5"/>
  <c r="AK441" i="5"/>
  <c r="AK442" i="5"/>
  <c r="AK443" i="5"/>
  <c r="AK444" i="5"/>
  <c r="AK445" i="5"/>
  <c r="AK446" i="5"/>
  <c r="AK447" i="5"/>
  <c r="AK448" i="5"/>
  <c r="AK449" i="5"/>
  <c r="AK450" i="5"/>
  <c r="AK451" i="5"/>
  <c r="AK452" i="5"/>
  <c r="AK453" i="5"/>
  <c r="AK454" i="5"/>
  <c r="AK455" i="5"/>
  <c r="AK456" i="5"/>
  <c r="AK457" i="5"/>
  <c r="AK458" i="5"/>
  <c r="AK459" i="5"/>
  <c r="AK460" i="5"/>
  <c r="AK461" i="5"/>
  <c r="AK462" i="5"/>
  <c r="AK463" i="5"/>
  <c r="AK464" i="5"/>
  <c r="AK465" i="5"/>
  <c r="AK466" i="5"/>
  <c r="AK467" i="5"/>
  <c r="AK468" i="5"/>
  <c r="AK469" i="5"/>
  <c r="AK470" i="5"/>
  <c r="AK471" i="5"/>
  <c r="AK472" i="5"/>
  <c r="AK473" i="5"/>
  <c r="AK474" i="5"/>
  <c r="AK475" i="5"/>
  <c r="AK476" i="5"/>
  <c r="AK477" i="5"/>
  <c r="AK478" i="5"/>
  <c r="AK479" i="5"/>
  <c r="AK480" i="5"/>
  <c r="AK481" i="5"/>
  <c r="AK482" i="5"/>
  <c r="AK483" i="5"/>
  <c r="AK484" i="5"/>
  <c r="AK485" i="5"/>
  <c r="AK486" i="5"/>
  <c r="AK487" i="5"/>
  <c r="AK488" i="5"/>
  <c r="AK489" i="5"/>
  <c r="AK490" i="5"/>
  <c r="AK491" i="5"/>
  <c r="AK492" i="5"/>
  <c r="AK493" i="5"/>
  <c r="AK494" i="5"/>
  <c r="AK495" i="5"/>
  <c r="AK496" i="5"/>
  <c r="AK497" i="5"/>
  <c r="AK498" i="5"/>
  <c r="AK499" i="5"/>
  <c r="AK500" i="5"/>
  <c r="AK501" i="5"/>
  <c r="AK502" i="5"/>
  <c r="AK503" i="5"/>
  <c r="AK504" i="5"/>
  <c r="AK505" i="5"/>
  <c r="AK506" i="5"/>
  <c r="AK507" i="5"/>
  <c r="AK508" i="5"/>
  <c r="AK509" i="5"/>
  <c r="AK510" i="5"/>
  <c r="AK511" i="5"/>
  <c r="AK512" i="5"/>
  <c r="AK513" i="5"/>
  <c r="AK514" i="5"/>
  <c r="AK515" i="5"/>
  <c r="AK516" i="5"/>
  <c r="AK517" i="5"/>
  <c r="AK518" i="5"/>
  <c r="AK519" i="5"/>
  <c r="AK520" i="5"/>
  <c r="AK521" i="5"/>
  <c r="AK522" i="5"/>
  <c r="AK523" i="5"/>
  <c r="AK524" i="5"/>
  <c r="AK525" i="5"/>
  <c r="AK526" i="5"/>
  <c r="AK527" i="5"/>
  <c r="AK528" i="5"/>
  <c r="AK529" i="5"/>
  <c r="AK530" i="5"/>
  <c r="AK531" i="5"/>
  <c r="AK532" i="5"/>
  <c r="AK533" i="5"/>
  <c r="AK534" i="5"/>
  <c r="AK535" i="5"/>
  <c r="AK536" i="5"/>
  <c r="AK537" i="5"/>
  <c r="AK538" i="5"/>
  <c r="AK539" i="5"/>
  <c r="AK540" i="5"/>
  <c r="AK541" i="5"/>
  <c r="AK542" i="5"/>
  <c r="AK543" i="5"/>
  <c r="AK544" i="5"/>
  <c r="AK545" i="5"/>
  <c r="AK546" i="5"/>
  <c r="AK547" i="5"/>
  <c r="AK548" i="5"/>
  <c r="AK549" i="5"/>
  <c r="AK550" i="5"/>
  <c r="AK551" i="5"/>
  <c r="AK552" i="5"/>
  <c r="AK553" i="5"/>
  <c r="AK554" i="5"/>
  <c r="AK555" i="5"/>
  <c r="AK556" i="5"/>
  <c r="AK557" i="5"/>
  <c r="AK558" i="5"/>
  <c r="AK559" i="5"/>
  <c r="AK560" i="5"/>
  <c r="AK561" i="5"/>
  <c r="AK562" i="5"/>
  <c r="AK563" i="5"/>
  <c r="AK564" i="5"/>
  <c r="AK565" i="5"/>
  <c r="AK566" i="5"/>
  <c r="AK567" i="5"/>
  <c r="AK568" i="5"/>
  <c r="AK569" i="5"/>
  <c r="AK570" i="5"/>
  <c r="AK571" i="5"/>
  <c r="AK572" i="5"/>
  <c r="AK573" i="5"/>
  <c r="AK574" i="5"/>
  <c r="AK575" i="5"/>
  <c r="AK576" i="5"/>
  <c r="AK577" i="5"/>
  <c r="AK578" i="5"/>
  <c r="AK579" i="5"/>
  <c r="AK580" i="5"/>
  <c r="AK581" i="5"/>
  <c r="AK582" i="5"/>
  <c r="AK583" i="5"/>
  <c r="AK584" i="5"/>
  <c r="AK585" i="5"/>
  <c r="AK586" i="5"/>
  <c r="AK587" i="5"/>
  <c r="AK588" i="5"/>
  <c r="AK589" i="5"/>
  <c r="AL39" i="5" a="1"/>
  <c r="AL39" i="5" s="1"/>
  <c r="AL40" i="5" a="1"/>
  <c r="AL40" i="5" s="1"/>
  <c r="AL113" i="5" a="1"/>
  <c r="AL113" i="5" s="1"/>
  <c r="AL114" i="5" a="1"/>
  <c r="AL114" i="5" s="1"/>
  <c r="AL185" i="5" a="1"/>
  <c r="AL185" i="5" s="1"/>
  <c r="AL186" i="5" a="1"/>
  <c r="AL186" i="5" s="1"/>
  <c r="AL245" i="5" a="1"/>
  <c r="AL245" i="5" s="1"/>
  <c r="AL254" i="5" a="1"/>
  <c r="AL254" i="5" s="1"/>
  <c r="AL296" i="5" a="1"/>
  <c r="AL296" i="5" s="1"/>
  <c r="AL307" i="5" a="1"/>
  <c r="AL307" i="5" s="1"/>
  <c r="AL348" i="5" a="1"/>
  <c r="AL348" i="5" s="1"/>
  <c r="AL394" i="5" a="1"/>
  <c r="AL394" i="5" s="1"/>
  <c r="AL406" i="5" a="1"/>
  <c r="AL406" i="5" s="1"/>
  <c r="AL441" i="5" a="1"/>
  <c r="AL441" i="5" s="1"/>
  <c r="AL451" i="5" a="1"/>
  <c r="AL451" i="5" s="1"/>
  <c r="AL485" i="5" a="1"/>
  <c r="AL485" i="5" s="1"/>
  <c r="AL495" i="5" a="1"/>
  <c r="AL495" i="5" s="1"/>
  <c r="AL528" i="5" a="1"/>
  <c r="AL528" i="5" s="1"/>
  <c r="AL536" i="5" a="1"/>
  <c r="AL536" i="5" s="1"/>
  <c r="AL565" i="5" a="1"/>
  <c r="AL565" i="5" s="1"/>
  <c r="AL573" i="5" a="1"/>
  <c r="AL573" i="5" s="1"/>
  <c r="C23" i="4"/>
  <c r="G7" i="4"/>
  <c r="E10" i="4"/>
  <c r="C8" i="4"/>
  <c r="E8" i="4" s="1"/>
  <c r="C9" i="4"/>
  <c r="E9" i="4" s="1"/>
  <c r="C10" i="4"/>
  <c r="C7" i="4"/>
  <c r="C11" i="4" s="1"/>
  <c r="C37" i="3"/>
  <c r="C34" i="3"/>
  <c r="C32" i="3"/>
  <c r="C33" i="3" s="1"/>
  <c r="C40" i="3" s="1"/>
  <c r="C31" i="3"/>
  <c r="D25" i="3"/>
  <c r="D24" i="3"/>
  <c r="D23" i="3"/>
  <c r="D22" i="3"/>
  <c r="C18" i="3"/>
  <c r="C25" i="3" s="1"/>
  <c r="E25" i="3" s="1"/>
  <c r="C16" i="3"/>
  <c r="C15" i="3"/>
  <c r="C14" i="3"/>
  <c r="C11" i="3"/>
  <c r="C26" i="3" s="1"/>
  <c r="E26" i="3" s="1"/>
  <c r="C30" i="2"/>
  <c r="L2" i="7" a="1"/>
  <c r="L2" i="7" s="1"/>
  <c r="J3" i="7"/>
  <c r="J2" i="7"/>
  <c r="J1" i="7"/>
  <c r="F2" i="7" a="1"/>
  <c r="F2" i="7" s="1"/>
  <c r="C33" i="2"/>
  <c r="C31" i="2"/>
  <c r="C36" i="2" s="1"/>
  <c r="C26" i="2"/>
  <c r="C24" i="2"/>
  <c r="C23" i="2"/>
  <c r="C22" i="2"/>
  <c r="C21" i="2"/>
  <c r="C20" i="2"/>
  <c r="C19" i="2"/>
  <c r="C17" i="2"/>
  <c r="C16" i="2"/>
  <c r="C15" i="2"/>
  <c r="C14" i="2"/>
  <c r="C13" i="2"/>
  <c r="C11" i="2"/>
  <c r="C10" i="2"/>
  <c r="C9" i="2"/>
  <c r="C8" i="2"/>
  <c r="C5" i="2"/>
  <c r="B1" i="7"/>
  <c r="AL5" i="5" s="1" a="1"/>
  <c r="AL5" i="5" s="1"/>
  <c r="AL563" i="5" l="1" a="1"/>
  <c r="AL563" i="5" s="1"/>
  <c r="AL527" i="5" a="1"/>
  <c r="AL527" i="5" s="1"/>
  <c r="AL483" i="5" a="1"/>
  <c r="AL483" i="5" s="1"/>
  <c r="AL439" i="5" a="1"/>
  <c r="AL439" i="5" s="1"/>
  <c r="AL393" i="5" a="1"/>
  <c r="AL393" i="5" s="1"/>
  <c r="AL338" i="5" a="1"/>
  <c r="AL338" i="5" s="1"/>
  <c r="AL294" i="5" a="1"/>
  <c r="AL294" i="5" s="1"/>
  <c r="AL244" i="5" a="1"/>
  <c r="AL244" i="5" s="1"/>
  <c r="AL170" i="5" a="1"/>
  <c r="AL170" i="5" s="1"/>
  <c r="AL95" i="5" a="1"/>
  <c r="AL95" i="5" s="1"/>
  <c r="AL17" i="5" a="1"/>
  <c r="AL17" i="5" s="1"/>
  <c r="AL16" i="5" a="1"/>
  <c r="AL16" i="5" s="1"/>
  <c r="AL519" i="5" a="1"/>
  <c r="AL519" i="5" s="1"/>
  <c r="AL285" i="5" a="1"/>
  <c r="AL285" i="5" s="1"/>
  <c r="AL472" i="5" a="1"/>
  <c r="AL472" i="5" s="1"/>
  <c r="AL276" i="5" a="1"/>
  <c r="AL276" i="5" s="1"/>
  <c r="AL230" i="5" a="1"/>
  <c r="AL230" i="5" s="1"/>
  <c r="AL151" i="5" a="1"/>
  <c r="AL151" i="5" s="1"/>
  <c r="AL74" i="5" a="1"/>
  <c r="AL74" i="5" s="1"/>
  <c r="AL3" i="5" a="1"/>
  <c r="AL3" i="5" s="1"/>
  <c r="AL169" i="5" a="1"/>
  <c r="AL169" i="5" s="1"/>
  <c r="AL372" i="5" a="1"/>
  <c r="AL372" i="5" s="1"/>
  <c r="AL583" i="5" a="1"/>
  <c r="AL583" i="5" s="1"/>
  <c r="AL546" i="5" a="1"/>
  <c r="AL546" i="5" s="1"/>
  <c r="AL509" i="5" a="1"/>
  <c r="AL509" i="5" s="1"/>
  <c r="AL417" i="5" a="1"/>
  <c r="AL417" i="5" s="1"/>
  <c r="AL371" i="5" a="1"/>
  <c r="AL371" i="5" s="1"/>
  <c r="AL265" i="5" a="1"/>
  <c r="AL265" i="5" s="1"/>
  <c r="AL220" i="5" a="1"/>
  <c r="AL220" i="5" s="1"/>
  <c r="AL150" i="5" a="1"/>
  <c r="AL150" i="5" s="1"/>
  <c r="AL73" i="5" a="1"/>
  <c r="AL73" i="5" s="1"/>
  <c r="AL2" i="5" a="1"/>
  <c r="AL2" i="5" s="1"/>
  <c r="AL555" i="5" a="1"/>
  <c r="AL555" i="5" s="1"/>
  <c r="AL428" i="5" a="1"/>
  <c r="AL428" i="5" s="1"/>
  <c r="AL383" i="5" a="1"/>
  <c r="AL383" i="5" s="1"/>
  <c r="AL94" i="5" a="1"/>
  <c r="AL94" i="5" s="1"/>
  <c r="AL554" i="5" a="1"/>
  <c r="AL554" i="5" s="1"/>
  <c r="AL326" i="5" a="1"/>
  <c r="AL326" i="5" s="1"/>
  <c r="AL582" i="5" a="1"/>
  <c r="AL582" i="5" s="1"/>
  <c r="AL545" i="5" a="1"/>
  <c r="AL545" i="5" s="1"/>
  <c r="AL507" i="5" a="1"/>
  <c r="AL507" i="5" s="1"/>
  <c r="AL460" i="5" a="1"/>
  <c r="AL460" i="5" s="1"/>
  <c r="AL416" i="5" a="1"/>
  <c r="AL416" i="5" s="1"/>
  <c r="AL359" i="5" a="1"/>
  <c r="AL359" i="5" s="1"/>
  <c r="AL316" i="5" a="1"/>
  <c r="AL316" i="5" s="1"/>
  <c r="AL264" i="5" a="1"/>
  <c r="AL264" i="5" s="1"/>
  <c r="AL207" i="5" a="1"/>
  <c r="AL207" i="5" s="1"/>
  <c r="AL60" i="5" a="1"/>
  <c r="AL60" i="5" s="1"/>
  <c r="AL473" i="5" a="1"/>
  <c r="AL473" i="5" s="1"/>
  <c r="AL327" i="5" a="1"/>
  <c r="AL327" i="5" s="1"/>
  <c r="AL231" i="5" a="1"/>
  <c r="AL231" i="5" s="1"/>
  <c r="AL518" i="5" a="1"/>
  <c r="AL518" i="5" s="1"/>
  <c r="AL427" i="5" a="1"/>
  <c r="AL427" i="5" s="1"/>
  <c r="AL574" i="5" a="1"/>
  <c r="AL574" i="5" s="1"/>
  <c r="AL537" i="5" a="1"/>
  <c r="AL537" i="5" s="1"/>
  <c r="AL496" i="5" a="1"/>
  <c r="AL496" i="5" s="1"/>
  <c r="AL452" i="5" a="1"/>
  <c r="AL452" i="5" s="1"/>
  <c r="AL407" i="5" a="1"/>
  <c r="AL407" i="5" s="1"/>
  <c r="AL358" i="5" a="1"/>
  <c r="AL358" i="5" s="1"/>
  <c r="AL256" i="5" a="1"/>
  <c r="AL256" i="5" s="1"/>
  <c r="AL206" i="5" a="1"/>
  <c r="AL206" i="5" s="1"/>
  <c r="AL130" i="5" a="1"/>
  <c r="AL130" i="5" s="1"/>
  <c r="AL59" i="5" a="1"/>
  <c r="AL59" i="5" s="1"/>
  <c r="AL571" i="5" a="1"/>
  <c r="AL571" i="5" s="1"/>
  <c r="AL535" i="5" a="1"/>
  <c r="AL535" i="5" s="1"/>
  <c r="AL526" i="5" a="1"/>
  <c r="AL526" i="5" s="1"/>
  <c r="AL494" i="5" a="1"/>
  <c r="AL494" i="5" s="1"/>
  <c r="AL415" i="5" a="1"/>
  <c r="AL415" i="5" s="1"/>
  <c r="AL382" i="5" a="1"/>
  <c r="AL382" i="5" s="1"/>
  <c r="AL335" i="5" a="1"/>
  <c r="AL335" i="5" s="1"/>
  <c r="AL315" i="5" a="1"/>
  <c r="AL315" i="5" s="1"/>
  <c r="AL284" i="5" a="1"/>
  <c r="AL284" i="5" s="1"/>
  <c r="AL89" i="5" a="1"/>
  <c r="AL89" i="5" s="1"/>
  <c r="AL54" i="5" a="1"/>
  <c r="AL54" i="5" s="1"/>
  <c r="AL15" i="5" a="1"/>
  <c r="AL15" i="5" s="1"/>
  <c r="AL589" i="5" a="1"/>
  <c r="AL589" i="5" s="1"/>
  <c r="AL579" i="5" a="1"/>
  <c r="AL579" i="5" s="1"/>
  <c r="AL570" i="5" a="1"/>
  <c r="AL570" i="5" s="1"/>
  <c r="AL561" i="5" a="1"/>
  <c r="AL561" i="5" s="1"/>
  <c r="AL552" i="5" a="1"/>
  <c r="AL552" i="5" s="1"/>
  <c r="AL543" i="5" a="1"/>
  <c r="AL543" i="5" s="1"/>
  <c r="AL534" i="5" a="1"/>
  <c r="AL534" i="5" s="1"/>
  <c r="AL525" i="5" a="1"/>
  <c r="AL525" i="5" s="1"/>
  <c r="AL514" i="5" a="1"/>
  <c r="AL514" i="5" s="1"/>
  <c r="AL504" i="5" a="1"/>
  <c r="AL504" i="5" s="1"/>
  <c r="AL493" i="5" a="1"/>
  <c r="AL493" i="5" s="1"/>
  <c r="AL481" i="5" a="1"/>
  <c r="AL481" i="5" s="1"/>
  <c r="AL468" i="5" a="1"/>
  <c r="AL468" i="5" s="1"/>
  <c r="AL458" i="5" a="1"/>
  <c r="AL458" i="5" s="1"/>
  <c r="AL449" i="5" a="1"/>
  <c r="AL449" i="5" s="1"/>
  <c r="AL436" i="5" a="1"/>
  <c r="AL436" i="5" s="1"/>
  <c r="AL424" i="5" a="1"/>
  <c r="AL424" i="5" s="1"/>
  <c r="AL402" i="5" a="1"/>
  <c r="AL402" i="5" s="1"/>
  <c r="AL391" i="5" a="1"/>
  <c r="AL391" i="5" s="1"/>
  <c r="AL380" i="5" a="1"/>
  <c r="AL380" i="5" s="1"/>
  <c r="AL367" i="5" a="1"/>
  <c r="AL367" i="5" s="1"/>
  <c r="AL356" i="5" a="1"/>
  <c r="AL356" i="5" s="1"/>
  <c r="AL346" i="5" a="1"/>
  <c r="AL346" i="5" s="1"/>
  <c r="AL334" i="5" a="1"/>
  <c r="AL334" i="5" s="1"/>
  <c r="AL324" i="5" a="1"/>
  <c r="AL324" i="5" s="1"/>
  <c r="AL314" i="5" a="1"/>
  <c r="AL314" i="5" s="1"/>
  <c r="AL303" i="5" a="1"/>
  <c r="AL303" i="5" s="1"/>
  <c r="AL292" i="5" a="1"/>
  <c r="AL292" i="5" s="1"/>
  <c r="AL283" i="5" a="1"/>
  <c r="AL283" i="5" s="1"/>
  <c r="AL272" i="5" a="1"/>
  <c r="AL272" i="5" s="1"/>
  <c r="AL263" i="5" a="1"/>
  <c r="AL263" i="5" s="1"/>
  <c r="AL252" i="5" a="1"/>
  <c r="AL252" i="5" s="1"/>
  <c r="AL239" i="5" a="1"/>
  <c r="AL239" i="5" s="1"/>
  <c r="AL228" i="5" a="1"/>
  <c r="AL228" i="5" s="1"/>
  <c r="AL216" i="5" a="1"/>
  <c r="AL216" i="5" s="1"/>
  <c r="AL183" i="5" a="1"/>
  <c r="AL183" i="5" s="1"/>
  <c r="AL164" i="5" a="1"/>
  <c r="AL164" i="5" s="1"/>
  <c r="AL142" i="5" a="1"/>
  <c r="AL142" i="5" s="1"/>
  <c r="AL128" i="5" a="1"/>
  <c r="AL128" i="5" s="1"/>
  <c r="AL108" i="5" a="1"/>
  <c r="AL108" i="5" s="1"/>
  <c r="AL88" i="5" a="1"/>
  <c r="AL88" i="5" s="1"/>
  <c r="AL71" i="5" a="1"/>
  <c r="AL71" i="5" s="1"/>
  <c r="AL53" i="5" a="1"/>
  <c r="AL53" i="5" s="1"/>
  <c r="AL31" i="5" a="1"/>
  <c r="AL31" i="5" s="1"/>
  <c r="AL562" i="5" a="1"/>
  <c r="AL562" i="5" s="1"/>
  <c r="AL553" i="5" a="1"/>
  <c r="AL553" i="5" s="1"/>
  <c r="AL544" i="5" a="1"/>
  <c r="AL544" i="5" s="1"/>
  <c r="AL469" i="5" a="1"/>
  <c r="AL469" i="5" s="1"/>
  <c r="AL450" i="5" a="1"/>
  <c r="AL450" i="5" s="1"/>
  <c r="AL347" i="5" a="1"/>
  <c r="AL347" i="5" s="1"/>
  <c r="AL304" i="5" a="1"/>
  <c r="AL304" i="5" s="1"/>
  <c r="AL273" i="5" a="1"/>
  <c r="AL273" i="5" s="1"/>
  <c r="AL241" i="5" a="1"/>
  <c r="AL241" i="5" s="1"/>
  <c r="AL219" i="5" a="1"/>
  <c r="AL219" i="5" s="1"/>
  <c r="AL184" i="5" a="1"/>
  <c r="AL184" i="5" s="1"/>
  <c r="AL143" i="5" a="1"/>
  <c r="AL143" i="5" s="1"/>
  <c r="AL109" i="5" a="1"/>
  <c r="AL109" i="5" s="1"/>
  <c r="AL72" i="5" a="1"/>
  <c r="AL72" i="5" s="1"/>
  <c r="AL578" i="5" a="1"/>
  <c r="AL578" i="5" s="1"/>
  <c r="AL560" i="5" a="1"/>
  <c r="AL560" i="5" s="1"/>
  <c r="AL542" i="5" a="1"/>
  <c r="AL542" i="5" s="1"/>
  <c r="AL523" i="5" a="1"/>
  <c r="AL523" i="5" s="1"/>
  <c r="AL503" i="5" a="1"/>
  <c r="AL503" i="5" s="1"/>
  <c r="AL457" i="5" a="1"/>
  <c r="AL457" i="5" s="1"/>
  <c r="AL445" i="5" a="1"/>
  <c r="AL445" i="5" s="1"/>
  <c r="AL435" i="5" a="1"/>
  <c r="AL435" i="5" s="1"/>
  <c r="AL412" i="5" a="1"/>
  <c r="AL412" i="5" s="1"/>
  <c r="AL401" i="5" a="1"/>
  <c r="AL401" i="5" s="1"/>
  <c r="AL390" i="5" a="1"/>
  <c r="AL390" i="5" s="1"/>
  <c r="AL377" i="5" a="1"/>
  <c r="AL377" i="5" s="1"/>
  <c r="AL366" i="5" a="1"/>
  <c r="AL366" i="5" s="1"/>
  <c r="AL355" i="5" a="1"/>
  <c r="AL355" i="5" s="1"/>
  <c r="AL342" i="5" a="1"/>
  <c r="AL342" i="5" s="1"/>
  <c r="AL333" i="5" a="1"/>
  <c r="AL333" i="5" s="1"/>
  <c r="AL323" i="5" a="1"/>
  <c r="AL323" i="5" s="1"/>
  <c r="AL311" i="5" a="1"/>
  <c r="AL311" i="5" s="1"/>
  <c r="AL301" i="5" a="1"/>
  <c r="AL301" i="5" s="1"/>
  <c r="AL291" i="5" a="1"/>
  <c r="AL291" i="5" s="1"/>
  <c r="AL279" i="5" a="1"/>
  <c r="AL279" i="5" s="1"/>
  <c r="AL271" i="5" a="1"/>
  <c r="AL271" i="5" s="1"/>
  <c r="AL261" i="5" a="1"/>
  <c r="AL261" i="5" s="1"/>
  <c r="AL250" i="5" a="1"/>
  <c r="AL250" i="5" s="1"/>
  <c r="AL238" i="5" a="1"/>
  <c r="AL238" i="5" s="1"/>
  <c r="AL227" i="5" a="1"/>
  <c r="AL227" i="5" s="1"/>
  <c r="AL213" i="5" a="1"/>
  <c r="AL213" i="5" s="1"/>
  <c r="AL199" i="5" a="1"/>
  <c r="AL199" i="5" s="1"/>
  <c r="AL179" i="5" a="1"/>
  <c r="AL179" i="5" s="1"/>
  <c r="AL158" i="5" a="1"/>
  <c r="AL158" i="5" s="1"/>
  <c r="AL141" i="5" a="1"/>
  <c r="AL141" i="5" s="1"/>
  <c r="AL123" i="5" a="1"/>
  <c r="AL123" i="5" s="1"/>
  <c r="AL87" i="5" a="1"/>
  <c r="AL87" i="5" s="1"/>
  <c r="AL47" i="5" a="1"/>
  <c r="AL47" i="5" s="1"/>
  <c r="AL30" i="5" a="1"/>
  <c r="AL30" i="5" s="1"/>
  <c r="AL11" i="5" a="1"/>
  <c r="AL11" i="5" s="1"/>
  <c r="AL581" i="5" a="1"/>
  <c r="AL581" i="5" s="1"/>
  <c r="AL517" i="5" a="1"/>
  <c r="AL517" i="5" s="1"/>
  <c r="AL505" i="5" a="1"/>
  <c r="AL505" i="5" s="1"/>
  <c r="AL482" i="5" a="1"/>
  <c r="AL482" i="5" s="1"/>
  <c r="AL459" i="5" a="1"/>
  <c r="AL459" i="5" s="1"/>
  <c r="AL426" i="5" a="1"/>
  <c r="AL426" i="5" s="1"/>
  <c r="AL392" i="5" a="1"/>
  <c r="AL392" i="5" s="1"/>
  <c r="AL368" i="5" a="1"/>
  <c r="AL368" i="5" s="1"/>
  <c r="AL325" i="5" a="1"/>
  <c r="AL325" i="5" s="1"/>
  <c r="AL293" i="5" a="1"/>
  <c r="AL293" i="5" s="1"/>
  <c r="AL253" i="5" a="1"/>
  <c r="AL253" i="5" s="1"/>
  <c r="AL229" i="5" a="1"/>
  <c r="AL229" i="5" s="1"/>
  <c r="AL200" i="5" a="1"/>
  <c r="AL200" i="5" s="1"/>
  <c r="AL165" i="5" a="1"/>
  <c r="AL165" i="5" s="1"/>
  <c r="AL129" i="5" a="1"/>
  <c r="AL129" i="5" s="1"/>
  <c r="AL32" i="5" a="1"/>
  <c r="AL32" i="5" s="1"/>
  <c r="AL587" i="5" a="1"/>
  <c r="AL587" i="5" s="1"/>
  <c r="AL569" i="5" a="1"/>
  <c r="AL569" i="5" s="1"/>
  <c r="AL551" i="5" a="1"/>
  <c r="AL551" i="5" s="1"/>
  <c r="AL533" i="5" a="1"/>
  <c r="AL533" i="5" s="1"/>
  <c r="AL513" i="5" a="1"/>
  <c r="AL513" i="5" s="1"/>
  <c r="AL491" i="5" a="1"/>
  <c r="AL491" i="5" s="1"/>
  <c r="AL478" i="5" a="1"/>
  <c r="AL478" i="5" s="1"/>
  <c r="AL467" i="5" a="1"/>
  <c r="AL467" i="5" s="1"/>
  <c r="AL586" i="5" a="1"/>
  <c r="AL586" i="5" s="1"/>
  <c r="AL577" i="5" a="1"/>
  <c r="AL577" i="5" s="1"/>
  <c r="AL568" i="5" a="1"/>
  <c r="AL568" i="5" s="1"/>
  <c r="AL559" i="5" a="1"/>
  <c r="AL559" i="5" s="1"/>
  <c r="AL550" i="5" a="1"/>
  <c r="AL550" i="5" s="1"/>
  <c r="AL541" i="5" a="1"/>
  <c r="AL541" i="5" s="1"/>
  <c r="AL531" i="5" a="1"/>
  <c r="AL531" i="5" s="1"/>
  <c r="AL522" i="5" a="1"/>
  <c r="AL522" i="5" s="1"/>
  <c r="AL512" i="5" a="1"/>
  <c r="AL512" i="5" s="1"/>
  <c r="AL502" i="5" a="1"/>
  <c r="AL502" i="5" s="1"/>
  <c r="AL490" i="5" a="1"/>
  <c r="AL490" i="5" s="1"/>
  <c r="AL477" i="5" a="1"/>
  <c r="AL477" i="5" s="1"/>
  <c r="AL466" i="5" a="1"/>
  <c r="AL466" i="5" s="1"/>
  <c r="AL444" i="5" a="1"/>
  <c r="AL444" i="5" s="1"/>
  <c r="AL434" i="5" a="1"/>
  <c r="AL434" i="5" s="1"/>
  <c r="AL423" i="5" a="1"/>
  <c r="AL423" i="5" s="1"/>
  <c r="AL410" i="5" a="1"/>
  <c r="AL410" i="5" s="1"/>
  <c r="AL400" i="5" a="1"/>
  <c r="AL400" i="5" s="1"/>
  <c r="AL389" i="5" a="1"/>
  <c r="AL389" i="5" s="1"/>
  <c r="AL376" i="5" a="1"/>
  <c r="AL376" i="5" s="1"/>
  <c r="AL364" i="5" a="1"/>
  <c r="AL364" i="5" s="1"/>
  <c r="AL354" i="5" a="1"/>
  <c r="AL354" i="5" s="1"/>
  <c r="AL341" i="5" a="1"/>
  <c r="AL341" i="5" s="1"/>
  <c r="AL332" i="5" a="1"/>
  <c r="AL332" i="5" s="1"/>
  <c r="AL321" i="5" a="1"/>
  <c r="AL321" i="5" s="1"/>
  <c r="AL300" i="5" a="1"/>
  <c r="AL300" i="5" s="1"/>
  <c r="AL290" i="5" a="1"/>
  <c r="AL290" i="5" s="1"/>
  <c r="AL270" i="5" a="1"/>
  <c r="AL270" i="5" s="1"/>
  <c r="AL249" i="5" a="1"/>
  <c r="AL249" i="5" s="1"/>
  <c r="AL237" i="5" a="1"/>
  <c r="AL237" i="5" s="1"/>
  <c r="AL226" i="5" a="1"/>
  <c r="AL226" i="5" s="1"/>
  <c r="AL212" i="5" a="1"/>
  <c r="AL212" i="5" s="1"/>
  <c r="AL198" i="5" a="1"/>
  <c r="AL198" i="5" s="1"/>
  <c r="AL178" i="5" a="1"/>
  <c r="AL178" i="5" s="1"/>
  <c r="AL157" i="5" a="1"/>
  <c r="AL157" i="5" s="1"/>
  <c r="AL140" i="5" a="1"/>
  <c r="AL140" i="5" s="1"/>
  <c r="AL122" i="5" a="1"/>
  <c r="AL122" i="5" s="1"/>
  <c r="AL101" i="5" a="1"/>
  <c r="AL101" i="5" s="1"/>
  <c r="AL86" i="5" a="1"/>
  <c r="AL86" i="5" s="1"/>
  <c r="AL68" i="5" a="1"/>
  <c r="AL68" i="5" s="1"/>
  <c r="AL29" i="5" a="1"/>
  <c r="AL29" i="5" s="1"/>
  <c r="AL10" i="5" a="1"/>
  <c r="AL10" i="5" s="1"/>
  <c r="AL585" i="5" a="1"/>
  <c r="AL585" i="5" s="1"/>
  <c r="AL576" i="5" a="1"/>
  <c r="AL576" i="5" s="1"/>
  <c r="AL567" i="5" a="1"/>
  <c r="AL567" i="5" s="1"/>
  <c r="AL558" i="5" a="1"/>
  <c r="AL558" i="5" s="1"/>
  <c r="AL549" i="5" a="1"/>
  <c r="AL549" i="5" s="1"/>
  <c r="AL539" i="5" a="1"/>
  <c r="AL539" i="5" s="1"/>
  <c r="AL530" i="5" a="1"/>
  <c r="AL530" i="5" s="1"/>
  <c r="AL521" i="5" a="1"/>
  <c r="AL521" i="5" s="1"/>
  <c r="AL511" i="5" a="1"/>
  <c r="AL511" i="5" s="1"/>
  <c r="AL501" i="5" a="1"/>
  <c r="AL501" i="5" s="1"/>
  <c r="AL487" i="5" a="1"/>
  <c r="AL487" i="5" s="1"/>
  <c r="AL475" i="5" a="1"/>
  <c r="AL475" i="5" s="1"/>
  <c r="AL465" i="5" a="1"/>
  <c r="AL465" i="5" s="1"/>
  <c r="AL453" i="5" a="1"/>
  <c r="AL453" i="5" s="1"/>
  <c r="AL443" i="5" a="1"/>
  <c r="AL443" i="5" s="1"/>
  <c r="AL432" i="5" a="1"/>
  <c r="AL432" i="5" s="1"/>
  <c r="AL420" i="5" a="1"/>
  <c r="AL420" i="5" s="1"/>
  <c r="AL409" i="5" a="1"/>
  <c r="AL409" i="5" s="1"/>
  <c r="AL399" i="5" a="1"/>
  <c r="AL399" i="5" s="1"/>
  <c r="AL385" i="5" a="1"/>
  <c r="AL385" i="5" s="1"/>
  <c r="AL375" i="5" a="1"/>
  <c r="AL375" i="5" s="1"/>
  <c r="AL363" i="5" a="1"/>
  <c r="AL363" i="5" s="1"/>
  <c r="AL351" i="5" a="1"/>
  <c r="AL351" i="5" s="1"/>
  <c r="AL340" i="5" a="1"/>
  <c r="AL340" i="5" s="1"/>
  <c r="AL331" i="5" a="1"/>
  <c r="AL331" i="5" s="1"/>
  <c r="AL318" i="5" a="1"/>
  <c r="AL318" i="5" s="1"/>
  <c r="AL310" i="5" a="1"/>
  <c r="AL310" i="5" s="1"/>
  <c r="AL299" i="5" a="1"/>
  <c r="AL299" i="5" s="1"/>
  <c r="AL287" i="5" a="1"/>
  <c r="AL287" i="5" s="1"/>
  <c r="AL278" i="5" a="1"/>
  <c r="AL278" i="5" s="1"/>
  <c r="AL269" i="5" a="1"/>
  <c r="AL269" i="5" s="1"/>
  <c r="AL258" i="5" a="1"/>
  <c r="AL258" i="5" s="1"/>
  <c r="AL247" i="5" a="1"/>
  <c r="AL247" i="5" s="1"/>
  <c r="AL236" i="5" a="1"/>
  <c r="AL236" i="5" s="1"/>
  <c r="AL222" i="5" a="1"/>
  <c r="AL222" i="5" s="1"/>
  <c r="AL209" i="5" a="1"/>
  <c r="AL209" i="5" s="1"/>
  <c r="AL193" i="5" a="1"/>
  <c r="AL193" i="5" s="1"/>
  <c r="AL172" i="5" a="1"/>
  <c r="AL172" i="5" s="1"/>
  <c r="AL156" i="5" a="1"/>
  <c r="AL156" i="5" s="1"/>
  <c r="AL136" i="5" a="1"/>
  <c r="AL136" i="5" s="1"/>
  <c r="AL116" i="5" a="1"/>
  <c r="AL116" i="5" s="1"/>
  <c r="AL81" i="5" a="1"/>
  <c r="AL81" i="5" s="1"/>
  <c r="AL46" i="5" a="1"/>
  <c r="AL46" i="5" s="1"/>
  <c r="AL25" i="5" a="1"/>
  <c r="AL25" i="5" s="1"/>
  <c r="AL12" i="5" a="1"/>
  <c r="AL12" i="5" s="1"/>
  <c r="AL18" i="5" a="1"/>
  <c r="AL18" i="5" s="1"/>
  <c r="AL26" i="5" a="1"/>
  <c r="AL26" i="5" s="1"/>
  <c r="AL33" i="5" a="1"/>
  <c r="AL33" i="5" s="1"/>
  <c r="AL41" i="5" a="1"/>
  <c r="AL41" i="5" s="1"/>
  <c r="AL48" i="5" a="1"/>
  <c r="AL48" i="5" s="1"/>
  <c r="AL55" i="5" a="1"/>
  <c r="AL55" i="5" s="1"/>
  <c r="AL62" i="5" a="1"/>
  <c r="AL62" i="5" s="1"/>
  <c r="AL69" i="5" a="1"/>
  <c r="AL69" i="5" s="1"/>
  <c r="AL75" i="5" a="1"/>
  <c r="AL75" i="5" s="1"/>
  <c r="AL82" i="5" a="1"/>
  <c r="AL82" i="5" s="1"/>
  <c r="AL90" i="5" a="1"/>
  <c r="AL90" i="5" s="1"/>
  <c r="AL96" i="5" a="1"/>
  <c r="AL96" i="5" s="1"/>
  <c r="AL102" i="5" a="1"/>
  <c r="AL102" i="5" s="1"/>
  <c r="AL110" i="5" a="1"/>
  <c r="AL110" i="5" s="1"/>
  <c r="AL117" i="5" a="1"/>
  <c r="AL117" i="5" s="1"/>
  <c r="AL124" i="5" a="1"/>
  <c r="AL124" i="5" s="1"/>
  <c r="AL131" i="5" a="1"/>
  <c r="AL131" i="5" s="1"/>
  <c r="AL137" i="5" a="1"/>
  <c r="AL137" i="5" s="1"/>
  <c r="AL144" i="5" a="1"/>
  <c r="AL144" i="5" s="1"/>
  <c r="AL152" i="5" a="1"/>
  <c r="AL152" i="5" s="1"/>
  <c r="AL166" i="5" a="1"/>
  <c r="AL166" i="5" s="1"/>
  <c r="AL173" i="5" a="1"/>
  <c r="AL173" i="5" s="1"/>
  <c r="AL187" i="5" a="1"/>
  <c r="AL187" i="5" s="1"/>
  <c r="AL194" i="5" a="1"/>
  <c r="AL194" i="5" s="1"/>
  <c r="AL6" i="5" a="1"/>
  <c r="AL6" i="5" s="1"/>
  <c r="AL13" i="5" a="1"/>
  <c r="AL13" i="5" s="1"/>
  <c r="AL19" i="5" a="1"/>
  <c r="AL19" i="5" s="1"/>
  <c r="AL27" i="5" a="1"/>
  <c r="AL27" i="5" s="1"/>
  <c r="AL34" i="5" a="1"/>
  <c r="AL34" i="5" s="1"/>
  <c r="AL42" i="5" a="1"/>
  <c r="AL42" i="5" s="1"/>
  <c r="AL49" i="5" a="1"/>
  <c r="AL49" i="5" s="1"/>
  <c r="AL56" i="5" a="1"/>
  <c r="AL56" i="5" s="1"/>
  <c r="AL63" i="5" a="1"/>
  <c r="AL63" i="5" s="1"/>
  <c r="AL76" i="5" a="1"/>
  <c r="AL76" i="5" s="1"/>
  <c r="AL83" i="5" a="1"/>
  <c r="AL83" i="5" s="1"/>
  <c r="AL91" i="5" a="1"/>
  <c r="AL91" i="5" s="1"/>
  <c r="AL97" i="5" a="1"/>
  <c r="AL97" i="5" s="1"/>
  <c r="AL103" i="5" a="1"/>
  <c r="AL103" i="5" s="1"/>
  <c r="AL118" i="5" a="1"/>
  <c r="AL118" i="5" s="1"/>
  <c r="AL125" i="5" a="1"/>
  <c r="AL125" i="5" s="1"/>
  <c r="AL132" i="5" a="1"/>
  <c r="AL132" i="5" s="1"/>
  <c r="AL145" i="5" a="1"/>
  <c r="AL145" i="5" s="1"/>
  <c r="AL153" i="5" a="1"/>
  <c r="AL153" i="5" s="1"/>
  <c r="AL159" i="5" a="1"/>
  <c r="AL159" i="5" s="1"/>
  <c r="AL167" i="5" a="1"/>
  <c r="AL167" i="5" s="1"/>
  <c r="AL174" i="5" a="1"/>
  <c r="AL174" i="5" s="1"/>
  <c r="AL180" i="5" a="1"/>
  <c r="AL180" i="5" s="1"/>
  <c r="AL188" i="5" a="1"/>
  <c r="AL188" i="5" s="1"/>
  <c r="AL195" i="5" a="1"/>
  <c r="AL195" i="5" s="1"/>
  <c r="AL202" i="5" a="1"/>
  <c r="AL202" i="5" s="1"/>
  <c r="AL210" i="5" a="1"/>
  <c r="AL210" i="5" s="1"/>
  <c r="AL217" i="5" a="1"/>
  <c r="AL217" i="5" s="1"/>
  <c r="AL223" i="5" a="1"/>
  <c r="AL223" i="5" s="1"/>
  <c r="AL20" i="5" a="1"/>
  <c r="AL20" i="5" s="1"/>
  <c r="AL28" i="5" a="1"/>
  <c r="AL28" i="5" s="1"/>
  <c r="AL35" i="5" a="1"/>
  <c r="AL35" i="5" s="1"/>
  <c r="AL43" i="5" a="1"/>
  <c r="AL43" i="5" s="1"/>
  <c r="AL50" i="5" a="1"/>
  <c r="AL50" i="5" s="1"/>
  <c r="AL57" i="5" a="1"/>
  <c r="AL57" i="5" s="1"/>
  <c r="AL64" i="5" a="1"/>
  <c r="AL64" i="5" s="1"/>
  <c r="AL70" i="5" a="1"/>
  <c r="AL70" i="5" s="1"/>
  <c r="AL77" i="5" a="1"/>
  <c r="AL77" i="5" s="1"/>
  <c r="AL84" i="5" a="1"/>
  <c r="AL84" i="5" s="1"/>
  <c r="AL92" i="5" a="1"/>
  <c r="AL92" i="5" s="1"/>
  <c r="AL98" i="5" a="1"/>
  <c r="AL98" i="5" s="1"/>
  <c r="AL104" i="5" a="1"/>
  <c r="AL104" i="5" s="1"/>
  <c r="AL111" i="5" a="1"/>
  <c r="AL111" i="5" s="1"/>
  <c r="AL126" i="5" a="1"/>
  <c r="AL126" i="5" s="1"/>
  <c r="AL138" i="5" a="1"/>
  <c r="AL138" i="5" s="1"/>
  <c r="AL146" i="5" a="1"/>
  <c r="AL146" i="5" s="1"/>
  <c r="AL154" i="5" a="1"/>
  <c r="AL154" i="5" s="1"/>
  <c r="AL160" i="5" a="1"/>
  <c r="AL160" i="5" s="1"/>
  <c r="AL175" i="5" a="1"/>
  <c r="AL175" i="5" s="1"/>
  <c r="AL181" i="5" a="1"/>
  <c r="AL181" i="5" s="1"/>
  <c r="AL189" i="5" a="1"/>
  <c r="AL189" i="5" s="1"/>
  <c r="AL196" i="5" a="1"/>
  <c r="AL196" i="5" s="1"/>
  <c r="AL203" i="5" a="1"/>
  <c r="AL203" i="5" s="1"/>
  <c r="AL218" i="5" a="1"/>
  <c r="AL218" i="5" s="1"/>
  <c r="AL224" i="5" a="1"/>
  <c r="AL224" i="5" s="1"/>
  <c r="AL232" i="5" a="1"/>
  <c r="AL232" i="5" s="1"/>
  <c r="AL240" i="5" a="1"/>
  <c r="AL240" i="5" s="1"/>
  <c r="AL248" i="5" a="1"/>
  <c r="AL248" i="5" s="1"/>
  <c r="AL255" i="5" a="1"/>
  <c r="AL255" i="5" s="1"/>
  <c r="AL262" i="5" a="1"/>
  <c r="AL262" i="5" s="1"/>
  <c r="AL268" i="5" a="1"/>
  <c r="AL268" i="5" s="1"/>
  <c r="AL275" i="5" a="1"/>
  <c r="AL275" i="5" s="1"/>
  <c r="AL281" i="5" a="1"/>
  <c r="AL281" i="5" s="1"/>
  <c r="AL295" i="5" a="1"/>
  <c r="AL295" i="5" s="1"/>
  <c r="AL302" i="5" a="1"/>
  <c r="AL302" i="5" s="1"/>
  <c r="AL309" i="5" a="1"/>
  <c r="AL309" i="5" s="1"/>
  <c r="AL322" i="5" a="1"/>
  <c r="AL322" i="5" s="1"/>
  <c r="AL329" i="5" a="1"/>
  <c r="AL329" i="5" s="1"/>
  <c r="AL343" i="5" a="1"/>
  <c r="AL343" i="5" s="1"/>
  <c r="AL350" i="5" a="1"/>
  <c r="AL350" i="5" s="1"/>
  <c r="AL357" i="5" a="1"/>
  <c r="AL357" i="5" s="1"/>
  <c r="AL365" i="5" a="1"/>
  <c r="AL365" i="5" s="1"/>
  <c r="AL373" i="5" a="1"/>
  <c r="AL373" i="5" s="1"/>
  <c r="AL381" i="5" a="1"/>
  <c r="AL381" i="5" s="1"/>
  <c r="AL388" i="5" a="1"/>
  <c r="AL388" i="5" s="1"/>
  <c r="AL396" i="5" a="1"/>
  <c r="AL396" i="5" s="1"/>
  <c r="AL403" i="5" a="1"/>
  <c r="AL403" i="5" s="1"/>
  <c r="AL411" i="5" a="1"/>
  <c r="AL411" i="5" s="1"/>
  <c r="AL418" i="5" a="1"/>
  <c r="AL418" i="5" s="1"/>
  <c r="AL425" i="5" a="1"/>
  <c r="AL425" i="5" s="1"/>
  <c r="AL433" i="5" a="1"/>
  <c r="AL433" i="5" s="1"/>
  <c r="AL440" i="5" a="1"/>
  <c r="AL440" i="5" s="1"/>
  <c r="AL448" i="5" a="1"/>
  <c r="AL448" i="5" s="1"/>
  <c r="AL455" i="5" a="1"/>
  <c r="AL455" i="5" s="1"/>
  <c r="AL461" i="5" a="1"/>
  <c r="AL461" i="5" s="1"/>
  <c r="AL476" i="5" a="1"/>
  <c r="AL476" i="5" s="1"/>
  <c r="AL484" i="5" a="1"/>
  <c r="AL484" i="5" s="1"/>
  <c r="AL492" i="5" a="1"/>
  <c r="AL492" i="5" s="1"/>
  <c r="AL500" i="5" a="1"/>
  <c r="AL500" i="5" s="1"/>
  <c r="AL508" i="5" a="1"/>
  <c r="AL508" i="5" s="1"/>
  <c r="AL516" i="5" a="1"/>
  <c r="AL516" i="5" s="1"/>
  <c r="AL7" i="5" a="1"/>
  <c r="AL7" i="5" s="1"/>
  <c r="AL14" i="5" a="1"/>
  <c r="AL14" i="5" s="1"/>
  <c r="AL21" i="5" a="1"/>
  <c r="AL21" i="5" s="1"/>
  <c r="AL36" i="5" a="1"/>
  <c r="AL36" i="5" s="1"/>
  <c r="AL44" i="5" a="1"/>
  <c r="AL44" i="5" s="1"/>
  <c r="AL51" i="5" a="1"/>
  <c r="AL51" i="5" s="1"/>
  <c r="AL58" i="5" a="1"/>
  <c r="AL58" i="5" s="1"/>
  <c r="AL65" i="5" a="1"/>
  <c r="AL65" i="5" s="1"/>
  <c r="AL85" i="5" a="1"/>
  <c r="AL85" i="5" s="1"/>
  <c r="AL99" i="5" a="1"/>
  <c r="AL99" i="5" s="1"/>
  <c r="AL105" i="5" a="1"/>
  <c r="AL105" i="5" s="1"/>
  <c r="AL112" i="5" a="1"/>
  <c r="AL112" i="5" s="1"/>
  <c r="AL119" i="5" a="1"/>
  <c r="AL119" i="5" s="1"/>
  <c r="AL127" i="5" a="1"/>
  <c r="AL127" i="5" s="1"/>
  <c r="AL133" i="5" a="1"/>
  <c r="AL133" i="5" s="1"/>
  <c r="AL139" i="5" a="1"/>
  <c r="AL139" i="5" s="1"/>
  <c r="AL147" i="5" a="1"/>
  <c r="AL147" i="5" s="1"/>
  <c r="AL155" i="5" a="1"/>
  <c r="AL155" i="5" s="1"/>
  <c r="AL161" i="5" a="1"/>
  <c r="AL161" i="5" s="1"/>
  <c r="AL168" i="5" a="1"/>
  <c r="AL168" i="5" s="1"/>
  <c r="AL176" i="5" a="1"/>
  <c r="AL176" i="5" s="1"/>
  <c r="AL182" i="5" a="1"/>
  <c r="AL182" i="5" s="1"/>
  <c r="AL190" i="5" a="1"/>
  <c r="AL190" i="5" s="1"/>
  <c r="AL197" i="5" a="1"/>
  <c r="AL197" i="5" s="1"/>
  <c r="AL204" i="5" a="1"/>
  <c r="AL204" i="5" s="1"/>
  <c r="AL211" i="5" a="1"/>
  <c r="AL211" i="5" s="1"/>
  <c r="AL8" i="5" a="1"/>
  <c r="AL8" i="5" s="1"/>
  <c r="AL22" i="5" a="1"/>
  <c r="AL22" i="5" s="1"/>
  <c r="AL37" i="5" a="1"/>
  <c r="AL37" i="5" s="1"/>
  <c r="AL52" i="5" a="1"/>
  <c r="AL52" i="5" s="1"/>
  <c r="AL66" i="5" a="1"/>
  <c r="AL66" i="5" s="1"/>
  <c r="AL78" i="5" a="1"/>
  <c r="AL78" i="5" s="1"/>
  <c r="AL93" i="5" a="1"/>
  <c r="AL93" i="5" s="1"/>
  <c r="AL106" i="5" a="1"/>
  <c r="AL106" i="5" s="1"/>
  <c r="AL120" i="5" a="1"/>
  <c r="AL120" i="5" s="1"/>
  <c r="AL134" i="5" a="1"/>
  <c r="AL134" i="5" s="1"/>
  <c r="AL148" i="5" a="1"/>
  <c r="AL148" i="5" s="1"/>
  <c r="AL162" i="5" a="1"/>
  <c r="AL162" i="5" s="1"/>
  <c r="AL201" i="5" a="1"/>
  <c r="AL201" i="5" s="1"/>
  <c r="AL214" i="5" a="1"/>
  <c r="AL214" i="5" s="1"/>
  <c r="AL233" i="5" a="1"/>
  <c r="AL233" i="5" s="1"/>
  <c r="AL242" i="5" a="1"/>
  <c r="AL242" i="5" s="1"/>
  <c r="AL251" i="5" a="1"/>
  <c r="AL251" i="5" s="1"/>
  <c r="AL259" i="5" a="1"/>
  <c r="AL259" i="5" s="1"/>
  <c r="AL266" i="5" a="1"/>
  <c r="AL266" i="5" s="1"/>
  <c r="AL274" i="5" a="1"/>
  <c r="AL274" i="5" s="1"/>
  <c r="AL280" i="5" a="1"/>
  <c r="AL280" i="5" s="1"/>
  <c r="AL288" i="5" a="1"/>
  <c r="AL288" i="5" s="1"/>
  <c r="AL297" i="5" a="1"/>
  <c r="AL297" i="5" s="1"/>
  <c r="AL305" i="5" a="1"/>
  <c r="AL305" i="5" s="1"/>
  <c r="AL312" i="5" a="1"/>
  <c r="AL312" i="5" s="1"/>
  <c r="AL319" i="5" a="1"/>
  <c r="AL319" i="5" s="1"/>
  <c r="AL336" i="5" a="1"/>
  <c r="AL336" i="5" s="1"/>
  <c r="AL344" i="5" a="1"/>
  <c r="AL344" i="5" s="1"/>
  <c r="AL352" i="5" a="1"/>
  <c r="AL352" i="5" s="1"/>
  <c r="AL360" i="5" a="1"/>
  <c r="AL360" i="5" s="1"/>
  <c r="AL369" i="5" a="1"/>
  <c r="AL369" i="5" s="1"/>
  <c r="AL378" i="5" a="1"/>
  <c r="AL378" i="5" s="1"/>
  <c r="AL386" i="5" a="1"/>
  <c r="AL386" i="5" s="1"/>
  <c r="AL395" i="5" a="1"/>
  <c r="AL395" i="5" s="1"/>
  <c r="AL404" i="5" a="1"/>
  <c r="AL404" i="5" s="1"/>
  <c r="AL413" i="5" a="1"/>
  <c r="AL413" i="5" s="1"/>
  <c r="AL421" i="5" a="1"/>
  <c r="AL421" i="5" s="1"/>
  <c r="AL429" i="5" a="1"/>
  <c r="AL429" i="5" s="1"/>
  <c r="AL437" i="5" a="1"/>
  <c r="AL437" i="5" s="1"/>
  <c r="AL446" i="5" a="1"/>
  <c r="AL446" i="5" s="1"/>
  <c r="AL454" i="5" a="1"/>
  <c r="AL454" i="5" s="1"/>
  <c r="AL462" i="5" a="1"/>
  <c r="AL462" i="5" s="1"/>
  <c r="AL470" i="5" a="1"/>
  <c r="AL470" i="5" s="1"/>
  <c r="AL479" i="5" a="1"/>
  <c r="AL479" i="5" s="1"/>
  <c r="AL488" i="5" a="1"/>
  <c r="AL488" i="5" s="1"/>
  <c r="AL497" i="5" a="1"/>
  <c r="AL497" i="5" s="1"/>
  <c r="AL506" i="5" a="1"/>
  <c r="AL506" i="5" s="1"/>
  <c r="AL515" i="5" a="1"/>
  <c r="AL515" i="5" s="1"/>
  <c r="AL524" i="5" a="1"/>
  <c r="AL524" i="5" s="1"/>
  <c r="AL532" i="5" a="1"/>
  <c r="AL532" i="5" s="1"/>
  <c r="AL540" i="5" a="1"/>
  <c r="AL540" i="5" s="1"/>
  <c r="AL548" i="5" a="1"/>
  <c r="AL548" i="5" s="1"/>
  <c r="AL556" i="5" a="1"/>
  <c r="AL556" i="5" s="1"/>
  <c r="AL564" i="5" a="1"/>
  <c r="AL564" i="5" s="1"/>
  <c r="AL572" i="5" a="1"/>
  <c r="AL572" i="5" s="1"/>
  <c r="AL580" i="5" a="1"/>
  <c r="AL580" i="5" s="1"/>
  <c r="AL588" i="5" a="1"/>
  <c r="AL588" i="5" s="1"/>
  <c r="AL38" i="5" a="1"/>
  <c r="AL38" i="5" s="1"/>
  <c r="AL107" i="5" a="1"/>
  <c r="AL107" i="5" s="1"/>
  <c r="AL149" i="5" a="1"/>
  <c r="AL149" i="5" s="1"/>
  <c r="AL177" i="5" a="1"/>
  <c r="AL177" i="5" s="1"/>
  <c r="AL205" i="5" a="1"/>
  <c r="AL205" i="5" s="1"/>
  <c r="AL215" i="5" a="1"/>
  <c r="AL215" i="5" s="1"/>
  <c r="AL234" i="5" a="1"/>
  <c r="AL234" i="5" s="1"/>
  <c r="AL282" i="5" a="1"/>
  <c r="AL282" i="5" s="1"/>
  <c r="AL298" i="5" a="1"/>
  <c r="AL298" i="5" s="1"/>
  <c r="AL337" i="5" a="1"/>
  <c r="AL337" i="5" s="1"/>
  <c r="AL361" i="5" a="1"/>
  <c r="AL361" i="5" s="1"/>
  <c r="AL379" i="5" a="1"/>
  <c r="AL379" i="5" s="1"/>
  <c r="AL405" i="5" a="1"/>
  <c r="AL405" i="5" s="1"/>
  <c r="AL414" i="5" a="1"/>
  <c r="AL414" i="5" s="1"/>
  <c r="AL430" i="5" a="1"/>
  <c r="AL430" i="5" s="1"/>
  <c r="AL447" i="5" a="1"/>
  <c r="AL447" i="5" s="1"/>
  <c r="AL463" i="5" a="1"/>
  <c r="AL463" i="5" s="1"/>
  <c r="AL480" i="5" a="1"/>
  <c r="AL480" i="5" s="1"/>
  <c r="AL489" i="5" a="1"/>
  <c r="AL489" i="5" s="1"/>
  <c r="AL9" i="5" a="1"/>
  <c r="AL9" i="5" s="1"/>
  <c r="AL23" i="5" a="1"/>
  <c r="AL23" i="5" s="1"/>
  <c r="AL67" i="5" a="1"/>
  <c r="AL67" i="5" s="1"/>
  <c r="AL79" i="5" a="1"/>
  <c r="AL79" i="5" s="1"/>
  <c r="AL121" i="5" a="1"/>
  <c r="AL121" i="5" s="1"/>
  <c r="AL163" i="5" a="1"/>
  <c r="AL163" i="5" s="1"/>
  <c r="AL191" i="5" a="1"/>
  <c r="AL191" i="5" s="1"/>
  <c r="AL225" i="5" a="1"/>
  <c r="AL225" i="5" s="1"/>
  <c r="AL243" i="5" a="1"/>
  <c r="AL243" i="5" s="1"/>
  <c r="AL260" i="5" a="1"/>
  <c r="AL260" i="5" s="1"/>
  <c r="AL289" i="5" a="1"/>
  <c r="AL289" i="5" s="1"/>
  <c r="AL306" i="5" a="1"/>
  <c r="AL306" i="5" s="1"/>
  <c r="AL313" i="5" a="1"/>
  <c r="AL313" i="5" s="1"/>
  <c r="AL320" i="5" a="1"/>
  <c r="AL320" i="5" s="1"/>
  <c r="AL328" i="5" a="1"/>
  <c r="AL328" i="5" s="1"/>
  <c r="AL345" i="5" a="1"/>
  <c r="AL345" i="5" s="1"/>
  <c r="AL353" i="5" a="1"/>
  <c r="AL353" i="5" s="1"/>
  <c r="AL370" i="5" a="1"/>
  <c r="AL370" i="5" s="1"/>
  <c r="AL387" i="5" a="1"/>
  <c r="AL387" i="5" s="1"/>
  <c r="AL397" i="5" a="1"/>
  <c r="AL397" i="5" s="1"/>
  <c r="AL422" i="5" a="1"/>
  <c r="AL422" i="5" s="1"/>
  <c r="AL438" i="5" a="1"/>
  <c r="AL438" i="5" s="1"/>
  <c r="AL456" i="5" a="1"/>
  <c r="AL456" i="5" s="1"/>
  <c r="AL471" i="5" a="1"/>
  <c r="AL471" i="5" s="1"/>
  <c r="AL498" i="5" a="1"/>
  <c r="AL498" i="5" s="1"/>
  <c r="AL584" i="5" a="1"/>
  <c r="AL584" i="5" s="1"/>
  <c r="AL575" i="5" a="1"/>
  <c r="AL575" i="5" s="1"/>
  <c r="AL566" i="5" a="1"/>
  <c r="AL566" i="5" s="1"/>
  <c r="AL557" i="5" a="1"/>
  <c r="AL557" i="5" s="1"/>
  <c r="AL547" i="5" a="1"/>
  <c r="AL547" i="5" s="1"/>
  <c r="AL538" i="5" a="1"/>
  <c r="AL538" i="5" s="1"/>
  <c r="AL529" i="5" a="1"/>
  <c r="AL529" i="5" s="1"/>
  <c r="AL520" i="5" a="1"/>
  <c r="AL520" i="5" s="1"/>
  <c r="AL510" i="5" a="1"/>
  <c r="AL510" i="5" s="1"/>
  <c r="AL499" i="5" a="1"/>
  <c r="AL499" i="5" s="1"/>
  <c r="AL486" i="5" a="1"/>
  <c r="AL486" i="5" s="1"/>
  <c r="AL474" i="5" a="1"/>
  <c r="AL474" i="5" s="1"/>
  <c r="AL464" i="5" a="1"/>
  <c r="AL464" i="5" s="1"/>
  <c r="AL442" i="5" a="1"/>
  <c r="AL442" i="5" s="1"/>
  <c r="AL431" i="5" a="1"/>
  <c r="AL431" i="5" s="1"/>
  <c r="AL419" i="5" a="1"/>
  <c r="AL419" i="5" s="1"/>
  <c r="AL408" i="5" a="1"/>
  <c r="AL408" i="5" s="1"/>
  <c r="AL398" i="5" a="1"/>
  <c r="AL398" i="5" s="1"/>
  <c r="AL384" i="5" a="1"/>
  <c r="AL384" i="5" s="1"/>
  <c r="AL374" i="5" a="1"/>
  <c r="AL374" i="5" s="1"/>
  <c r="AL362" i="5" a="1"/>
  <c r="AL362" i="5" s="1"/>
  <c r="AL349" i="5" a="1"/>
  <c r="AL349" i="5" s="1"/>
  <c r="AL339" i="5" a="1"/>
  <c r="AL339" i="5" s="1"/>
  <c r="AL330" i="5" a="1"/>
  <c r="AL330" i="5" s="1"/>
  <c r="AL317" i="5" a="1"/>
  <c r="AL317" i="5" s="1"/>
  <c r="AL308" i="5" a="1"/>
  <c r="AL308" i="5" s="1"/>
  <c r="AL286" i="5" a="1"/>
  <c r="AL286" i="5" s="1"/>
  <c r="AL277" i="5" a="1"/>
  <c r="AL277" i="5" s="1"/>
  <c r="AL267" i="5" a="1"/>
  <c r="AL267" i="5" s="1"/>
  <c r="AL257" i="5" a="1"/>
  <c r="AL257" i="5" s="1"/>
  <c r="AL246" i="5" a="1"/>
  <c r="AL246" i="5" s="1"/>
  <c r="AL235" i="5" a="1"/>
  <c r="AL235" i="5" s="1"/>
  <c r="AL221" i="5" a="1"/>
  <c r="AL221" i="5" s="1"/>
  <c r="AL208" i="5" a="1"/>
  <c r="AL208" i="5" s="1"/>
  <c r="AL192" i="5" a="1"/>
  <c r="AL192" i="5" s="1"/>
  <c r="AL171" i="5" a="1"/>
  <c r="AL171" i="5" s="1"/>
  <c r="AL135" i="5" a="1"/>
  <c r="AL135" i="5" s="1"/>
  <c r="AL115" i="5" a="1"/>
  <c r="AL115" i="5" s="1"/>
  <c r="AL100" i="5" a="1"/>
  <c r="AL100" i="5" s="1"/>
  <c r="AL80" i="5" a="1"/>
  <c r="AL80" i="5" s="1"/>
  <c r="AL61" i="5" a="1"/>
  <c r="AL61" i="5" s="1"/>
  <c r="AL45" i="5" a="1"/>
  <c r="AL45" i="5" s="1"/>
  <c r="AL24" i="5" a="1"/>
  <c r="AL24" i="5" s="1"/>
  <c r="AL4" i="5" a="1"/>
  <c r="AL4" i="5" s="1"/>
  <c r="S6" i="7"/>
  <c r="G11" i="4"/>
  <c r="H9" i="4" s="1"/>
  <c r="C17" i="4"/>
  <c r="C24" i="4" s="1"/>
  <c r="E7" i="4"/>
  <c r="C18" i="4"/>
  <c r="C19" i="4" s="1"/>
  <c r="C20" i="4" s="1"/>
  <c r="C17" i="3"/>
  <c r="C35" i="3" s="1"/>
  <c r="C23" i="3"/>
  <c r="E23" i="3" s="1"/>
  <c r="C22" i="3"/>
  <c r="E22" i="3" s="1"/>
  <c r="C32" i="2"/>
  <c r="C35" i="2" s="1"/>
  <c r="S4" i="7"/>
  <c r="S5" i="7"/>
  <c r="S3" i="7"/>
  <c r="S2" i="7"/>
  <c r="M2" i="7" a="1"/>
  <c r="B3" i="1"/>
  <c r="H12" i="1"/>
  <c r="B9" i="1"/>
  <c r="D9" i="1"/>
  <c r="F9" i="1"/>
  <c r="H9" i="1"/>
  <c r="B12" i="1"/>
  <c r="F12" i="1"/>
  <c r="H8" i="4" l="1"/>
  <c r="H10" i="4"/>
  <c r="H7" i="4"/>
  <c r="E11" i="4"/>
  <c r="F9" i="4" s="1"/>
  <c r="C25" i="4"/>
  <c r="H11" i="4"/>
  <c r="C36" i="3"/>
  <c r="C38" i="3"/>
  <c r="C39" i="3" s="1"/>
  <c r="C28" i="3"/>
  <c r="C24" i="3"/>
  <c r="E24" i="3" s="1"/>
  <c r="M2" i="7"/>
  <c r="O2" i="7" s="1" a="1"/>
  <c r="O2" i="7" s="1"/>
  <c r="D12" i="1"/>
  <c r="F7" i="4" l="1"/>
  <c r="F8" i="4"/>
  <c r="F10" i="4"/>
  <c r="F11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375CF6-AFA0-4C77-A94E-292DC8DEDC81}" keepAlive="1" name="Query - PalletBuild" description="Connection to the 'PalletBuild' query in the workbook." type="5" refreshedVersion="0" background="1">
    <dbPr connection="Provider=Microsoft.Mashup.OleDb.1;Data Source=$Workbook$;Location=PalletBuild;Extended Properties=&quot;&quot;" command="SELECT * FROM [PalletBuild]"/>
  </connection>
  <connection id="2" xr16:uid="{FF6C46D6-09B5-440D-A933-BCC01739325D}" keepAlive="1" name="Query - SKU" description="Connection to the 'SKU' query in the workbook." type="5" refreshedVersion="8" background="1" saveData="1">
    <dbPr connection="Provider=Microsoft.Mashup.OleDb.1;Data Source=$Workbook$;Location=SKU;Extended Properties=&quot;&quot;" command="SELECT * FROM [SKU]"/>
  </connection>
  <connection id="3" xr16:uid="{B48213BB-298D-4E10-B822-F7AD2E01FEF8}" keepAlive="1" name="Query - Slotting" description="Connection to the 'Slotting' query in the workbook." type="5" refreshedVersion="0" background="1">
    <dbPr connection="Provider=Microsoft.Mashup.OleDb.1;Data Source=$Workbook$;Location=Slotting;Extended Properties=&quot;&quot;" command="SELECT * FROM [Slotting]"/>
  </connection>
  <connection id="4" xr16:uid="{AD59A320-1D6C-4C43-A363-4E97A474045B}" keepAlive="1" name="Query - Stock" description="Connection to the 'Stock' query in the workbook." type="5" refreshedVersion="8" background="1" saveData="1">
    <dbPr connection="Provider=Microsoft.Mashup.OleDb.1;Data Source=$Workbook$;Location=Stock;Extended Properties=&quot;&quot;" command="SELECT * FROM [Stock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<sst xmlns="http://schemas.openxmlformats.org/spreadsheetml/2006/main" count="16660" uniqueCount="2638">
  <si>
    <t>sku</t>
  </si>
  <si>
    <t>batch</t>
  </si>
  <si>
    <t>expiry_date</t>
  </si>
  <si>
    <t>stock_type</t>
  </si>
  <si>
    <t>qty_units</t>
  </si>
  <si>
    <t>snapshot_date</t>
  </si>
  <si>
    <t>description</t>
  </si>
  <si>
    <t>principal</t>
  </si>
  <si>
    <t>category</t>
  </si>
  <si>
    <t>product_group</t>
  </si>
  <si>
    <t>storage_condition</t>
  </si>
  <si>
    <t>units_per_case</t>
  </si>
  <si>
    <t>case_length_cm</t>
  </si>
  <si>
    <t>case_width_cm</t>
  </si>
  <si>
    <t>case_height_cm</t>
  </si>
  <si>
    <t>case_cbm</t>
  </si>
  <si>
    <t>case_weight_kg</t>
  </si>
  <si>
    <t>unit_cost_nzd</t>
  </si>
  <si>
    <t>ti</t>
  </si>
  <si>
    <t>hi</t>
  </si>
  <si>
    <t>cases_per_pallet</t>
  </si>
  <si>
    <t>pallet_height_cm</t>
  </si>
  <si>
    <t>pallet_weight_kg</t>
  </si>
  <si>
    <t>pallet_cbm</t>
  </si>
  <si>
    <t>cases</t>
  </si>
  <si>
    <t>cbm</t>
  </si>
  <si>
    <t>pallets</t>
  </si>
  <si>
    <t>value_nzd</t>
  </si>
  <si>
    <t>positions_naive</t>
  </si>
  <si>
    <t>zone</t>
  </si>
  <si>
    <t>positions</t>
  </si>
  <si>
    <t>shelf_bins</t>
  </si>
  <si>
    <t>months_to_expiry</t>
  </si>
  <si>
    <t>PH10001</t>
  </si>
  <si>
    <t>Saleable</t>
  </si>
  <si>
    <t>Sertraline 100mg Tablets 100s</t>
  </si>
  <si>
    <t>Venrick Laboratories</t>
  </si>
  <si>
    <t>Pharma</t>
  </si>
  <si>
    <t>Tablets</t>
  </si>
  <si>
    <t>Below 25C</t>
  </si>
  <si>
    <t>Pallet racking</t>
  </si>
  <si>
    <t>PH10002</t>
  </si>
  <si>
    <t>Pantoprazole 40mg Tablets 30s</t>
  </si>
  <si>
    <t>Corvane Pharma</t>
  </si>
  <si>
    <t>Shelving</t>
  </si>
  <si>
    <t>Sample</t>
  </si>
  <si>
    <t>PH10003</t>
  </si>
  <si>
    <t>Ibuprofen 200mg Tablets 30s</t>
  </si>
  <si>
    <t>Halvora Healthcare</t>
  </si>
  <si>
    <t>FOC</t>
  </si>
  <si>
    <t>PH10004</t>
  </si>
  <si>
    <t>Azithromycin 250mg Tablets 10x10</t>
  </si>
  <si>
    <t>Arcadine Pharma</t>
  </si>
  <si>
    <t>PH10005</t>
  </si>
  <si>
    <t>Rosuvastatin 10mg Tablets 2x14</t>
  </si>
  <si>
    <t>PH10006</t>
  </si>
  <si>
    <t>Glimepiride 4mg Tablets 100s</t>
  </si>
  <si>
    <t>PH10007</t>
  </si>
  <si>
    <t>Carvedilol 25mg Tablets 3x10</t>
  </si>
  <si>
    <t>PH10008</t>
  </si>
  <si>
    <t>Carvedilol 6.25mg Tablets 3x10</t>
  </si>
  <si>
    <t>PH10009</t>
  </si>
  <si>
    <t>Rosuvastatin 20mg Tablets 3x10</t>
  </si>
  <si>
    <t>PH10010</t>
  </si>
  <si>
    <t>Carvedilol 25mg Tablets 100s</t>
  </si>
  <si>
    <t>PH10011</t>
  </si>
  <si>
    <t>Loratadine 10mg Tablets 2x14</t>
  </si>
  <si>
    <t>Dunmore Therapeutics</t>
  </si>
  <si>
    <t>PH10012</t>
  </si>
  <si>
    <t>Levothyroxine 100mcg Tablets 2x14</t>
  </si>
  <si>
    <t>Marwick Pharmaceuticals</t>
  </si>
  <si>
    <t>PH10013</t>
  </si>
  <si>
    <t>Rosuvastatin 10mg Tablets 3x10</t>
  </si>
  <si>
    <t>Expired</t>
  </si>
  <si>
    <t>Quarantine</t>
  </si>
  <si>
    <t>PH10014</t>
  </si>
  <si>
    <t>Pantoprazole 20mg Tablets 3x10</t>
  </si>
  <si>
    <t>PH10015</t>
  </si>
  <si>
    <t>Atorvastatin 40mg Tablets 3x10</t>
  </si>
  <si>
    <t>PH10016</t>
  </si>
  <si>
    <t>Prednisolone 25mg Tablets 3x10</t>
  </si>
  <si>
    <t>PH10017</t>
  </si>
  <si>
    <t>Furosemide 40mg Tablets 3x10</t>
  </si>
  <si>
    <t>PH10018</t>
  </si>
  <si>
    <t>Simvastatin 20mg Tablets 10x10</t>
  </si>
  <si>
    <t>PH10019</t>
  </si>
  <si>
    <t>Ibuprofen 400mg Tablets 30s</t>
  </si>
  <si>
    <t>PH10020</t>
  </si>
  <si>
    <t>Ciprofloxacin 500mg Tablets 3x10</t>
  </si>
  <si>
    <t>PH10021</t>
  </si>
  <si>
    <t>Prednisolone 5mg Tablets 3x10</t>
  </si>
  <si>
    <t>PH10022</t>
  </si>
  <si>
    <t>Escitalopram 20mg Tablets 3x10</t>
  </si>
  <si>
    <t>PH10023</t>
  </si>
  <si>
    <t>Gliclazide 80mg Tablets 10x10</t>
  </si>
  <si>
    <t>PH10024</t>
  </si>
  <si>
    <t>Ciprofloxacin 500mg Tablets 2x14</t>
  </si>
  <si>
    <t>PH10025</t>
  </si>
  <si>
    <t>Diclofenac 50mg Tablets 10x10</t>
  </si>
  <si>
    <t>PH10026</t>
  </si>
  <si>
    <t>Cetirizine 10mg Tablets 2x14</t>
  </si>
  <si>
    <t>PH10027</t>
  </si>
  <si>
    <t>Simvastatin 20mg Tablets 100s</t>
  </si>
  <si>
    <t>PH10028</t>
  </si>
  <si>
    <t>Bisoprolol 5mg Tablets 100s</t>
  </si>
  <si>
    <t>PH10029</t>
  </si>
  <si>
    <t>Gliclazide 80mg Tablets 3x10</t>
  </si>
  <si>
    <t>PH10030</t>
  </si>
  <si>
    <t>Allopurinol 300mg Tablets 10x10</t>
  </si>
  <si>
    <t>PH10032</t>
  </si>
  <si>
    <t>Pantoprazole 40mg Tablets 10x10</t>
  </si>
  <si>
    <t>PH10033</t>
  </si>
  <si>
    <t>Simvastatin 20mg Tablets 30s</t>
  </si>
  <si>
    <t>PH10034</t>
  </si>
  <si>
    <t>Ibuprofen 200mg Tablets 3x10</t>
  </si>
  <si>
    <t>PH10035</t>
  </si>
  <si>
    <t>Metoprolol 50mg Tablets 100s</t>
  </si>
  <si>
    <t>PH10036</t>
  </si>
  <si>
    <t>Bisoprolol 2.5mg Tablets 2x14</t>
  </si>
  <si>
    <t>PH10037</t>
  </si>
  <si>
    <t>Montelukast 10mg Tablets 100s</t>
  </si>
  <si>
    <t>PH10038</t>
  </si>
  <si>
    <t>Pantoprazole 20mg Tablets 10x10</t>
  </si>
  <si>
    <t>PH10039</t>
  </si>
  <si>
    <t>Atorvastatin 40mg Tablets 100s</t>
  </si>
  <si>
    <t>PH10040</t>
  </si>
  <si>
    <t>Warfarin 5mg Tablets 30s</t>
  </si>
  <si>
    <t>PH10041</t>
  </si>
  <si>
    <t>Amlodipine 5mg Tablets 30s</t>
  </si>
  <si>
    <t>PH10042</t>
  </si>
  <si>
    <t>Glimepiride 4mg Tablets 3x10</t>
  </si>
  <si>
    <t>PH10043</t>
  </si>
  <si>
    <t>Atorvastatin 10mg Tablets 100s</t>
  </si>
  <si>
    <t>PH10045</t>
  </si>
  <si>
    <t>Atorvastatin 40mg Tablets 10x10</t>
  </si>
  <si>
    <t>PH10046</t>
  </si>
  <si>
    <t>Warfarin 1mg Tablets 3x10</t>
  </si>
  <si>
    <t>PH10047</t>
  </si>
  <si>
    <t>Metformin 850mg Tablets 2x14</t>
  </si>
  <si>
    <t>PH10048</t>
  </si>
  <si>
    <t>Simvastatin 40mg Tablets 3x10</t>
  </si>
  <si>
    <t>PH10049</t>
  </si>
  <si>
    <t>Amlodipine 5mg Tablets 2x14</t>
  </si>
  <si>
    <t>PH10050</t>
  </si>
  <si>
    <t>Escitalopram 10mg Tablets 30s</t>
  </si>
  <si>
    <t>PH10051</t>
  </si>
  <si>
    <t>Escitalopram 10mg Tablets 3x10</t>
  </si>
  <si>
    <t>PH10053</t>
  </si>
  <si>
    <t>Simvastatin 40mg Tablets 10x10</t>
  </si>
  <si>
    <t>PH10054</t>
  </si>
  <si>
    <t>Esomeprazole 40mg Tablets 30s</t>
  </si>
  <si>
    <t>PH10055</t>
  </si>
  <si>
    <t>Ibuprofen 200mg Tablets 100s</t>
  </si>
  <si>
    <t>Damaged</t>
  </si>
  <si>
    <t>PH10056</t>
  </si>
  <si>
    <t>Allopurinol 100mg Tablets 10x10</t>
  </si>
  <si>
    <t>PH10057</t>
  </si>
  <si>
    <t>Glimepiride 2mg Tablets 30s</t>
  </si>
  <si>
    <t>PH10058</t>
  </si>
  <si>
    <t>Pantoprazole 40mg Tablets 100s</t>
  </si>
  <si>
    <t>PH10059</t>
  </si>
  <si>
    <t>Telmisartan 80mg Tablets 30s</t>
  </si>
  <si>
    <t>PH10060</t>
  </si>
  <si>
    <t>Paracetamol 500mg Tablets 3x10</t>
  </si>
  <si>
    <t>PH10061</t>
  </si>
  <si>
    <t>Simvastatin 40mg Tablets 30s</t>
  </si>
  <si>
    <t>PH10062</t>
  </si>
  <si>
    <t>Amlodipine 5mg Tablets 100s</t>
  </si>
  <si>
    <t>PH10063</t>
  </si>
  <si>
    <t>Simvastatin 40mg Tablets 2x14</t>
  </si>
  <si>
    <t>PH10064</t>
  </si>
  <si>
    <t>Telmisartan 80mg Tablets 3x10</t>
  </si>
  <si>
    <t>PH10065</t>
  </si>
  <si>
    <t>Rosuvastatin 20mg Tablets 2x14</t>
  </si>
  <si>
    <t>PH10066</t>
  </si>
  <si>
    <t>Atorvastatin 10mg Tablets 3x10</t>
  </si>
  <si>
    <t>PH10067</t>
  </si>
  <si>
    <t>Montelukast 10mg Tablets 3x10</t>
  </si>
  <si>
    <t>PH10068</t>
  </si>
  <si>
    <t>Ciprofloxacin 250mg Tablets 10x10</t>
  </si>
  <si>
    <t>PH10069</t>
  </si>
  <si>
    <t>Amlodipine 10mg Tablets 3x10</t>
  </si>
  <si>
    <t>PH10070</t>
  </si>
  <si>
    <t>Sertraline 50mg Tablets 30s</t>
  </si>
  <si>
    <t>PH10071</t>
  </si>
  <si>
    <t>Metformin 850mg Tablets 10x10</t>
  </si>
  <si>
    <t>PH10072</t>
  </si>
  <si>
    <t>Azithromycin 250mg Tablets 3x10</t>
  </si>
  <si>
    <t>PH10073</t>
  </si>
  <si>
    <t>Esomeprazole 40mg Tablets 3x10</t>
  </si>
  <si>
    <t>PH10074</t>
  </si>
  <si>
    <t>Paracetamol 500mg Tablets 2x14</t>
  </si>
  <si>
    <t>PH10075</t>
  </si>
  <si>
    <t>Escitalopram 20mg Tablets 10x10</t>
  </si>
  <si>
    <t>PH10076</t>
  </si>
  <si>
    <t>Metformin 500mg Tablets 100s</t>
  </si>
  <si>
    <t>PH10077</t>
  </si>
  <si>
    <t>Prednisolone 5mg Tablets 2x14</t>
  </si>
  <si>
    <t>PH10078</t>
  </si>
  <si>
    <t>Furosemide 40mg Tablets 100s</t>
  </si>
  <si>
    <t>PH10079</t>
  </si>
  <si>
    <t>Allopurinol 100mg Tablets 3x10</t>
  </si>
  <si>
    <t>PH10080</t>
  </si>
  <si>
    <t>Loratadine 10mg Tablets 30s</t>
  </si>
  <si>
    <t>PH10081</t>
  </si>
  <si>
    <t>Metformin 500mg Tablets 2x14</t>
  </si>
  <si>
    <t>PH10082</t>
  </si>
  <si>
    <t>Ciprofloxacin 250mg Tablets 3x10</t>
  </si>
  <si>
    <t>PH10083</t>
  </si>
  <si>
    <t>Clopidogrel 75mg Tablets 2x14</t>
  </si>
  <si>
    <t>PH10084</t>
  </si>
  <si>
    <t>Diclofenac 50mg Tablets 30s</t>
  </si>
  <si>
    <t>PH10085</t>
  </si>
  <si>
    <t>Allopurinol 300mg Tablets 30s</t>
  </si>
  <si>
    <t>PH10086</t>
  </si>
  <si>
    <t>Losartan 100mg Tablets 100s</t>
  </si>
  <si>
    <t>PH10087</t>
  </si>
  <si>
    <t>Bisoprolol 5mg Tablets 3x10</t>
  </si>
  <si>
    <t>PH10088</t>
  </si>
  <si>
    <t>Glimepiride 2mg Tablets 3x10</t>
  </si>
  <si>
    <t>PH10089</t>
  </si>
  <si>
    <t>Metoprolol 50mg Tablets 3x10</t>
  </si>
  <si>
    <t>PH10090</t>
  </si>
  <si>
    <t>Levothyroxine 50mcg Tablets 3x10</t>
  </si>
  <si>
    <t>PH10091</t>
  </si>
  <si>
    <t>Atorvastatin 10mg Tablets 30s</t>
  </si>
  <si>
    <t>PH10092</t>
  </si>
  <si>
    <t>Bisoprolol 5mg Tablets 2x14</t>
  </si>
  <si>
    <t>PH10093</t>
  </si>
  <si>
    <t>Pantoprazole 20mg Tablets 2x14</t>
  </si>
  <si>
    <t>PH10094</t>
  </si>
  <si>
    <t>Loratadine 10mg Tablets 3x10</t>
  </si>
  <si>
    <t>PH10095</t>
  </si>
  <si>
    <t>Amlodipine 10mg Tablets 100s</t>
  </si>
  <si>
    <t>PH10096</t>
  </si>
  <si>
    <t>Cetirizine 10mg Tablets 100s</t>
  </si>
  <si>
    <t>PH10097</t>
  </si>
  <si>
    <t>Rosuvastatin 5mg Tablets 2x14</t>
  </si>
  <si>
    <t>PH10098</t>
  </si>
  <si>
    <t>Warfarin 1mg Tablets 2x14</t>
  </si>
  <si>
    <t>PH10099</t>
  </si>
  <si>
    <t>Simvastatin 40mg Tablets 100s</t>
  </si>
  <si>
    <t>PH10100</t>
  </si>
  <si>
    <t>Carvedilol 6.25mg Tablets 10x10</t>
  </si>
  <si>
    <t>PH10101</t>
  </si>
  <si>
    <t>Azithromycin 500mg Tablets 2x14</t>
  </si>
  <si>
    <t>PH10102</t>
  </si>
  <si>
    <t>Montelukast 10mg Tablets 2x14</t>
  </si>
  <si>
    <t>PH10103</t>
  </si>
  <si>
    <t>Gliclazide 80mg Tablets 2x14</t>
  </si>
  <si>
    <t>PH10104</t>
  </si>
  <si>
    <t>Azithromycin 500mg Tablets 100s</t>
  </si>
  <si>
    <t>PH10105</t>
  </si>
  <si>
    <t>Carvedilol 6.25mg Tablets 30s</t>
  </si>
  <si>
    <t>PH10106</t>
  </si>
  <si>
    <t>Bisoprolol 2.5mg Tablets 10x10</t>
  </si>
  <si>
    <t>PH10107</t>
  </si>
  <si>
    <t>Diclofenac 50mg Tablets 2x14</t>
  </si>
  <si>
    <t>PH10108</t>
  </si>
  <si>
    <t>Esomeprazole 20mg Tablets 3x10</t>
  </si>
  <si>
    <t>PH10109</t>
  </si>
  <si>
    <t>Carvedilol 25mg Tablets 30s</t>
  </si>
  <si>
    <t>PH10110</t>
  </si>
  <si>
    <t>Rosuvastatin 10mg Tablets 10x10</t>
  </si>
  <si>
    <t>PH10111</t>
  </si>
  <si>
    <t>Gliclazide 80mg Tablets 30s</t>
  </si>
  <si>
    <t>PH10112</t>
  </si>
  <si>
    <t>Bisoprolol 5mg Tablets 30s</t>
  </si>
  <si>
    <t>PH10113</t>
  </si>
  <si>
    <t>Rosuvastatin 5mg Tablets 30s</t>
  </si>
  <si>
    <t>PH10114</t>
  </si>
  <si>
    <t>Telmisartan 40mg Tablets 2x14</t>
  </si>
  <si>
    <t>PH10115</t>
  </si>
  <si>
    <t>Metoprolol 100mg Tablets 100s</t>
  </si>
  <si>
    <t>PH10116</t>
  </si>
  <si>
    <t>Atorvastatin 10mg Tablets 10x10</t>
  </si>
  <si>
    <t>PH10117</t>
  </si>
  <si>
    <t>Sertraline 100mg Tablets 30s</t>
  </si>
  <si>
    <t>PH10118</t>
  </si>
  <si>
    <t>Amlodipine 5mg Tablets 10x10</t>
  </si>
  <si>
    <t>PH10119</t>
  </si>
  <si>
    <t>Ciprofloxacin 250mg Tablets 30s</t>
  </si>
  <si>
    <t>PH10120</t>
  </si>
  <si>
    <t>Cetirizine 10mg Tablets 3x10</t>
  </si>
  <si>
    <t>PH10121</t>
  </si>
  <si>
    <t>Pantoprazole 40mg Tablets 2x14</t>
  </si>
  <si>
    <t>PH10122</t>
  </si>
  <si>
    <t>Allopurinol 300mg Tablets 2x14</t>
  </si>
  <si>
    <t>PH10123</t>
  </si>
  <si>
    <t>Sertraline 50mg Tablets 10x10</t>
  </si>
  <si>
    <t>PH10124</t>
  </si>
  <si>
    <t>Prednisolone 25mg Tablets 2x14</t>
  </si>
  <si>
    <t>PH10125</t>
  </si>
  <si>
    <t>Carvedilol 25mg Tablets 2x14</t>
  </si>
  <si>
    <t>PH10126</t>
  </si>
  <si>
    <t>Ibuprofen 200mg Tablets 2x14</t>
  </si>
  <si>
    <t>PH10127</t>
  </si>
  <si>
    <t>Sertraline 50mg Tablets 2x14</t>
  </si>
  <si>
    <t>PH10128</t>
  </si>
  <si>
    <t>Rosuvastatin 5mg Tablets 3x10</t>
  </si>
  <si>
    <t>PH10129</t>
  </si>
  <si>
    <t>Rosuvastatin 20mg Tablets 100s</t>
  </si>
  <si>
    <t>PH10130</t>
  </si>
  <si>
    <t>Atorvastatin 20mg Tablets 2x14</t>
  </si>
  <si>
    <t>PH10131</t>
  </si>
  <si>
    <t>Diclofenac 50mg Tablets 3x10</t>
  </si>
  <si>
    <t>PH10132</t>
  </si>
  <si>
    <t>Paracetamol 500mg Tablets 30s</t>
  </si>
  <si>
    <t>PH10133</t>
  </si>
  <si>
    <t>Telmisartan 80mg Tablets 100s</t>
  </si>
  <si>
    <t>PH10134</t>
  </si>
  <si>
    <t>Escitalopram 20mg Tablets 100s</t>
  </si>
  <si>
    <t>PH10135</t>
  </si>
  <si>
    <t>Rosuvastatin 20mg Tablets 30s</t>
  </si>
  <si>
    <t>PH10136</t>
  </si>
  <si>
    <t>Metoprolol 100mg Tablets 2x14</t>
  </si>
  <si>
    <t>PH10137</t>
  </si>
  <si>
    <t>Ibuprofen 400mg Tablets 10x10</t>
  </si>
  <si>
    <t>PH10138</t>
  </si>
  <si>
    <t>Loratadine 10mg Tablets 10x10</t>
  </si>
  <si>
    <t>PH10139</t>
  </si>
  <si>
    <t>Prednisolone 25mg Tablets 30s</t>
  </si>
  <si>
    <t>PH10140</t>
  </si>
  <si>
    <t>Sertraline 50mg Tablets 100s</t>
  </si>
  <si>
    <t>PH10141</t>
  </si>
  <si>
    <t>Clopidogrel 75mg Tablets 10x10</t>
  </si>
  <si>
    <t>PH10142</t>
  </si>
  <si>
    <t>Rosuvastatin 10mg Tablets 30s</t>
  </si>
  <si>
    <t>PH10143</t>
  </si>
  <si>
    <t>Ciprofloxacin 250mg Tablets 100s</t>
  </si>
  <si>
    <t>PH10144</t>
  </si>
  <si>
    <t>Losartan 100mg Tablets 2x14</t>
  </si>
  <si>
    <t>PH10145</t>
  </si>
  <si>
    <t>Metformin 850mg Tablets 3x10</t>
  </si>
  <si>
    <t>PH10146</t>
  </si>
  <si>
    <t>Cetirizine 10mg Tablets 10x10</t>
  </si>
  <si>
    <t>PH10148</t>
  </si>
  <si>
    <t>Ibuprofen 200mg Tablets 10x10</t>
  </si>
  <si>
    <t>PH10149</t>
  </si>
  <si>
    <t>Simvastatin 20mg Tablets 2x14</t>
  </si>
  <si>
    <t>PH10150</t>
  </si>
  <si>
    <t>Bisoprolol 2.5mg Tablets 3x10</t>
  </si>
  <si>
    <t>PH10151</t>
  </si>
  <si>
    <t>Pantoprazole 40mg Tablets 3x10</t>
  </si>
  <si>
    <t>PH10152</t>
  </si>
  <si>
    <t>Clopidogrel 75mg Tablets 3x10</t>
  </si>
  <si>
    <t>PH10153</t>
  </si>
  <si>
    <t>Esomeprazole 40mg Tablets 100s</t>
  </si>
  <si>
    <t>PH10154</t>
  </si>
  <si>
    <t>Amlodipine 10mg Tablets 10x10</t>
  </si>
  <si>
    <t>PH10155</t>
  </si>
  <si>
    <t>Telmisartan 40mg Tablets 10x10</t>
  </si>
  <si>
    <t>PH10156</t>
  </si>
  <si>
    <t>Metformin 500mg Tablets 10x10</t>
  </si>
  <si>
    <t>PH10157</t>
  </si>
  <si>
    <t>Levothyroxine 100mcg Tablets 30s</t>
  </si>
  <si>
    <t>PH10158</t>
  </si>
  <si>
    <t>Losartan 50mg Tablets 2x14</t>
  </si>
  <si>
    <t>PH10159</t>
  </si>
  <si>
    <t>Glimepiride 2mg Tablets 100s</t>
  </si>
  <si>
    <t>PH10160</t>
  </si>
  <si>
    <t>Ibuprofen 400mg Tablets 3x10</t>
  </si>
  <si>
    <t>PH10161</t>
  </si>
  <si>
    <t>Escitalopram 20mg Tablets 30s</t>
  </si>
  <si>
    <t>PH10162</t>
  </si>
  <si>
    <t>Levothyroxine 50mcg Tablets 100s</t>
  </si>
  <si>
    <t>PH10163</t>
  </si>
  <si>
    <t>Telmisartan 40mg Tablets 30s</t>
  </si>
  <si>
    <t>PH10164</t>
  </si>
  <si>
    <t>Simvastatin 20mg Tablets 3x10</t>
  </si>
  <si>
    <t>PH10165</t>
  </si>
  <si>
    <t>Losartan 50mg Tablets 30s</t>
  </si>
  <si>
    <t>PH10166</t>
  </si>
  <si>
    <t>Clopidogrel 75mg Tablets 30s</t>
  </si>
  <si>
    <t>PH10167</t>
  </si>
  <si>
    <t>Esomeprazole 20mg Tablets 30s</t>
  </si>
  <si>
    <t>PH10168</t>
  </si>
  <si>
    <t>Carvedilol 6.25mg Tablets 100s</t>
  </si>
  <si>
    <t>PH10169</t>
  </si>
  <si>
    <t>Allopurinol 300mg Tablets 100s</t>
  </si>
  <si>
    <t>PH10170</t>
  </si>
  <si>
    <t>Ciprofloxacin 500mg Tablets 10x10</t>
  </si>
  <si>
    <t>PH10171</t>
  </si>
  <si>
    <t>Sertraline 100mg Tablets 10x10</t>
  </si>
  <si>
    <t>PH10172</t>
  </si>
  <si>
    <t>Pantoprazole 20mg Tablets 100s</t>
  </si>
  <si>
    <t>PH10173</t>
  </si>
  <si>
    <t>Carvedilol 25mg Tablets 10x10</t>
  </si>
  <si>
    <t>PH10174</t>
  </si>
  <si>
    <t>Glimepiride 4mg Tablets 2x14</t>
  </si>
  <si>
    <t>PH10175</t>
  </si>
  <si>
    <t>Ciprofloxacin 500mg Tablets 100s</t>
  </si>
  <si>
    <t>PH10176</t>
  </si>
  <si>
    <t>Ibuprofen 400mg Tablets 100s</t>
  </si>
  <si>
    <t>PH10177</t>
  </si>
  <si>
    <t>Allopurinol 100mg Tablets 2x14</t>
  </si>
  <si>
    <t>PH10178</t>
  </si>
  <si>
    <t>Losartan 100mg Tablets 3x10</t>
  </si>
  <si>
    <t>PH10179</t>
  </si>
  <si>
    <t>Warfarin 1mg Tablets 30s</t>
  </si>
  <si>
    <t>PH10180</t>
  </si>
  <si>
    <t>Paracetamol 500mg Tablets 10x10</t>
  </si>
  <si>
    <t>PH10181</t>
  </si>
  <si>
    <t>Azithromycin 250mg Tablets 100s</t>
  </si>
  <si>
    <t>PH10182</t>
  </si>
  <si>
    <t>Allopurinol 100mg Tablets 100s</t>
  </si>
  <si>
    <t>PH10183</t>
  </si>
  <si>
    <t>Metoprolol 100mg Tablets 10x10</t>
  </si>
  <si>
    <t>PH10184</t>
  </si>
  <si>
    <t>Levothyroxine 50mcg Tablets 10x10</t>
  </si>
  <si>
    <t>PH10185</t>
  </si>
  <si>
    <t>Atorvastatin 20mg Tablets 30s</t>
  </si>
  <si>
    <t>PH10186</t>
  </si>
  <si>
    <t>Levothyroxine 50mcg Tablets 30s</t>
  </si>
  <si>
    <t>PH10187</t>
  </si>
  <si>
    <t>Prednisolone 25mg Tablets 10x10</t>
  </si>
  <si>
    <t>PH10188</t>
  </si>
  <si>
    <t>Atorvastatin 10mg Tablets 2x14</t>
  </si>
  <si>
    <t>PH10189</t>
  </si>
  <si>
    <t>Atorvastatin 40mg Tablets 30s</t>
  </si>
  <si>
    <t>PH10190</t>
  </si>
  <si>
    <t>Atorvastatin 20mg Tablets 3x10</t>
  </si>
  <si>
    <t>PH10191</t>
  </si>
  <si>
    <t>Allopurinol 300mg Tablets 3x10</t>
  </si>
  <si>
    <t>PH10192</t>
  </si>
  <si>
    <t>Cetirizine 10mg Tablets 30s</t>
  </si>
  <si>
    <t>PH10193</t>
  </si>
  <si>
    <t>Montelukast 10mg Tablets 10x10</t>
  </si>
  <si>
    <t>PH10194</t>
  </si>
  <si>
    <t>Ciprofloxacin 250mg Tablets 2x14</t>
  </si>
  <si>
    <t>PH10195</t>
  </si>
  <si>
    <t>Pantoprazole 20mg Tablets 30s</t>
  </si>
  <si>
    <t>PH10196</t>
  </si>
  <si>
    <t>Warfarin 5mg Tablets 100s</t>
  </si>
  <si>
    <t>PH10197</t>
  </si>
  <si>
    <t>Warfarin 1mg Tablets 100s</t>
  </si>
  <si>
    <t>PH10198</t>
  </si>
  <si>
    <t>Bisoprolol 2.5mg Tablets 30s</t>
  </si>
  <si>
    <t>PH10199</t>
  </si>
  <si>
    <t>Levothyroxine 100mcg Tablets 10x10</t>
  </si>
  <si>
    <t>PH10200</t>
  </si>
  <si>
    <t>Escitalopram 20mg Tablets 2x14</t>
  </si>
  <si>
    <t>PH10201</t>
  </si>
  <si>
    <t>Montelukast 10mg Tablets 30s</t>
  </si>
  <si>
    <t>PH10202</t>
  </si>
  <si>
    <t>Telmisartan 40mg Tablets 100s</t>
  </si>
  <si>
    <t>PH10203</t>
  </si>
  <si>
    <t>Atorvastatin 40mg Tablets 2x14</t>
  </si>
  <si>
    <t>PH10204</t>
  </si>
  <si>
    <t>Warfarin 5mg Tablets 2x14</t>
  </si>
  <si>
    <t>PH10205</t>
  </si>
  <si>
    <t>Glimepiride 2mg Tablets 10x10</t>
  </si>
  <si>
    <t>PH10206</t>
  </si>
  <si>
    <t>Glimepiride 4mg Tablets 10x10</t>
  </si>
  <si>
    <t>PH10207</t>
  </si>
  <si>
    <t>Sertraline 100mg Tablets 2x14</t>
  </si>
  <si>
    <t>PH10208</t>
  </si>
  <si>
    <t>Allopurinol 100mg Tablets 30s</t>
  </si>
  <si>
    <t>PH10209</t>
  </si>
  <si>
    <t>Losartan 50mg Tablets 3x10</t>
  </si>
  <si>
    <t>PH10210</t>
  </si>
  <si>
    <t>Losartan 100mg Tablets 10x10</t>
  </si>
  <si>
    <t>PH10211</t>
  </si>
  <si>
    <t>Esomeprazole 20mg Tablets 10x10</t>
  </si>
  <si>
    <t>PH10212</t>
  </si>
  <si>
    <t>Esomeprazole 20mg Tablets 2x14</t>
  </si>
  <si>
    <t>PH10213</t>
  </si>
  <si>
    <t>Rosuvastatin 5mg Tablets 10x10</t>
  </si>
  <si>
    <t>PH10214</t>
  </si>
  <si>
    <t>Furosemide 40mg Tablets 10x10</t>
  </si>
  <si>
    <t>PH10215</t>
  </si>
  <si>
    <t>Bisoprolol 5mg Tablets 10x10</t>
  </si>
  <si>
    <t>PH10216</t>
  </si>
  <si>
    <t>Metoprolol 50mg Tablets 30s</t>
  </si>
  <si>
    <t>PH10217</t>
  </si>
  <si>
    <t>Paracetamol 500mg Tablets 100s</t>
  </si>
  <si>
    <t>PH10218</t>
  </si>
  <si>
    <t>Ibuprofen 400mg Tablets 2x14</t>
  </si>
  <si>
    <t>PH10219</t>
  </si>
  <si>
    <t>Warfarin 1mg Tablets 10x10</t>
  </si>
  <si>
    <t>PH10220</t>
  </si>
  <si>
    <t>Metformin 500mg Tablets 3x10</t>
  </si>
  <si>
    <t>PH10221</t>
  </si>
  <si>
    <t>Rosuvastatin 10mg Tablets 100s</t>
  </si>
  <si>
    <t>PH10222</t>
  </si>
  <si>
    <t>Escitalopram 10mg Tablets 100s</t>
  </si>
  <si>
    <t>PH10223</t>
  </si>
  <si>
    <t>Metformin 850mg Tablets 100s</t>
  </si>
  <si>
    <t>PH10224</t>
  </si>
  <si>
    <t>Telmisartan 80mg Tablets 2x14</t>
  </si>
  <si>
    <t>PH10225</t>
  </si>
  <si>
    <t>Metoprolol 100mg Tablets 30s</t>
  </si>
  <si>
    <t>PH10226</t>
  </si>
  <si>
    <t>Esomeprazole 40mg Tablets 2x14</t>
  </si>
  <si>
    <t>PH10227</t>
  </si>
  <si>
    <t>Metformin 850mg Tablets 30s</t>
  </si>
  <si>
    <t>PH10228</t>
  </si>
  <si>
    <t>Metformin 500mg Tablets 30s</t>
  </si>
  <si>
    <t>PH10229</t>
  </si>
  <si>
    <t>Loratadine 10mg Tablets 100s</t>
  </si>
  <si>
    <t>PH10230</t>
  </si>
  <si>
    <t>Losartan 50mg Tablets 100s</t>
  </si>
  <si>
    <t>PH10231</t>
  </si>
  <si>
    <t>Furosemide 40mg Tablets 30s</t>
  </si>
  <si>
    <t>PH10232</t>
  </si>
  <si>
    <t>Azithromycin 500mg Tablets 3x10</t>
  </si>
  <si>
    <t>PH10233</t>
  </si>
  <si>
    <t>Azithromycin 250mg Tablets 30s</t>
  </si>
  <si>
    <t>PH10234</t>
  </si>
  <si>
    <t>Atorvastatin 20mg Tablets 100s</t>
  </si>
  <si>
    <t>PH10235</t>
  </si>
  <si>
    <t>Amlodipine 10mg Tablets 2x14</t>
  </si>
  <si>
    <t>PH10236</t>
  </si>
  <si>
    <t>Losartan 100mg Tablets 30s</t>
  </si>
  <si>
    <t>PH10237</t>
  </si>
  <si>
    <t>Ciprofloxacin 500mg Tablets 30s</t>
  </si>
  <si>
    <t>PH10238</t>
  </si>
  <si>
    <t>Bisoprolol 2.5mg Tablets 100s</t>
  </si>
  <si>
    <t>PH10239</t>
  </si>
  <si>
    <t>Esomeprazole 20mg Tablets 100s</t>
  </si>
  <si>
    <t>PH10240</t>
  </si>
  <si>
    <t>Esomeprazole 40mg Tablets 10x10</t>
  </si>
  <si>
    <t>PH10241</t>
  </si>
  <si>
    <t>Escitalopram 10mg Tablets 10x10</t>
  </si>
  <si>
    <t>PH10242</t>
  </si>
  <si>
    <t>Escitalopram 10mg Tablets 2x14</t>
  </si>
  <si>
    <t>PH10243</t>
  </si>
  <si>
    <t>Azithromycin 250mg Tablets 2x14</t>
  </si>
  <si>
    <t>PH10244</t>
  </si>
  <si>
    <t>Furosemide 40mg Tablets 2x14</t>
  </si>
  <si>
    <t>PH10245</t>
  </si>
  <si>
    <t>Warfarin 5mg Tablets 3x10</t>
  </si>
  <si>
    <t>PH10246</t>
  </si>
  <si>
    <t>Metoprolol 100mg Tablets 3x10</t>
  </si>
  <si>
    <t>PH10247</t>
  </si>
  <si>
    <t>Prednisolone 5mg Tablets 30s</t>
  </si>
  <si>
    <t>PH10248</t>
  </si>
  <si>
    <t>Prednisolone 5mg Tablets 10x10</t>
  </si>
  <si>
    <t>PH10249</t>
  </si>
  <si>
    <t>Sertraline 100mg Tablets 3x10</t>
  </si>
  <si>
    <t>PH10250</t>
  </si>
  <si>
    <t>Levothyroxine 100mcg Tablets 100s</t>
  </si>
  <si>
    <t>PH10251</t>
  </si>
  <si>
    <t>Rosuvastatin 5mg Tablets 100s</t>
  </si>
  <si>
    <t>PH10252</t>
  </si>
  <si>
    <t>Amlodipine 5mg Tablets 3x10</t>
  </si>
  <si>
    <t>PH10253</t>
  </si>
  <si>
    <t>Metoprolol 50mg Tablets 10x10</t>
  </si>
  <si>
    <t>PH10254</t>
  </si>
  <si>
    <t>Gliclazide 80mg Tablets 100s</t>
  </si>
  <si>
    <t>PH10255</t>
  </si>
  <si>
    <t>Diclofenac 50mg Tablets 100s</t>
  </si>
  <si>
    <t>PH10256</t>
  </si>
  <si>
    <t>Telmisartan 80mg Tablets 10x10</t>
  </si>
  <si>
    <t>PH10257</t>
  </si>
  <si>
    <t>Prednisolone 5mg Tablets 100s</t>
  </si>
  <si>
    <t>PH10258</t>
  </si>
  <si>
    <t>Carvedilol 6.25mg Tablets 2x14</t>
  </si>
  <si>
    <t>PH10259</t>
  </si>
  <si>
    <t>Glimepiride 2mg Tablets 2x14</t>
  </si>
  <si>
    <t>PH10260</t>
  </si>
  <si>
    <t>Clopidogrel 75mg Tablets 100s</t>
  </si>
  <si>
    <t>PH10261</t>
  </si>
  <si>
    <t>Fish Oil Omega-3 1000mg Capsules 10x10</t>
  </si>
  <si>
    <t>Capsules</t>
  </si>
  <si>
    <t>PH10262</t>
  </si>
  <si>
    <t>Itraconazole 100mg Capsules 2x14</t>
  </si>
  <si>
    <t>PH10263</t>
  </si>
  <si>
    <t>Fluoxetine 20mg Capsules 60s</t>
  </si>
  <si>
    <t>PH10264</t>
  </si>
  <si>
    <t>Vitamin D3 1000IU Capsules 30s</t>
  </si>
  <si>
    <t>PH10265</t>
  </si>
  <si>
    <t>Cefalexin 500mg Capsules 30s</t>
  </si>
  <si>
    <t>PH10266</t>
  </si>
  <si>
    <t>Itraconazole 100mg Capsules 60s</t>
  </si>
  <si>
    <t>PH10267</t>
  </si>
  <si>
    <t>Pregabalin 150mg Capsules 2x14</t>
  </si>
  <si>
    <t>Solandra Health</t>
  </si>
  <si>
    <t>PH10268</t>
  </si>
  <si>
    <t>Fluoxetine 20mg Capsules 30s</t>
  </si>
  <si>
    <t>PH10269</t>
  </si>
  <si>
    <t>Cefalexin 250mg Capsules 3x10</t>
  </si>
  <si>
    <t>PH10270</t>
  </si>
  <si>
    <t>Doxycycline 100mg Capsules 10x10</t>
  </si>
  <si>
    <t>PH10271</t>
  </si>
  <si>
    <t>Vitamin D3 1000IU Capsules 10x10</t>
  </si>
  <si>
    <t>PH10272</t>
  </si>
  <si>
    <t>Amoxicillin 500mg Capsules 10x10</t>
  </si>
  <si>
    <t>PH10273</t>
  </si>
  <si>
    <t>Amoxicillin 250mg Capsules 30s</t>
  </si>
  <si>
    <t>PH10274</t>
  </si>
  <si>
    <t>Amoxicillin 250mg Capsules 2x14</t>
  </si>
  <si>
    <t>PH10275</t>
  </si>
  <si>
    <t>Gabapentin 300mg Capsules 30s</t>
  </si>
  <si>
    <t>PH10276</t>
  </si>
  <si>
    <t>Doxycycline 100mg Capsules 3x10</t>
  </si>
  <si>
    <t>PH10277</t>
  </si>
  <si>
    <t>Tamsulosin 400mcg Capsules 30s</t>
  </si>
  <si>
    <t>PH10278</t>
  </si>
  <si>
    <t>Itraconazole 100mg Capsules 10x10</t>
  </si>
  <si>
    <t>PH10279</t>
  </si>
  <si>
    <t>Amoxicillin 500mg Capsules 3x10</t>
  </si>
  <si>
    <t>PH10280</t>
  </si>
  <si>
    <t>Tamsulosin 400mcg Capsules 60s</t>
  </si>
  <si>
    <t>PH10281</t>
  </si>
  <si>
    <t>Gabapentin 300mg Capsules 60s</t>
  </si>
  <si>
    <t>PH10282</t>
  </si>
  <si>
    <t>Omeprazole 40mg Capsules 3x10</t>
  </si>
  <si>
    <t>PH10283</t>
  </si>
  <si>
    <t>Iron Folic 150mg Capsules 10x10</t>
  </si>
  <si>
    <t>PH10284</t>
  </si>
  <si>
    <t>Iron Folic 150mg Capsules 60s</t>
  </si>
  <si>
    <t>PH10285</t>
  </si>
  <si>
    <t>Pregabalin 75mg Capsules 2x14</t>
  </si>
  <si>
    <t>PH10286</t>
  </si>
  <si>
    <t>Itraconazole 100mg Capsules 30s</t>
  </si>
  <si>
    <t>PH10287</t>
  </si>
  <si>
    <t>Gabapentin 300mg Capsules 2x14</t>
  </si>
  <si>
    <t>PH10288</t>
  </si>
  <si>
    <t>Fluoxetine 20mg Capsules 3x10</t>
  </si>
  <si>
    <t>PH10289</t>
  </si>
  <si>
    <t>Omeprazole 40mg Capsules 60s</t>
  </si>
  <si>
    <t>PH10290</t>
  </si>
  <si>
    <t>Cefalexin 250mg Capsules 10x10</t>
  </si>
  <si>
    <t>PH10291</t>
  </si>
  <si>
    <t>Omeprazole 40mg Capsules 30s</t>
  </si>
  <si>
    <t>PH10292</t>
  </si>
  <si>
    <t>Iron Folic 150mg Capsules 3x10</t>
  </si>
  <si>
    <t>PH10293</t>
  </si>
  <si>
    <t>Itraconazole 100mg Capsules 3x10</t>
  </si>
  <si>
    <t>PH10294</t>
  </si>
  <si>
    <t>Pregabalin 150mg Capsules 10x10</t>
  </si>
  <si>
    <t>PH10295</t>
  </si>
  <si>
    <t>Tamsulosin 400mcg Capsules 2x14</t>
  </si>
  <si>
    <t>PH10296</t>
  </si>
  <si>
    <t>Vitamin D3 1000IU Capsules 3x10</t>
  </si>
  <si>
    <t>PH10297</t>
  </si>
  <si>
    <t>Amoxicillin 500mg Capsules 30s</t>
  </si>
  <si>
    <t>PH10298</t>
  </si>
  <si>
    <t>Tamsulosin 400mcg Capsules 10x10</t>
  </si>
  <si>
    <t>PH10299</t>
  </si>
  <si>
    <t>Iron Folic 150mg Capsules 30s</t>
  </si>
  <si>
    <t>PH10300</t>
  </si>
  <si>
    <t>Iron Folic 150mg Capsules 2x14</t>
  </si>
  <si>
    <t>PH10301</t>
  </si>
  <si>
    <t>Doxycycline 100mg Capsules 2x14</t>
  </si>
  <si>
    <t>PH10302</t>
  </si>
  <si>
    <t>Fish Oil Omega-3 1000mg Capsules 3x10</t>
  </si>
  <si>
    <t>PH10303</t>
  </si>
  <si>
    <t>Omeprazole 40mg Capsules 2x14</t>
  </si>
  <si>
    <t>PH10305</t>
  </si>
  <si>
    <t>Pregabalin 75mg Capsules 60s</t>
  </si>
  <si>
    <t>PH10306</t>
  </si>
  <si>
    <t>Omeprazole 40mg Capsules 10x10</t>
  </si>
  <si>
    <t>PH10307</t>
  </si>
  <si>
    <t>Vitamin D3 1000IU Capsules 2x14</t>
  </si>
  <si>
    <t>PH10308</t>
  </si>
  <si>
    <t>Pregabalin 75mg Capsules 10x10</t>
  </si>
  <si>
    <t>PH10309</t>
  </si>
  <si>
    <t>Fluoxetine 20mg Capsules 2x14</t>
  </si>
  <si>
    <t>PH10310</t>
  </si>
  <si>
    <t>Amoxicillin 500mg Capsules 60s</t>
  </si>
  <si>
    <t>PH10311</t>
  </si>
  <si>
    <t>Gabapentin 300mg Capsules 3x10</t>
  </si>
  <si>
    <t>PH10312</t>
  </si>
  <si>
    <t>Amoxicillin 250mg Capsules 3x10</t>
  </si>
  <si>
    <t>PH10313</t>
  </si>
  <si>
    <t>Cefalexin 250mg Capsules 30s</t>
  </si>
  <si>
    <t>PH10314</t>
  </si>
  <si>
    <t>Fish Oil Omega-3 1000mg Capsules 30s</t>
  </si>
  <si>
    <t>PH10315</t>
  </si>
  <si>
    <t>Cefalexin 250mg Capsules 60s</t>
  </si>
  <si>
    <t>PH10316</t>
  </si>
  <si>
    <t>Doxycycline 100mg Capsules 30s</t>
  </si>
  <si>
    <t>PH10317</t>
  </si>
  <si>
    <t>Omeprazole 20mg Capsules 60s</t>
  </si>
  <si>
    <t>PH10318</t>
  </si>
  <si>
    <t>Cefalexin 500mg Capsules 10x10</t>
  </si>
  <si>
    <t>PH10319</t>
  </si>
  <si>
    <t>Cefalexin 500mg Capsules 3x10</t>
  </si>
  <si>
    <t>PH10320</t>
  </si>
  <si>
    <t>Tamsulosin 400mcg Capsules 3x10</t>
  </si>
  <si>
    <t>PH10321</t>
  </si>
  <si>
    <t>Cefalexin 250mg Capsules 2x14</t>
  </si>
  <si>
    <t>PH10322</t>
  </si>
  <si>
    <t>Fluoxetine 20mg Capsules 10x10</t>
  </si>
  <si>
    <t>PH10323</t>
  </si>
  <si>
    <t>Amoxicillin 250mg Capsules 60s</t>
  </si>
  <si>
    <t>PH10324</t>
  </si>
  <si>
    <t>Omeprazole 20mg Capsules 3x10</t>
  </si>
  <si>
    <t>PH10325</t>
  </si>
  <si>
    <t>Omeprazole 20mg Capsules 10x10</t>
  </si>
  <si>
    <t>PH10326</t>
  </si>
  <si>
    <t>Cefalexin 500mg Capsules 60s</t>
  </si>
  <si>
    <t>PH10327</t>
  </si>
  <si>
    <t>Vitamin D3 1000IU Capsules 60s</t>
  </si>
  <si>
    <t>PH10328</t>
  </si>
  <si>
    <t>Amoxicillin 250mg Capsules 10x10</t>
  </si>
  <si>
    <t>PH10329</t>
  </si>
  <si>
    <t>Pregabalin 150mg Capsules 60s</t>
  </si>
  <si>
    <t>PH10330</t>
  </si>
  <si>
    <t>Fish Oil Omega-3 1000mg Capsules 60s</t>
  </si>
  <si>
    <t>PH10331</t>
  </si>
  <si>
    <t>Cetirizine 5mg/5ml Syrup 200ml</t>
  </si>
  <si>
    <t>Syrups</t>
  </si>
  <si>
    <t>PH10332</t>
  </si>
  <si>
    <t>Paracetamol 120mg/5ml Syrup 100ml</t>
  </si>
  <si>
    <t>PH10333</t>
  </si>
  <si>
    <t>Cough Expectorant Syrup 100ml</t>
  </si>
  <si>
    <t>PH10334</t>
  </si>
  <si>
    <t>Multivitamin Syrup 200ml</t>
  </si>
  <si>
    <t>PH10335</t>
  </si>
  <si>
    <t>Iron Tonic Syrup 200ml</t>
  </si>
  <si>
    <t>PH10336</t>
  </si>
  <si>
    <t>Iron Tonic Syrup 60ml</t>
  </si>
  <si>
    <t>PH10338</t>
  </si>
  <si>
    <t>Paracetamol 120mg/5ml Syrup 60ml</t>
  </si>
  <si>
    <t>PH10339</t>
  </si>
  <si>
    <t>Amoxicillin 125mg/5ml Dry Syrup 60ml</t>
  </si>
  <si>
    <t>PH10340</t>
  </si>
  <si>
    <t>Loratadine 5mg/5ml Syrup 200ml</t>
  </si>
  <si>
    <t>PH10342</t>
  </si>
  <si>
    <t>Ibuprofen 100mg/5ml Suspension 60ml</t>
  </si>
  <si>
    <t>PH10343</t>
  </si>
  <si>
    <t>Cough Expectorant Syrup 60ml</t>
  </si>
  <si>
    <t>PH10344</t>
  </si>
  <si>
    <t>Cetirizine 5mg/5ml Syrup 60ml</t>
  </si>
  <si>
    <t>PH10345</t>
  </si>
  <si>
    <t>Lactulose 3.3g/5ml Solution 100ml</t>
  </si>
  <si>
    <t>PH10346</t>
  </si>
  <si>
    <t>Salbutamol 2mg/5ml Syrup 200ml</t>
  </si>
  <si>
    <t>PH10347</t>
  </si>
  <si>
    <t>Iron Tonic Syrup 100ml</t>
  </si>
  <si>
    <t>PH10348</t>
  </si>
  <si>
    <t>Cough Expectorant Syrup 200ml</t>
  </si>
  <si>
    <t>PH10349</t>
  </si>
  <si>
    <t>Antacid Oral Suspension 100ml</t>
  </si>
  <si>
    <t>PH10350</t>
  </si>
  <si>
    <t>Amoxicillin 125mg/5ml Dry Syrup 200ml</t>
  </si>
  <si>
    <t>PH10351</t>
  </si>
  <si>
    <t>Antacid Oral Suspension 200ml</t>
  </si>
  <si>
    <t>PH10352</t>
  </si>
  <si>
    <t>Paracetamol 120mg/5ml Syrup 200ml</t>
  </si>
  <si>
    <t>PH10353</t>
  </si>
  <si>
    <t>Multivitamin Syrup 60ml</t>
  </si>
  <si>
    <t>PH10354</t>
  </si>
  <si>
    <t>Oral Rehydration Solution 200ml</t>
  </si>
  <si>
    <t>PH10355</t>
  </si>
  <si>
    <t>Loratadine 5mg/5ml Syrup 100ml</t>
  </si>
  <si>
    <t>PH10356</t>
  </si>
  <si>
    <t>Azithromycin 200mg/5ml Suspension 200ml</t>
  </si>
  <si>
    <t>PH10357</t>
  </si>
  <si>
    <t>Amoxicillin 125mg/5ml Dry Syrup 100ml</t>
  </si>
  <si>
    <t>PH10358</t>
  </si>
  <si>
    <t>Oral Rehydration Solution 60ml</t>
  </si>
  <si>
    <t>PH10359</t>
  </si>
  <si>
    <t>Salbutamol 2mg/5ml Syrup 60ml</t>
  </si>
  <si>
    <t>PH10360</t>
  </si>
  <si>
    <t>Cetirizine 5mg/5ml Syrup 100ml</t>
  </si>
  <si>
    <t>PH10361</t>
  </si>
  <si>
    <t>Antacid Oral Suspension 60ml</t>
  </si>
  <si>
    <t>PH10362</t>
  </si>
  <si>
    <t>Salbutamol 2mg/5ml Syrup 100ml</t>
  </si>
  <si>
    <t>PH10363</t>
  </si>
  <si>
    <t>Multivitamin Syrup 100ml</t>
  </si>
  <si>
    <t>PH10364</t>
  </si>
  <si>
    <t>Loratadine 5mg/5ml Syrup 60ml</t>
  </si>
  <si>
    <t>PH10365</t>
  </si>
  <si>
    <t>Ibuprofen 100mg/5ml Suspension 100ml</t>
  </si>
  <si>
    <t>PH10366</t>
  </si>
  <si>
    <t>Lactulose 3.3g/5ml Solution 60ml</t>
  </si>
  <si>
    <t>PH10367</t>
  </si>
  <si>
    <t>Zinc Sulfate Syrup 200ml</t>
  </si>
  <si>
    <t>PH10368</t>
  </si>
  <si>
    <t>Lactulose 3.3g/5ml Solution 200ml</t>
  </si>
  <si>
    <t>PH10369</t>
  </si>
  <si>
    <t>Ibuprofen 100mg/5ml Suspension 200ml</t>
  </si>
  <si>
    <t>PH10370</t>
  </si>
  <si>
    <t>Zinc Sulfate Syrup 60ml</t>
  </si>
  <si>
    <t>PH10371</t>
  </si>
  <si>
    <t>Glucose 4% + NaCl 0.18% IV 250ml Bag</t>
  </si>
  <si>
    <t>Clearford Infusions</t>
  </si>
  <si>
    <t>IV Fluids</t>
  </si>
  <si>
    <t>PH10372</t>
  </si>
  <si>
    <t>Glucose 4% + NaCl 0.18% IV 1000ml Bag</t>
  </si>
  <si>
    <t>PH10373</t>
  </si>
  <si>
    <t>Compound Sodium Lactate IV 1000ml Bottle</t>
  </si>
  <si>
    <t>PH10374</t>
  </si>
  <si>
    <t>Sodium Chloride 0.45% IV 1000ml Bottle</t>
  </si>
  <si>
    <t>PH10375</t>
  </si>
  <si>
    <t>Dextrose 5% IV 1000ml Bag</t>
  </si>
  <si>
    <t>PH10376</t>
  </si>
  <si>
    <t>Sodium Chloride 0.9% IV 1000ml Bottle</t>
  </si>
  <si>
    <t>PH10377</t>
  </si>
  <si>
    <t>Dextrose 10% IV 250ml Bag</t>
  </si>
  <si>
    <t>PH10378</t>
  </si>
  <si>
    <t>Sodium Chloride 0.9% IV 1000ml Bag</t>
  </si>
  <si>
    <t>PH10379</t>
  </si>
  <si>
    <t>Glucose 4% + NaCl 0.18% IV 500ml Bag</t>
  </si>
  <si>
    <t>PH10380</t>
  </si>
  <si>
    <t>Compound Sodium Lactate IV 1000ml Bag</t>
  </si>
  <si>
    <t>PH10381</t>
  </si>
  <si>
    <t>Dextrose 5% IV 500ml Bag</t>
  </si>
  <si>
    <t>PH10382</t>
  </si>
  <si>
    <t>Glucose 4% + NaCl 0.18% IV 1000ml Bottle</t>
  </si>
  <si>
    <t>PH10383</t>
  </si>
  <si>
    <t>Sodium Chloride 0.45% IV 250ml Bag</t>
  </si>
  <si>
    <t>PH10384</t>
  </si>
  <si>
    <t>Compound Sodium Lactate IV 250ml Bag</t>
  </si>
  <si>
    <t>PH10385</t>
  </si>
  <si>
    <t>Glucose 4% + NaCl 0.18% IV 500ml Bottle</t>
  </si>
  <si>
    <t>PH10386</t>
  </si>
  <si>
    <t>Dextrose 10% IV 1000ml Bottle</t>
  </si>
  <si>
    <t>PH10387</t>
  </si>
  <si>
    <t>Dextrose 10% IV 500ml Bottle</t>
  </si>
  <si>
    <t>PH10388</t>
  </si>
  <si>
    <t>Dextrose 10% IV 1000ml Bag</t>
  </si>
  <si>
    <t>PH10389</t>
  </si>
  <si>
    <t>Sodium Chloride 0.45% IV 500ml Bag</t>
  </si>
  <si>
    <t>PH10390</t>
  </si>
  <si>
    <t>Compound Sodium Lactate IV 500ml Bag</t>
  </si>
  <si>
    <t>PH10391</t>
  </si>
  <si>
    <t>Compound Sodium Lactate IV 500ml Bottle</t>
  </si>
  <si>
    <t>PH10392</t>
  </si>
  <si>
    <t>Sodium Chloride 0.9% IV 500ml Bottle</t>
  </si>
  <si>
    <t>PH10393</t>
  </si>
  <si>
    <t>Dextrose 5% IV 500ml Bottle</t>
  </si>
  <si>
    <t>PH10394</t>
  </si>
  <si>
    <t>Dextrose 10% IV 500ml Bag</t>
  </si>
  <si>
    <t>PH10395</t>
  </si>
  <si>
    <t>Dextrose 5% IV 250ml Bag</t>
  </si>
  <si>
    <t>PH10396</t>
  </si>
  <si>
    <t>Hydrocortisone 100mg Vial 1s</t>
  </si>
  <si>
    <t>Injections</t>
  </si>
  <si>
    <t>2-8C</t>
  </si>
  <si>
    <t>PH10397</t>
  </si>
  <si>
    <t>Pantoprazole 40mg Vial 10s</t>
  </si>
  <si>
    <t>Tessaline Biologics</t>
  </si>
  <si>
    <t>PH10398</t>
  </si>
  <si>
    <t>Heparin 5000IU/ml 5ml Vial 10s</t>
  </si>
  <si>
    <t>PH10399</t>
  </si>
  <si>
    <t>Enoxaparin 40mg Prefilled Syringe 1s</t>
  </si>
  <si>
    <t>PH10400</t>
  </si>
  <si>
    <t>Pantoprazole 40mg Vial 1s</t>
  </si>
  <si>
    <t>PH10401</t>
  </si>
  <si>
    <t>Lidocaine 2% 5ml Ampoule 10s</t>
  </si>
  <si>
    <t>PH10402</t>
  </si>
  <si>
    <t>Cefuroxime 750mg Vial 10s</t>
  </si>
  <si>
    <t>PH10403</t>
  </si>
  <si>
    <t>Amikacin 500mg/2ml Vial 5s</t>
  </si>
  <si>
    <t>PH10404</t>
  </si>
  <si>
    <t>Tramadol 100mg/2ml Ampoule 1s</t>
  </si>
  <si>
    <t>PH10405</t>
  </si>
  <si>
    <t>Metoclopramide 10mg/2ml Ampoule 5s</t>
  </si>
  <si>
    <t>PH10406</t>
  </si>
  <si>
    <t>Dexamethasone 4mg/ml Ampoule 5s</t>
  </si>
  <si>
    <t>PH10407</t>
  </si>
  <si>
    <t>Pantoprazole 40mg Vial 5s</t>
  </si>
  <si>
    <t>PH10408</t>
  </si>
  <si>
    <t>Tramadol 100mg/2ml Ampoule 5s</t>
  </si>
  <si>
    <t>PH10409</t>
  </si>
  <si>
    <t>Lidocaine 2% 5ml Ampoule 5s</t>
  </si>
  <si>
    <t>PH10410</t>
  </si>
  <si>
    <t>Ondansetron 4mg/2ml Ampoule 10s</t>
  </si>
  <si>
    <t>PH10411</t>
  </si>
  <si>
    <t>Cefuroxime 750mg Vial 5s</t>
  </si>
  <si>
    <t>PH10412</t>
  </si>
  <si>
    <t>Lidocaine 2% 5ml Ampoule 1s</t>
  </si>
  <si>
    <t>PH10413</t>
  </si>
  <si>
    <t>Metoclopramide 10mg/2ml Ampoule 1s</t>
  </si>
  <si>
    <t>PH10414</t>
  </si>
  <si>
    <t>Furosemide 20mg/2ml Ampoule 5s</t>
  </si>
  <si>
    <t>PH10415</t>
  </si>
  <si>
    <t>Metoclopramide 10mg/2ml Ampoule 10s</t>
  </si>
  <si>
    <t>PH10416</t>
  </si>
  <si>
    <t>Heparin 5000IU/ml 5ml Vial 1s</t>
  </si>
  <si>
    <t>PH10417</t>
  </si>
  <si>
    <t>Ketorolac 30mg/ml Ampoule 1s</t>
  </si>
  <si>
    <t>PH10418</t>
  </si>
  <si>
    <t>Ketorolac 30mg/ml Ampoule 10s</t>
  </si>
  <si>
    <t>PH10419</t>
  </si>
  <si>
    <t>Dexamethasone 4mg/ml Ampoule 10s</t>
  </si>
  <si>
    <t>PH10420</t>
  </si>
  <si>
    <t>Enoxaparin 40mg Prefilled Syringe 10s</t>
  </si>
  <si>
    <t>PH10421</t>
  </si>
  <si>
    <t>Heparin 5000IU/ml 5ml Vial 5s</t>
  </si>
  <si>
    <t>PH10422</t>
  </si>
  <si>
    <t>Amikacin 500mg/2ml Vial 10s</t>
  </si>
  <si>
    <t>PH10423</t>
  </si>
  <si>
    <t>Enoxaparin 40mg Prefilled Syringe 5s</t>
  </si>
  <si>
    <t>PH10424</t>
  </si>
  <si>
    <t>Furosemide 20mg/2ml Ampoule 10s</t>
  </si>
  <si>
    <t>PH10425</t>
  </si>
  <si>
    <t>Dexamethasone 4mg/ml Ampoule 1s</t>
  </si>
  <si>
    <t>PH10426</t>
  </si>
  <si>
    <t>Ketorolac 30mg/ml Ampoule 5s</t>
  </si>
  <si>
    <t>PH10427</t>
  </si>
  <si>
    <t>Amikacin 500mg/2ml Vial 1s</t>
  </si>
  <si>
    <t>PH10428</t>
  </si>
  <si>
    <t>Hydrocortisone 100mg Vial 5s</t>
  </si>
  <si>
    <t>PH10429</t>
  </si>
  <si>
    <t>Furosemide 20mg/2ml Ampoule 1s</t>
  </si>
  <si>
    <t>PH10430</t>
  </si>
  <si>
    <t>Tramadol 100mg/2ml Ampoule 10s</t>
  </si>
  <si>
    <t>PH10431</t>
  </si>
  <si>
    <t>Ceftriaxone 1g Vial 10s</t>
  </si>
  <si>
    <t>PH10432</t>
  </si>
  <si>
    <t>Cefuroxime 750mg Vial 1s</t>
  </si>
  <si>
    <t>PH10433</t>
  </si>
  <si>
    <t>Ceftriaxone 1g Vial 5s</t>
  </si>
  <si>
    <t>PH10434</t>
  </si>
  <si>
    <t>Ceftriaxone 1g Vial 1s</t>
  </si>
  <si>
    <t>PH10435</t>
  </si>
  <si>
    <t>Ondansetron 4mg/2ml Ampoule 5s</t>
  </si>
  <si>
    <t>PH10436</t>
  </si>
  <si>
    <t>Insulin Biphasic 30/70 100IU/ml 10ml Vial</t>
  </si>
  <si>
    <t>Cold Chain</t>
  </si>
  <si>
    <t>PH10437</t>
  </si>
  <si>
    <t>Hepatitis B Vaccine 10mcg Vial</t>
  </si>
  <si>
    <t>PH10438</t>
  </si>
  <si>
    <t>Insulin Isophane 100IU/ml 10ml Vial</t>
  </si>
  <si>
    <t>PH10439</t>
  </si>
  <si>
    <t>Insulin Lispro 100IU/ml 1x3ml Pen</t>
  </si>
  <si>
    <t>PH10440</t>
  </si>
  <si>
    <t>Insulin Aspart 100IU/ml 5x3ml Pen</t>
  </si>
  <si>
    <t>PH10441</t>
  </si>
  <si>
    <t>Rabies Vaccine 1ml Vial</t>
  </si>
  <si>
    <t>PH10442</t>
  </si>
  <si>
    <t>Insulin Lispro 100IU/ml 10ml Vial</t>
  </si>
  <si>
    <t>PH10443</t>
  </si>
  <si>
    <t>Insulin Isophane 100IU/ml 5x3ml Cartridge</t>
  </si>
  <si>
    <t>PH10444</t>
  </si>
  <si>
    <t>Influenza Vaccine 0.5ml PFS</t>
  </si>
  <si>
    <t>PH10445</t>
  </si>
  <si>
    <t>Insulin Glargine 100IU/ml 5x3ml Pen</t>
  </si>
  <si>
    <t>PH10446</t>
  </si>
  <si>
    <t>Insulin Glargine 100IU/ml 5x3ml Cartridge</t>
  </si>
  <si>
    <t>PH10447</t>
  </si>
  <si>
    <t>Insulin Aspart 100IU/ml 10ml Vial</t>
  </si>
  <si>
    <t>PH10448</t>
  </si>
  <si>
    <t>Erythropoietin 4000IU PFS</t>
  </si>
  <si>
    <t>PH10449</t>
  </si>
  <si>
    <t>Insulin Aspart 100IU/ml 5x3ml Cartridge</t>
  </si>
  <si>
    <t>PH10450</t>
  </si>
  <si>
    <t>Insulin Glargine 100IU/ml 1x3ml Pen</t>
  </si>
  <si>
    <t>PH10451</t>
  </si>
  <si>
    <t>Insulin Aspart 100IU/ml 1x3ml Pen</t>
  </si>
  <si>
    <t>PH10452</t>
  </si>
  <si>
    <t>Insulin Lispro 100IU/ml 5x3ml Cartridge</t>
  </si>
  <si>
    <t>PH10453</t>
  </si>
  <si>
    <t>Insulin Biphasic 30/70 100IU/ml 1x3ml Pen</t>
  </si>
  <si>
    <t>PH10455</t>
  </si>
  <si>
    <t>Tetanus Toxoid Vaccine 0.5ml</t>
  </si>
  <si>
    <t>PH10456</t>
  </si>
  <si>
    <t>Fusidic Acid 2% Cream 30g</t>
  </si>
  <si>
    <t>Topicals</t>
  </si>
  <si>
    <t>PH10457</t>
  </si>
  <si>
    <t>Miconazole 2% Cream 30g</t>
  </si>
  <si>
    <t>PH10458</t>
  </si>
  <si>
    <t>Hydrocortisone 1% Cream 30g</t>
  </si>
  <si>
    <t>Pellaro Eye &amp; Skin</t>
  </si>
  <si>
    <t>PH10459</t>
  </si>
  <si>
    <t>Fusidic Acid 2% Cream 50g</t>
  </si>
  <si>
    <t>PH10460</t>
  </si>
  <si>
    <t>Emollient Cream 15g</t>
  </si>
  <si>
    <t>PH10461</t>
  </si>
  <si>
    <t>Clotrimazole 1% Cream 15g</t>
  </si>
  <si>
    <t>PH10462</t>
  </si>
  <si>
    <t>Betamethasone 0.1% Ointment 15g</t>
  </si>
  <si>
    <t>PH10463</t>
  </si>
  <si>
    <t>Diclofenac 1% Gel 15g</t>
  </si>
  <si>
    <t>PH10464</t>
  </si>
  <si>
    <t>Clotrimazole 1% Cream 30g</t>
  </si>
  <si>
    <t>PH10465</t>
  </si>
  <si>
    <t>Calamine Lotion 50g</t>
  </si>
  <si>
    <t>PH10466</t>
  </si>
  <si>
    <t>Aciclovir 5% Cream 50g</t>
  </si>
  <si>
    <t>PH10467</t>
  </si>
  <si>
    <t>Calamine Lotion 15g</t>
  </si>
  <si>
    <t>PH10468</t>
  </si>
  <si>
    <t>Diclofenac 1% Gel 30g</t>
  </si>
  <si>
    <t>PH10469</t>
  </si>
  <si>
    <t>Diclofenac 1% Gel 50g</t>
  </si>
  <si>
    <t>PH10470</t>
  </si>
  <si>
    <t>Salicylic Acid Ointment 30g</t>
  </si>
  <si>
    <t>PH10471</t>
  </si>
  <si>
    <t>Mupirocin 2% Ointment 50g</t>
  </si>
  <si>
    <t>PH10472</t>
  </si>
  <si>
    <t>Miconazole 2% Cream 50g</t>
  </si>
  <si>
    <t>PH10475</t>
  </si>
  <si>
    <t>Betamethasone 0.1% Ointment 30g</t>
  </si>
  <si>
    <t>PH10476</t>
  </si>
  <si>
    <t>Betamethasone 0.1% Ointment 50g</t>
  </si>
  <si>
    <t>PH10477</t>
  </si>
  <si>
    <t>Salicylic Acid Ointment 15g</t>
  </si>
  <si>
    <t>PH10478</t>
  </si>
  <si>
    <t>Emollient Cream 30g</t>
  </si>
  <si>
    <t>PH10479</t>
  </si>
  <si>
    <t>Emollient Cream 50g</t>
  </si>
  <si>
    <t>PH10480</t>
  </si>
  <si>
    <t>Calamine Lotion 30g</t>
  </si>
  <si>
    <t>PH10481</t>
  </si>
  <si>
    <t>Mupirocin 2% Ointment 15g</t>
  </si>
  <si>
    <t>PH10482</t>
  </si>
  <si>
    <t>Silver Sulfadiazine 1% Cream 30g</t>
  </si>
  <si>
    <t>PH10483</t>
  </si>
  <si>
    <t>Silver Sulfadiazine 1% Cream 15g</t>
  </si>
  <si>
    <t>PH10484</t>
  </si>
  <si>
    <t>Hydrocortisone 1% Cream 50g</t>
  </si>
  <si>
    <t>PH10485</t>
  </si>
  <si>
    <t>Hydrocortisone 1% Cream 15g</t>
  </si>
  <si>
    <t>PH10486</t>
  </si>
  <si>
    <t>Artificial Tears Eye Drops 5ml</t>
  </si>
  <si>
    <t>Eye Drops</t>
  </si>
  <si>
    <t>PH10487</t>
  </si>
  <si>
    <t>Timolol 0.5% Eye Drops 5ml</t>
  </si>
  <si>
    <t>PH10489</t>
  </si>
  <si>
    <t>Ketorolac 0.5% Eye Drops 5ml</t>
  </si>
  <si>
    <t>PH10490</t>
  </si>
  <si>
    <t>Artificial Tears Eye Drops 10ml</t>
  </si>
  <si>
    <t>PH10491</t>
  </si>
  <si>
    <t>Ciprofloxacin 0.3% Eye Drops 10ml</t>
  </si>
  <si>
    <t>PH10492</t>
  </si>
  <si>
    <t>Prednisolone Acetate 1% Eye Drops 5ml</t>
  </si>
  <si>
    <t>PH10493</t>
  </si>
  <si>
    <t>Prednisolone Acetate 1% Eye Drops 10ml</t>
  </si>
  <si>
    <t>PH10494</t>
  </si>
  <si>
    <t>Timolol 0.5% Eye Drops 10ml</t>
  </si>
  <si>
    <t>PH10495</t>
  </si>
  <si>
    <t>Chloramphenicol 0.5% Eye Drops 10ml</t>
  </si>
  <si>
    <t>PH10496</t>
  </si>
  <si>
    <t>Olopatadine 0.1% Eye Drops 5ml</t>
  </si>
  <si>
    <t>PH10497</t>
  </si>
  <si>
    <t>Latanoprost 0.005% Eye Drops 10ml</t>
  </si>
  <si>
    <t>PH10498</t>
  </si>
  <si>
    <t>Brimonidine 0.2% Eye Drops 5ml</t>
  </si>
  <si>
    <t>PH10499</t>
  </si>
  <si>
    <t>Brimonidine 0.2% Eye Drops 10ml</t>
  </si>
  <si>
    <t>PH10500</t>
  </si>
  <si>
    <t>Ketorolac 0.5% Eye Drops 10ml</t>
  </si>
  <si>
    <t>PH10501</t>
  </si>
  <si>
    <t>Ciprofloxacin 0.3% Eye Drops 5ml</t>
  </si>
  <si>
    <t>PH10502</t>
  </si>
  <si>
    <t>Moxifloxacin 0.5% Eye Drops 10ml</t>
  </si>
  <si>
    <t>PH10503</t>
  </si>
  <si>
    <t>Olopatadine 0.1% Eye Drops 10ml</t>
  </si>
  <si>
    <t>PH10504</t>
  </si>
  <si>
    <t>Tobramycin 0.3% Eye Drops 10ml</t>
  </si>
  <si>
    <t>PH10505</t>
  </si>
  <si>
    <t>Latanoprost 0.005% Eye Drops 5ml</t>
  </si>
  <si>
    <t>PH10506</t>
  </si>
  <si>
    <t>Beclometasone 100mcg Inhaler 120 Dose</t>
  </si>
  <si>
    <t>Inhalers</t>
  </si>
  <si>
    <t>PH10507</t>
  </si>
  <si>
    <t>Budesonide 200mcg Inhaler 120 Dose</t>
  </si>
  <si>
    <t>PH10508</t>
  </si>
  <si>
    <t>Salbutamol 100mcg Inhaler 200 Dose</t>
  </si>
  <si>
    <t>PH10509</t>
  </si>
  <si>
    <t>Budesonide/Formoterol 200/6mcg Inhaler 120 Dose</t>
  </si>
  <si>
    <t>PH10510</t>
  </si>
  <si>
    <t>Salbutamol 100mcg Inhaler 120 Dose</t>
  </si>
  <si>
    <t>PH10511</t>
  </si>
  <si>
    <t>Budesonide 200mcg Inhaler 200 Dose</t>
  </si>
  <si>
    <t>PH10512</t>
  </si>
  <si>
    <t>Budesonide/Formoterol 200/6mcg Inhaler 200 Dose</t>
  </si>
  <si>
    <t>PH10513</t>
  </si>
  <si>
    <t>Fluticasone 125mcg Inhaler 200 Dose</t>
  </si>
  <si>
    <t>PH10514</t>
  </si>
  <si>
    <t>Tiotropium 18mcg Inhaler 200 Dose</t>
  </si>
  <si>
    <t>PH10515</t>
  </si>
  <si>
    <t>Beclometasone 100mcg Inhaler 200 Dose</t>
  </si>
  <si>
    <t>PH10516</t>
  </si>
  <si>
    <t>Ipratropium 20mcg Inhaler 200 Dose</t>
  </si>
  <si>
    <t>PH10517</t>
  </si>
  <si>
    <t>Ipratropium 20mcg Inhaler 120 Dose</t>
  </si>
  <si>
    <t>PH10518</t>
  </si>
  <si>
    <t>Growing-Up Milk Stage 3 800g Tin</t>
  </si>
  <si>
    <t>Kinloch Nutrition</t>
  </si>
  <si>
    <t>Nutrition</t>
  </si>
  <si>
    <t>PH10519</t>
  </si>
  <si>
    <t>Diabetic Nutrition Powder 400g Tin</t>
  </si>
  <si>
    <t>Ambient</t>
  </si>
  <si>
    <t>PH10520</t>
  </si>
  <si>
    <t>Adult Complete Nutrition Powder 400g Tin</t>
  </si>
  <si>
    <t>PH10521</t>
  </si>
  <si>
    <t>Infant Formula Stage 1 800g Tin</t>
  </si>
  <si>
    <t>PH10522</t>
  </si>
  <si>
    <t>Infant Formula Stage 1 400g Tin</t>
  </si>
  <si>
    <t>PH10523</t>
  </si>
  <si>
    <t>Weight Gain Powder 800g Tin</t>
  </si>
  <si>
    <t>PH10524</t>
  </si>
  <si>
    <t>Diabetic Nutrition Powder 800g Tin</t>
  </si>
  <si>
    <t>PH10525</t>
  </si>
  <si>
    <t>Senior Nutrition Powder 400g Tin</t>
  </si>
  <si>
    <t>PH10526</t>
  </si>
  <si>
    <t>Infant Formula Stage 2 800g Tin</t>
  </si>
  <si>
    <t>PH10527</t>
  </si>
  <si>
    <t>Weight Gain Powder 400g Tin</t>
  </si>
  <si>
    <t>PH10528</t>
  </si>
  <si>
    <t>High Protein Supplement 800g Tin</t>
  </si>
  <si>
    <t>PH10529</t>
  </si>
  <si>
    <t>Senior Nutrition Powder 800g Tin</t>
  </si>
  <si>
    <t>PH10530</t>
  </si>
  <si>
    <t>Adult Complete Nutrition Powder 800g Tin</t>
  </si>
  <si>
    <t>PH10531</t>
  </si>
  <si>
    <t>Growing-Up Milk Stage 3 400g Tin</t>
  </si>
  <si>
    <t>PH10532</t>
  </si>
  <si>
    <t>High Protein Supplement 400g Tin</t>
  </si>
  <si>
    <t>SG20001</t>
  </si>
  <si>
    <t>IV Cannula 18G x50</t>
  </si>
  <si>
    <t>Aldermoor Medical</t>
  </si>
  <si>
    <t>Surgical</t>
  </si>
  <si>
    <t>SG20002</t>
  </si>
  <si>
    <t>Syringe Luer Lock 3ml x50</t>
  </si>
  <si>
    <t>SG20003</t>
  </si>
  <si>
    <t>Syringe Luer Lock 10ml x100</t>
  </si>
  <si>
    <t>SG20004</t>
  </si>
  <si>
    <t>Adhesive Wound Dressing 9x10cm x100</t>
  </si>
  <si>
    <t>SG20005</t>
  </si>
  <si>
    <t>Adhesive Wound Dressing 6x7cm x50</t>
  </si>
  <si>
    <t>SG20006</t>
  </si>
  <si>
    <t>Latex Surgical Gloves Size 7 x100</t>
  </si>
  <si>
    <t>SG20007</t>
  </si>
  <si>
    <t>Infusion Set Standard x50</t>
  </si>
  <si>
    <t>SG20008</t>
  </si>
  <si>
    <t>Urinary Catheter 16Fr x100</t>
  </si>
  <si>
    <t>SG20009</t>
  </si>
  <si>
    <t>Nitrile Examination Gloves Size M x50</t>
  </si>
  <si>
    <t>SG20010</t>
  </si>
  <si>
    <t>Hypodermic Needle 21G x100</t>
  </si>
  <si>
    <t>SG20011</t>
  </si>
  <si>
    <t>Hypodermic Needle 21G x50</t>
  </si>
  <si>
    <t>SG20012</t>
  </si>
  <si>
    <t>Surgical Mask 3-Ply Standard x100</t>
  </si>
  <si>
    <t>SG20013</t>
  </si>
  <si>
    <t>Syringe Luer Lock 5ml x100</t>
  </si>
  <si>
    <t>SG20014</t>
  </si>
  <si>
    <t>IV Cannula 22G x100</t>
  </si>
  <si>
    <t>SG20015</t>
  </si>
  <si>
    <t>Gauze Swab 10x10cm x100</t>
  </si>
  <si>
    <t>SG20016</t>
  </si>
  <si>
    <t>Urinary Catheter 16Fr x50</t>
  </si>
  <si>
    <t>SG20017</t>
  </si>
  <si>
    <t>Syringe Luer Lock 3ml x100</t>
  </si>
  <si>
    <t>SG20018</t>
  </si>
  <si>
    <t>Latex Surgical Gloves Size 7.5 x50</t>
  </si>
  <si>
    <t>SG20019</t>
  </si>
  <si>
    <t>Nitrile Examination Gloves Size L x50</t>
  </si>
  <si>
    <t>SG20020</t>
  </si>
  <si>
    <t>Adhesive Wound Dressing 9x10cm x50</t>
  </si>
  <si>
    <t>SG20021</t>
  </si>
  <si>
    <t>Crepe Bandage 10cm x100</t>
  </si>
  <si>
    <t>SG20022</t>
  </si>
  <si>
    <t>Crepe Bandage 7.5cm x100</t>
  </si>
  <si>
    <t>SG20023</t>
  </si>
  <si>
    <t>Blood Administration Set 20 drops/ml x100</t>
  </si>
  <si>
    <t>SG20024</t>
  </si>
  <si>
    <t>Crepe Bandage 7.5cm x50</t>
  </si>
  <si>
    <t>SG20025</t>
  </si>
  <si>
    <t>Syringe Luer Lock 5ml x50</t>
  </si>
  <si>
    <t>SG20026</t>
  </si>
  <si>
    <t>Latex Surgical Gloves Size 7.5 x100</t>
  </si>
  <si>
    <t>SG20027</t>
  </si>
  <si>
    <t>Gauze Swab 10x10cm x50</t>
  </si>
  <si>
    <t>SG20028</t>
  </si>
  <si>
    <t>IV Cannula 20G x100</t>
  </si>
  <si>
    <t>SG20029</t>
  </si>
  <si>
    <t>Infusion Set Standard x100</t>
  </si>
  <si>
    <t>SG20030</t>
  </si>
  <si>
    <t>IV Cannula 18G x100</t>
  </si>
  <si>
    <t>SG20031</t>
  </si>
  <si>
    <t>Urinary Catheter 14Fr x50</t>
  </si>
  <si>
    <t>SG20032</t>
  </si>
  <si>
    <t>Hypodermic Needle 23G x100</t>
  </si>
  <si>
    <t>SG20033</t>
  </si>
  <si>
    <t>Crepe Bandage 10cm x50</t>
  </si>
  <si>
    <t>SG20034</t>
  </si>
  <si>
    <t>IV Cannula 20G x50</t>
  </si>
  <si>
    <t>SG20035</t>
  </si>
  <si>
    <t>Gauze Swab 7.5x7.5cm x50</t>
  </si>
  <si>
    <t>SG20036</t>
  </si>
  <si>
    <t>Gauze Swab 7.5x7.5cm x100</t>
  </si>
  <si>
    <t>SG20037</t>
  </si>
  <si>
    <t>Surgical Mask 3-Ply Standard x50</t>
  </si>
  <si>
    <t>SG20038</t>
  </si>
  <si>
    <t>Nitrile Examination Gloves Size L x100</t>
  </si>
  <si>
    <t>SG20039</t>
  </si>
  <si>
    <t>Latex Surgical Gloves Size 8 x50</t>
  </si>
  <si>
    <t>SG20040</t>
  </si>
  <si>
    <t>Latex Surgical Gloves Size 8 x100</t>
  </si>
  <si>
    <t>SG20041</t>
  </si>
  <si>
    <t>Nitrile Examination Gloves Size M x100</t>
  </si>
  <si>
    <t>SG20042</t>
  </si>
  <si>
    <t>Urinary Catheter 14Fr x100</t>
  </si>
  <si>
    <t>SG20043</t>
  </si>
  <si>
    <t>Latex Surgical Gloves Size 7 x50</t>
  </si>
  <si>
    <t>SG20044</t>
  </si>
  <si>
    <t>Nitrile Examination Gloves Size S x100</t>
  </si>
  <si>
    <t>SG20045</t>
  </si>
  <si>
    <t>Hypodermic Needle 23G x50</t>
  </si>
  <si>
    <t>SG20046</t>
  </si>
  <si>
    <t>Adhesive Wound Dressing 6x7cm x100</t>
  </si>
  <si>
    <t>SG20047</t>
  </si>
  <si>
    <t>Syringe Luer Lock 10ml x50</t>
  </si>
  <si>
    <t>SG20048</t>
  </si>
  <si>
    <t>Blood Administration Set 20 drops/ml x50</t>
  </si>
  <si>
    <t>SG20049</t>
  </si>
  <si>
    <t>Hepatitis B Surface Antigen Test 25 Tests</t>
  </si>
  <si>
    <t>Quintessa Diagnostics</t>
  </si>
  <si>
    <t>Diagnostics</t>
  </si>
  <si>
    <t>SG20051</t>
  </si>
  <si>
    <t>Dengue NS1 Rapid Test 100 Tests</t>
  </si>
  <si>
    <t>SG20052</t>
  </si>
  <si>
    <t>Blood Glucose Test Strips 25 Tests</t>
  </si>
  <si>
    <t>SG20053</t>
  </si>
  <si>
    <t>TSH Reagent Kit 25 Tests</t>
  </si>
  <si>
    <t>SG20054</t>
  </si>
  <si>
    <t>Pregnancy Test Strips 25 Tests</t>
  </si>
  <si>
    <t>SG20055</t>
  </si>
  <si>
    <t>Urine Test Strips 10-Parameter 100 Tests</t>
  </si>
  <si>
    <t>SG20056</t>
  </si>
  <si>
    <t>Urine Test Strips 10-Parameter 25 Tests</t>
  </si>
  <si>
    <t>SG20057</t>
  </si>
  <si>
    <t>HIV 1/2 Rapid Test 25 Tests</t>
  </si>
  <si>
    <t>SG20058</t>
  </si>
  <si>
    <t>Troponin Rapid Test 25 Tests</t>
  </si>
  <si>
    <t>SG20059</t>
  </si>
  <si>
    <t>Malaria Antigen Test 100 Tests</t>
  </si>
  <si>
    <t>SG20060</t>
  </si>
  <si>
    <t>Blood Glucose Test Strips 100 Tests</t>
  </si>
  <si>
    <t>SG20061</t>
  </si>
  <si>
    <t>Dengue NS1 Rapid Test 25 Tests</t>
  </si>
  <si>
    <t>SG20062</t>
  </si>
  <si>
    <t>CRP Reagent Kit 100 Tests</t>
  </si>
  <si>
    <t>SG20063</t>
  </si>
  <si>
    <t>Hepatitis B Surface Antigen Test 100 Tests</t>
  </si>
  <si>
    <t>SG20064</t>
  </si>
  <si>
    <t>HbA1c Reagent Kit 25 Tests</t>
  </si>
  <si>
    <t>SG20065</t>
  </si>
  <si>
    <t>Cholesterol Reagent Kit 100 Tests</t>
  </si>
  <si>
    <t>SG20066</t>
  </si>
  <si>
    <t>HIV 1/2 Rapid Test 100 Tests</t>
  </si>
  <si>
    <t>SG20067</t>
  </si>
  <si>
    <t>TSH Reagent Kit 100 Tests</t>
  </si>
  <si>
    <t>SG20068</t>
  </si>
  <si>
    <t>HbA1c Reagent Kit 100 Tests</t>
  </si>
  <si>
    <t>lines</t>
  </si>
  <si>
    <t>units</t>
  </si>
  <si>
    <t>sales_value_nzd</t>
  </si>
  <si>
    <t>abc_velocity</t>
  </si>
  <si>
    <t>abc_value</t>
  </si>
  <si>
    <t>lines_per_day</t>
  </si>
  <si>
    <t>pallets_per_week</t>
  </si>
  <si>
    <t>pick_location</t>
  </si>
  <si>
    <t>ground_faces</t>
  </si>
  <si>
    <t>pick_bins</t>
  </si>
  <si>
    <t>months_cover</t>
  </si>
  <si>
    <t>counts_per_year</t>
  </si>
  <si>
    <t>B</t>
  </si>
  <si>
    <t>Shelving pick bin</t>
  </si>
  <si>
    <t>D</t>
  </si>
  <si>
    <t>No pick face</t>
  </si>
  <si>
    <t>C</t>
  </si>
  <si>
    <t>Direct from reserve</t>
  </si>
  <si>
    <t>A</t>
  </si>
  <si>
    <t>Ground pick face</t>
  </si>
  <si>
    <t>10023628</t>
  </si>
  <si>
    <t>10060227</t>
  </si>
  <si>
    <t>10039441</t>
  </si>
  <si>
    <t>10198474</t>
  </si>
  <si>
    <t>10199650</t>
  </si>
  <si>
    <t>10190637</t>
  </si>
  <si>
    <t>10267676</t>
  </si>
  <si>
    <t>10384282</t>
  </si>
  <si>
    <t>10329306</t>
  </si>
  <si>
    <t>10323167</t>
  </si>
  <si>
    <t>10445901</t>
  </si>
  <si>
    <t>10467821</t>
  </si>
  <si>
    <t>10449743</t>
  </si>
  <si>
    <t>10527723</t>
  </si>
  <si>
    <t>10544878</t>
  </si>
  <si>
    <t>10653308</t>
  </si>
  <si>
    <t>10646043</t>
  </si>
  <si>
    <t>10760066</t>
  </si>
  <si>
    <t>10733170</t>
  </si>
  <si>
    <t>10878079</t>
  </si>
  <si>
    <t>10995426</t>
  </si>
  <si>
    <t>11015081</t>
  </si>
  <si>
    <t>11072953</t>
  </si>
  <si>
    <t>11051035</t>
  </si>
  <si>
    <t>11188838</t>
  </si>
  <si>
    <t>11180367</t>
  </si>
  <si>
    <t>11258155</t>
  </si>
  <si>
    <t>11217944</t>
  </si>
  <si>
    <t>11290246</t>
  </si>
  <si>
    <t>11395669</t>
  </si>
  <si>
    <t>11487309</t>
  </si>
  <si>
    <t>11533597</t>
  </si>
  <si>
    <t>11688944</t>
  </si>
  <si>
    <t>11725385</t>
  </si>
  <si>
    <t>11754333</t>
  </si>
  <si>
    <t>11848600</t>
  </si>
  <si>
    <t>11820814</t>
  </si>
  <si>
    <t>11935750</t>
  </si>
  <si>
    <t>12052778</t>
  </si>
  <si>
    <t>12087865</t>
  </si>
  <si>
    <t>12037562</t>
  </si>
  <si>
    <t>12190250</t>
  </si>
  <si>
    <t>12195279</t>
  </si>
  <si>
    <t>12153386</t>
  </si>
  <si>
    <t>12284528</t>
  </si>
  <si>
    <t>12370862</t>
  </si>
  <si>
    <t>12455701</t>
  </si>
  <si>
    <t>12477256</t>
  </si>
  <si>
    <t>12454893</t>
  </si>
  <si>
    <t>12446662</t>
  </si>
  <si>
    <t>12418934</t>
  </si>
  <si>
    <t>12596691</t>
  </si>
  <si>
    <t>12594649</t>
  </si>
  <si>
    <t>12562515</t>
  </si>
  <si>
    <t>12620981</t>
  </si>
  <si>
    <t>12676700</t>
  </si>
  <si>
    <t>12684335</t>
  </si>
  <si>
    <t>12751655</t>
  </si>
  <si>
    <t>12816897</t>
  </si>
  <si>
    <t>12852486</t>
  </si>
  <si>
    <t>12815451</t>
  </si>
  <si>
    <t>12857781</t>
  </si>
  <si>
    <t>12960173</t>
  </si>
  <si>
    <t>13083305</t>
  </si>
  <si>
    <t>13144411</t>
  </si>
  <si>
    <t>13133559</t>
  </si>
  <si>
    <t>13214782</t>
  </si>
  <si>
    <t>13321557</t>
  </si>
  <si>
    <t>13386100</t>
  </si>
  <si>
    <t>13495748</t>
  </si>
  <si>
    <t>13467392</t>
  </si>
  <si>
    <t>13590025</t>
  </si>
  <si>
    <t>13586453</t>
  </si>
  <si>
    <t>13510415</t>
  </si>
  <si>
    <t>13587417</t>
  </si>
  <si>
    <t>13662230</t>
  </si>
  <si>
    <t>13666908</t>
  </si>
  <si>
    <t>13734348</t>
  </si>
  <si>
    <t>13815862</t>
  </si>
  <si>
    <t>13888151</t>
  </si>
  <si>
    <t>13864817</t>
  </si>
  <si>
    <t>13959970</t>
  </si>
  <si>
    <t>13977732</t>
  </si>
  <si>
    <t>14029203</t>
  </si>
  <si>
    <t>14016538</t>
  </si>
  <si>
    <t>14050444</t>
  </si>
  <si>
    <t>14079661</t>
  </si>
  <si>
    <t>14151590</t>
  </si>
  <si>
    <t>14264480</t>
  </si>
  <si>
    <t>14215051</t>
  </si>
  <si>
    <t>14382894</t>
  </si>
  <si>
    <t>14485991</t>
  </si>
  <si>
    <t>14455905</t>
  </si>
  <si>
    <t>14434681</t>
  </si>
  <si>
    <t>14484684</t>
  </si>
  <si>
    <t>14573537</t>
  </si>
  <si>
    <t>14696808</t>
  </si>
  <si>
    <t>14873394</t>
  </si>
  <si>
    <t>14984155</t>
  </si>
  <si>
    <t>14922845</t>
  </si>
  <si>
    <t>15035268</t>
  </si>
  <si>
    <t>15069869</t>
  </si>
  <si>
    <t>15150985</t>
  </si>
  <si>
    <t>15290069</t>
  </si>
  <si>
    <t>15253834</t>
  </si>
  <si>
    <t>15355396</t>
  </si>
  <si>
    <t>15391269</t>
  </si>
  <si>
    <t>15414894</t>
  </si>
  <si>
    <t>15472941</t>
  </si>
  <si>
    <t>15475767</t>
  </si>
  <si>
    <t>15582007</t>
  </si>
  <si>
    <t>15541942</t>
  </si>
  <si>
    <t>15537403</t>
  </si>
  <si>
    <t>15542956</t>
  </si>
  <si>
    <t>15666710</t>
  </si>
  <si>
    <t>15698105</t>
  </si>
  <si>
    <t>15636167</t>
  </si>
  <si>
    <t>15765570</t>
  </si>
  <si>
    <t>15737443</t>
  </si>
  <si>
    <t>15766656</t>
  </si>
  <si>
    <t>15813937</t>
  </si>
  <si>
    <t>15960747</t>
  </si>
  <si>
    <t>15947954</t>
  </si>
  <si>
    <t>15963018</t>
  </si>
  <si>
    <t>16043873</t>
  </si>
  <si>
    <t>16064141</t>
  </si>
  <si>
    <t>16092809</t>
  </si>
  <si>
    <t>16150395</t>
  </si>
  <si>
    <t>16173543</t>
  </si>
  <si>
    <t>16153148</t>
  </si>
  <si>
    <t>16220105</t>
  </si>
  <si>
    <t>16282883</t>
  </si>
  <si>
    <t>16224431</t>
  </si>
  <si>
    <t>16321108</t>
  </si>
  <si>
    <t>16393498</t>
  </si>
  <si>
    <t>16452892</t>
  </si>
  <si>
    <t>16480217</t>
  </si>
  <si>
    <t>16517953</t>
  </si>
  <si>
    <t>16580668</t>
  </si>
  <si>
    <t>16579413</t>
  </si>
  <si>
    <t>16619055</t>
  </si>
  <si>
    <t>16663346</t>
  </si>
  <si>
    <t>16745205</t>
  </si>
  <si>
    <t>16862512</t>
  </si>
  <si>
    <t>16817131</t>
  </si>
  <si>
    <t>16813431</t>
  </si>
  <si>
    <t>16972770</t>
  </si>
  <si>
    <t>16975445</t>
  </si>
  <si>
    <t>17056776</t>
  </si>
  <si>
    <t>17075246</t>
  </si>
  <si>
    <t>17168213</t>
  </si>
  <si>
    <t>17111309</t>
  </si>
  <si>
    <t>17176912</t>
  </si>
  <si>
    <t>17275315</t>
  </si>
  <si>
    <t>17257633</t>
  </si>
  <si>
    <t>17210842</t>
  </si>
  <si>
    <t>17398072</t>
  </si>
  <si>
    <t>17476414</t>
  </si>
  <si>
    <t>17415070</t>
  </si>
  <si>
    <t>17414118</t>
  </si>
  <si>
    <t>17551409</t>
  </si>
  <si>
    <t>17537075</t>
  </si>
  <si>
    <t>17625933</t>
  </si>
  <si>
    <t>17777061</t>
  </si>
  <si>
    <t>17867777</t>
  </si>
  <si>
    <t>17830607</t>
  </si>
  <si>
    <t>17937871</t>
  </si>
  <si>
    <t>17922945</t>
  </si>
  <si>
    <t>17917030</t>
  </si>
  <si>
    <t>18051836</t>
  </si>
  <si>
    <t>18014003</t>
  </si>
  <si>
    <t>18172702</t>
  </si>
  <si>
    <t>18152761</t>
  </si>
  <si>
    <t>18246133</t>
  </si>
  <si>
    <t>18275303</t>
  </si>
  <si>
    <t>18296191</t>
  </si>
  <si>
    <t>18346638</t>
  </si>
  <si>
    <t>18344616</t>
  </si>
  <si>
    <t>18357504</t>
  </si>
  <si>
    <t>18445482</t>
  </si>
  <si>
    <t>18563813</t>
  </si>
  <si>
    <t>18561314</t>
  </si>
  <si>
    <t>18698658</t>
  </si>
  <si>
    <t>18772915</t>
  </si>
  <si>
    <t>18798744</t>
  </si>
  <si>
    <t>18890945</t>
  </si>
  <si>
    <t>18947207</t>
  </si>
  <si>
    <t>18959194</t>
  </si>
  <si>
    <t>19050368</t>
  </si>
  <si>
    <t>19053295</t>
  </si>
  <si>
    <t>19051859</t>
  </si>
  <si>
    <t>19167514</t>
  </si>
  <si>
    <t>19241628</t>
  </si>
  <si>
    <t>19226846</t>
  </si>
  <si>
    <t>19252039</t>
  </si>
  <si>
    <t>19338406</t>
  </si>
  <si>
    <t>19438461</t>
  </si>
  <si>
    <t>19429778</t>
  </si>
  <si>
    <t>19565816</t>
  </si>
  <si>
    <t>19528436</t>
  </si>
  <si>
    <t>19592089</t>
  </si>
  <si>
    <t>19643212</t>
  </si>
  <si>
    <t>19753593</t>
  </si>
  <si>
    <t>19888194</t>
  </si>
  <si>
    <t>19897271</t>
  </si>
  <si>
    <t>19911153</t>
  </si>
  <si>
    <t>19955635</t>
  </si>
  <si>
    <t>19954129</t>
  </si>
  <si>
    <t>20050918</t>
  </si>
  <si>
    <t>20068625</t>
  </si>
  <si>
    <t>20169668</t>
  </si>
  <si>
    <t>20216711</t>
  </si>
  <si>
    <t>20216078</t>
  </si>
  <si>
    <t>20277492</t>
  </si>
  <si>
    <t>20311944</t>
  </si>
  <si>
    <t>20363868</t>
  </si>
  <si>
    <t>20429455</t>
  </si>
  <si>
    <t>20544747</t>
  </si>
  <si>
    <t>20537642</t>
  </si>
  <si>
    <t>20645039</t>
  </si>
  <si>
    <t>20659304</t>
  </si>
  <si>
    <t>20677135</t>
  </si>
  <si>
    <t>20747166</t>
  </si>
  <si>
    <t>20735728</t>
  </si>
  <si>
    <t>20886649</t>
  </si>
  <si>
    <t>20882340</t>
  </si>
  <si>
    <t>20898727</t>
  </si>
  <si>
    <t>20826160</t>
  </si>
  <si>
    <t>20923804</t>
  </si>
  <si>
    <t>20935676</t>
  </si>
  <si>
    <t>21032649</t>
  </si>
  <si>
    <t>21082644</t>
  </si>
  <si>
    <t>21069460</t>
  </si>
  <si>
    <t>21186881</t>
  </si>
  <si>
    <t>21199643</t>
  </si>
  <si>
    <t>21273048</t>
  </si>
  <si>
    <t>21289569</t>
  </si>
  <si>
    <t>21222072</t>
  </si>
  <si>
    <t>21373103</t>
  </si>
  <si>
    <t>21444231</t>
  </si>
  <si>
    <t>21472725</t>
  </si>
  <si>
    <t>21497693</t>
  </si>
  <si>
    <t>21523944</t>
  </si>
  <si>
    <t>21556878</t>
  </si>
  <si>
    <t>21661958</t>
  </si>
  <si>
    <t>21675429</t>
  </si>
  <si>
    <t>21652279</t>
  </si>
  <si>
    <t>21721642</t>
  </si>
  <si>
    <t>21737800</t>
  </si>
  <si>
    <t>21747826</t>
  </si>
  <si>
    <t>21880234</t>
  </si>
  <si>
    <t>21929968</t>
  </si>
  <si>
    <t>21993338</t>
  </si>
  <si>
    <t>21955249</t>
  </si>
  <si>
    <t>21965542</t>
  </si>
  <si>
    <t>22020749</t>
  </si>
  <si>
    <t>22087507</t>
  </si>
  <si>
    <t>22194205</t>
  </si>
  <si>
    <t>22175069</t>
  </si>
  <si>
    <t>22220109</t>
  </si>
  <si>
    <t>22287804</t>
  </si>
  <si>
    <t>22290464</t>
  </si>
  <si>
    <t>22367631</t>
  </si>
  <si>
    <t>22486546</t>
  </si>
  <si>
    <t>22459444</t>
  </si>
  <si>
    <t>22544865</t>
  </si>
  <si>
    <t>22657170</t>
  </si>
  <si>
    <t>22647788</t>
  </si>
  <si>
    <t>22624905</t>
  </si>
  <si>
    <t>22610966</t>
  </si>
  <si>
    <t>22777277</t>
  </si>
  <si>
    <t>22723109</t>
  </si>
  <si>
    <t>22845386</t>
  </si>
  <si>
    <t>22877819</t>
  </si>
  <si>
    <t>22951863</t>
  </si>
  <si>
    <t>23021602</t>
  </si>
  <si>
    <t>23073906</t>
  </si>
  <si>
    <t>23082641</t>
  </si>
  <si>
    <t>23173777</t>
  </si>
  <si>
    <t>23292050</t>
  </si>
  <si>
    <t>23293004</t>
  </si>
  <si>
    <t>23279211</t>
  </si>
  <si>
    <t>23368457</t>
  </si>
  <si>
    <t>23318765</t>
  </si>
  <si>
    <t>23476815</t>
  </si>
  <si>
    <t>23419009</t>
  </si>
  <si>
    <t>23440999</t>
  </si>
  <si>
    <t>23569616</t>
  </si>
  <si>
    <t>23525311</t>
  </si>
  <si>
    <t>23679140</t>
  </si>
  <si>
    <t>23618421</t>
  </si>
  <si>
    <t>23688400</t>
  </si>
  <si>
    <t>23723724</t>
  </si>
  <si>
    <t>23724784</t>
  </si>
  <si>
    <t>23871272</t>
  </si>
  <si>
    <t>23898147</t>
  </si>
  <si>
    <t>23968622</t>
  </si>
  <si>
    <t>23964678</t>
  </si>
  <si>
    <t>24055538</t>
  </si>
  <si>
    <t>24180883</t>
  </si>
  <si>
    <t>24292358</t>
  </si>
  <si>
    <t>24397718</t>
  </si>
  <si>
    <t>24343177</t>
  </si>
  <si>
    <t>24346991</t>
  </si>
  <si>
    <t>24395955</t>
  </si>
  <si>
    <t>24466434</t>
  </si>
  <si>
    <t>24431709</t>
  </si>
  <si>
    <t>24426117</t>
  </si>
  <si>
    <t>24457422</t>
  </si>
  <si>
    <t>24590366</t>
  </si>
  <si>
    <t>24529331</t>
  </si>
  <si>
    <t>24554838</t>
  </si>
  <si>
    <t>24541630</t>
  </si>
  <si>
    <t>24539442</t>
  </si>
  <si>
    <t>24654867</t>
  </si>
  <si>
    <t>24760341</t>
  </si>
  <si>
    <t>24844705</t>
  </si>
  <si>
    <t>24919940</t>
  </si>
  <si>
    <t>25084666</t>
  </si>
  <si>
    <t>25075266</t>
  </si>
  <si>
    <t>25040493</t>
  </si>
  <si>
    <t>25151165</t>
  </si>
  <si>
    <t>25179513</t>
  </si>
  <si>
    <t>25298713</t>
  </si>
  <si>
    <t>25324361</t>
  </si>
  <si>
    <t>25376841</t>
  </si>
  <si>
    <t>25494914</t>
  </si>
  <si>
    <t>25442919</t>
  </si>
  <si>
    <t>25411436</t>
  </si>
  <si>
    <t>25519320</t>
  </si>
  <si>
    <t>25540916</t>
  </si>
  <si>
    <t>25594734</t>
  </si>
  <si>
    <t>25540850</t>
  </si>
  <si>
    <t>25553652</t>
  </si>
  <si>
    <t>25622468</t>
  </si>
  <si>
    <t>25699482</t>
  </si>
  <si>
    <t>25639727</t>
  </si>
  <si>
    <t>25661113</t>
  </si>
  <si>
    <t>25750365</t>
  </si>
  <si>
    <t>25724165</t>
  </si>
  <si>
    <t>25819947</t>
  </si>
  <si>
    <t>25965108</t>
  </si>
  <si>
    <t>26029631</t>
  </si>
  <si>
    <t>26167568</t>
  </si>
  <si>
    <t>26279410</t>
  </si>
  <si>
    <t>26320922</t>
  </si>
  <si>
    <t>26399491</t>
  </si>
  <si>
    <t>26435667</t>
  </si>
  <si>
    <t>26464306</t>
  </si>
  <si>
    <t>26573500</t>
  </si>
  <si>
    <t>26673039</t>
  </si>
  <si>
    <t>26631912</t>
  </si>
  <si>
    <t>26791358</t>
  </si>
  <si>
    <t>26734829</t>
  </si>
  <si>
    <t>26718578</t>
  </si>
  <si>
    <t>26865149</t>
  </si>
  <si>
    <t>26829030</t>
  </si>
  <si>
    <t>26930475</t>
  </si>
  <si>
    <t>26999202</t>
  </si>
  <si>
    <t>26980957</t>
  </si>
  <si>
    <t>27075419</t>
  </si>
  <si>
    <t>27135739</t>
  </si>
  <si>
    <t>27187899</t>
  </si>
  <si>
    <t>27112266</t>
  </si>
  <si>
    <t>27217494</t>
  </si>
  <si>
    <t>27379451</t>
  </si>
  <si>
    <t>27311706</t>
  </si>
  <si>
    <t>27329840</t>
  </si>
  <si>
    <t>27411314</t>
  </si>
  <si>
    <t>27442523</t>
  </si>
  <si>
    <t>27484093</t>
  </si>
  <si>
    <t>27485610</t>
  </si>
  <si>
    <t>27419127</t>
  </si>
  <si>
    <t>27583127</t>
  </si>
  <si>
    <t>27537621</t>
  </si>
  <si>
    <t>27635274</t>
  </si>
  <si>
    <t>27660720</t>
  </si>
  <si>
    <t>27739657</t>
  </si>
  <si>
    <t>27823620</t>
  </si>
  <si>
    <t>27932873</t>
  </si>
  <si>
    <t>27958254</t>
  </si>
  <si>
    <t>27957529</t>
  </si>
  <si>
    <t>27984895</t>
  </si>
  <si>
    <t>28020373</t>
  </si>
  <si>
    <t>28057626</t>
  </si>
  <si>
    <t>28199649</t>
  </si>
  <si>
    <t>28190896</t>
  </si>
  <si>
    <t>28146507</t>
  </si>
  <si>
    <t>28199694</t>
  </si>
  <si>
    <t>28295764</t>
  </si>
  <si>
    <t>28273395</t>
  </si>
  <si>
    <t>28271149</t>
  </si>
  <si>
    <t>28330103</t>
  </si>
  <si>
    <t>28495980</t>
  </si>
  <si>
    <t>28414168</t>
  </si>
  <si>
    <t>28519200</t>
  </si>
  <si>
    <t>28583850</t>
  </si>
  <si>
    <t>28677787</t>
  </si>
  <si>
    <t>28622556</t>
  </si>
  <si>
    <t>28612505</t>
  </si>
  <si>
    <t>28740238</t>
  </si>
  <si>
    <t>28873520</t>
  </si>
  <si>
    <t>28922770</t>
  </si>
  <si>
    <t>28938239</t>
  </si>
  <si>
    <t>29097312</t>
  </si>
  <si>
    <t>29085921</t>
  </si>
  <si>
    <t>29080181</t>
  </si>
  <si>
    <t>29136434</t>
  </si>
  <si>
    <t>29167736</t>
  </si>
  <si>
    <t>29264020</t>
  </si>
  <si>
    <t>29225776</t>
  </si>
  <si>
    <t>29358322</t>
  </si>
  <si>
    <t>29331998</t>
  </si>
  <si>
    <t>29374338</t>
  </si>
  <si>
    <t>29455924</t>
  </si>
  <si>
    <t>29424218</t>
  </si>
  <si>
    <t>29449600</t>
  </si>
  <si>
    <t>29483055</t>
  </si>
  <si>
    <t>29562284</t>
  </si>
  <si>
    <t>29630455</t>
  </si>
  <si>
    <t>29660401</t>
  </si>
  <si>
    <t>29698476</t>
  </si>
  <si>
    <t>29730769</t>
  </si>
  <si>
    <t>29887822</t>
  </si>
  <si>
    <t>29826445</t>
  </si>
  <si>
    <t>29988254</t>
  </si>
  <si>
    <t>29976940</t>
  </si>
  <si>
    <t>29983603</t>
  </si>
  <si>
    <t>29970185</t>
  </si>
  <si>
    <t>30022422</t>
  </si>
  <si>
    <t>30097955</t>
  </si>
  <si>
    <t>30155154</t>
  </si>
  <si>
    <t>30170703</t>
  </si>
  <si>
    <t>30263250</t>
  </si>
  <si>
    <t>30333288</t>
  </si>
  <si>
    <t>30325146</t>
  </si>
  <si>
    <t>30358597</t>
  </si>
  <si>
    <t>30591236</t>
  </si>
  <si>
    <t>30548960</t>
  </si>
  <si>
    <t>30573686</t>
  </si>
  <si>
    <t>30635938</t>
  </si>
  <si>
    <t>30684969</t>
  </si>
  <si>
    <t>30723210</t>
  </si>
  <si>
    <t>30781077</t>
  </si>
  <si>
    <t>30717991</t>
  </si>
  <si>
    <t>30768021</t>
  </si>
  <si>
    <t>30821773</t>
  </si>
  <si>
    <t>30971393</t>
  </si>
  <si>
    <t>30954084</t>
  </si>
  <si>
    <t>30923731</t>
  </si>
  <si>
    <t>31034997</t>
  </si>
  <si>
    <t>31186967</t>
  </si>
  <si>
    <t>31120108</t>
  </si>
  <si>
    <t>31111438</t>
  </si>
  <si>
    <t>31157867</t>
  </si>
  <si>
    <t>31247792</t>
  </si>
  <si>
    <t>31326892</t>
  </si>
  <si>
    <t>31466944</t>
  </si>
  <si>
    <t>31563881</t>
  </si>
  <si>
    <t>31530923</t>
  </si>
  <si>
    <t>31659292</t>
  </si>
  <si>
    <t>31748407</t>
  </si>
  <si>
    <t>31718984</t>
  </si>
  <si>
    <t>31881639</t>
  </si>
  <si>
    <t>31834936</t>
  </si>
  <si>
    <t>31932955</t>
  </si>
  <si>
    <t>32056246</t>
  </si>
  <si>
    <t>32028069</t>
  </si>
  <si>
    <t>32195828</t>
  </si>
  <si>
    <t>32114903</t>
  </si>
  <si>
    <t>32214257</t>
  </si>
  <si>
    <t>32280191</t>
  </si>
  <si>
    <t>32267770</t>
  </si>
  <si>
    <t>32360761</t>
  </si>
  <si>
    <t>32441349</t>
  </si>
  <si>
    <t>32497534</t>
  </si>
  <si>
    <t>32518253</t>
  </si>
  <si>
    <t>32569311</t>
  </si>
  <si>
    <t>32697215</t>
  </si>
  <si>
    <t>32676210</t>
  </si>
  <si>
    <t>32739982</t>
  </si>
  <si>
    <t>32792927</t>
  </si>
  <si>
    <t>32861540</t>
  </si>
  <si>
    <t>32892301</t>
  </si>
  <si>
    <t>32867725</t>
  </si>
  <si>
    <t>32813112</t>
  </si>
  <si>
    <t>32984052</t>
  </si>
  <si>
    <t>32961424</t>
  </si>
  <si>
    <t>33071458</t>
  </si>
  <si>
    <t>33035365</t>
  </si>
  <si>
    <t>33176028</t>
  </si>
  <si>
    <t>33221868</t>
  </si>
  <si>
    <t>33234401</t>
  </si>
  <si>
    <t>33362607</t>
  </si>
  <si>
    <t>33493870</t>
  </si>
  <si>
    <t>33481309</t>
  </si>
  <si>
    <t>33589217</t>
  </si>
  <si>
    <t>33597702</t>
  </si>
  <si>
    <t>33579651</t>
  </si>
  <si>
    <t>33628939</t>
  </si>
  <si>
    <t>33885709</t>
  </si>
  <si>
    <t>33859111</t>
  </si>
  <si>
    <t>33941741</t>
  </si>
  <si>
    <t>34077922</t>
  </si>
  <si>
    <t>34216457</t>
  </si>
  <si>
    <t>34222685</t>
  </si>
  <si>
    <t>34225106</t>
  </si>
  <si>
    <t>34254335</t>
  </si>
  <si>
    <t>34310048</t>
  </si>
  <si>
    <t>34457103</t>
  </si>
  <si>
    <t>34440408</t>
  </si>
  <si>
    <t>34443386</t>
  </si>
  <si>
    <t>34486777</t>
  </si>
  <si>
    <t>34527455</t>
  </si>
  <si>
    <t>34544609</t>
  </si>
  <si>
    <t>34579144</t>
  </si>
  <si>
    <t>34676628</t>
  </si>
  <si>
    <t>34694790</t>
  </si>
  <si>
    <t>34711289</t>
  </si>
  <si>
    <t>34882665</t>
  </si>
  <si>
    <t>34895500</t>
  </si>
  <si>
    <t>34993585</t>
  </si>
  <si>
    <t>35042316</t>
  </si>
  <si>
    <t>35156445</t>
  </si>
  <si>
    <t>35298772</t>
  </si>
  <si>
    <t>35260741</t>
  </si>
  <si>
    <t>35367350</t>
  </si>
  <si>
    <t>35376281</t>
  </si>
  <si>
    <t>35357567</t>
  </si>
  <si>
    <t>35486188</t>
  </si>
  <si>
    <t>35570760</t>
  </si>
  <si>
    <t>35581257</t>
  </si>
  <si>
    <t>35664264</t>
  </si>
  <si>
    <t>35738087</t>
  </si>
  <si>
    <t>35798921</t>
  </si>
  <si>
    <t>35894150</t>
  </si>
  <si>
    <t>35985700</t>
  </si>
  <si>
    <t>36029995</t>
  </si>
  <si>
    <t>36158941</t>
  </si>
  <si>
    <t>36179128</t>
  </si>
  <si>
    <t>36296022</t>
  </si>
  <si>
    <t>36262831</t>
  </si>
  <si>
    <t>36311835</t>
  </si>
  <si>
    <t>36378927</t>
  </si>
  <si>
    <t>36466745</t>
  </si>
  <si>
    <t>36584780</t>
  </si>
  <si>
    <t>36542467</t>
  </si>
  <si>
    <t>36637466</t>
  </si>
  <si>
    <t>36683135</t>
  </si>
  <si>
    <t>36745811</t>
  </si>
  <si>
    <t>36740921</t>
  </si>
  <si>
    <t>36858159</t>
  </si>
  <si>
    <t>36824755</t>
  </si>
  <si>
    <t>36880335</t>
  </si>
  <si>
    <t>36936821</t>
  </si>
  <si>
    <t>36927434</t>
  </si>
  <si>
    <t>37052620</t>
  </si>
  <si>
    <t>37046549</t>
  </si>
  <si>
    <t>37088567</t>
  </si>
  <si>
    <t>37163168</t>
  </si>
  <si>
    <t>37229049</t>
  </si>
  <si>
    <t>37235726</t>
  </si>
  <si>
    <t>37330313</t>
  </si>
  <si>
    <t>37389000</t>
  </si>
  <si>
    <t>37497444</t>
  </si>
  <si>
    <t>37588475</t>
  </si>
  <si>
    <t>37649542</t>
  </si>
  <si>
    <t>37669770</t>
  </si>
  <si>
    <t>37665765</t>
  </si>
  <si>
    <t>37781535</t>
  </si>
  <si>
    <t>37890470</t>
  </si>
  <si>
    <t>37997696</t>
  </si>
  <si>
    <t>37972226</t>
  </si>
  <si>
    <t>37962793</t>
  </si>
  <si>
    <t>38016540</t>
  </si>
  <si>
    <t>38028631</t>
  </si>
  <si>
    <t>38172470</t>
  </si>
  <si>
    <t>38182289</t>
  </si>
  <si>
    <t>38130743</t>
  </si>
  <si>
    <t>38129418</t>
  </si>
  <si>
    <t>38251422</t>
  </si>
  <si>
    <t>38338432</t>
  </si>
  <si>
    <t>38394678</t>
  </si>
  <si>
    <t>38452409</t>
  </si>
  <si>
    <t>38473200</t>
  </si>
  <si>
    <t>38470132</t>
  </si>
  <si>
    <t>38548301</t>
  </si>
  <si>
    <t>38681245</t>
  </si>
  <si>
    <t>38620424</t>
  </si>
  <si>
    <t>38670707</t>
  </si>
  <si>
    <t>38770605</t>
  </si>
  <si>
    <t>38899038</t>
  </si>
  <si>
    <t>38831800</t>
  </si>
  <si>
    <t>38811535</t>
  </si>
  <si>
    <t>38824539</t>
  </si>
  <si>
    <t>38827195</t>
  </si>
  <si>
    <t>38911895</t>
  </si>
  <si>
    <t>38981119</t>
  </si>
  <si>
    <t>38927400</t>
  </si>
  <si>
    <t>39066827</t>
  </si>
  <si>
    <t>39011210</t>
  </si>
  <si>
    <t>39058705</t>
  </si>
  <si>
    <t>39077495</t>
  </si>
  <si>
    <t>39195271</t>
  </si>
  <si>
    <t>39115610</t>
  </si>
  <si>
    <t>39276261</t>
  </si>
  <si>
    <t>39257343</t>
  </si>
  <si>
    <t>39388814</t>
  </si>
  <si>
    <t>39355944</t>
  </si>
  <si>
    <t>39318626</t>
  </si>
  <si>
    <t>39310515</t>
  </si>
  <si>
    <t>39434950</t>
  </si>
  <si>
    <t>39551882</t>
  </si>
  <si>
    <t>39541269</t>
  </si>
  <si>
    <t>39699782</t>
  </si>
  <si>
    <t>39628667</t>
  </si>
  <si>
    <t>39624023</t>
  </si>
  <si>
    <t>39796135</t>
  </si>
  <si>
    <t>39773648</t>
  </si>
  <si>
    <t>39789169</t>
  </si>
  <si>
    <t>39867570</t>
  </si>
  <si>
    <t>39845000</t>
  </si>
  <si>
    <t>39856053</t>
  </si>
  <si>
    <t>39882708</t>
  </si>
  <si>
    <t>39846871</t>
  </si>
  <si>
    <t>39954036</t>
  </si>
  <si>
    <t>39991736</t>
  </si>
  <si>
    <t>39976249</t>
  </si>
  <si>
    <t>40041724</t>
  </si>
  <si>
    <t>40043446</t>
  </si>
  <si>
    <t>40147429</t>
  </si>
  <si>
    <t>40140736</t>
  </si>
  <si>
    <t>40129381</t>
  </si>
  <si>
    <t>40243970</t>
  </si>
  <si>
    <t>40339154</t>
  </si>
  <si>
    <t>40396870</t>
  </si>
  <si>
    <t>40387913</t>
  </si>
  <si>
    <t>40334402</t>
  </si>
  <si>
    <t>40452091</t>
  </si>
  <si>
    <t>40442726</t>
  </si>
  <si>
    <t>40445135</t>
  </si>
  <si>
    <t>40591808</t>
  </si>
  <si>
    <t>40531735</t>
  </si>
  <si>
    <t>40584273</t>
  </si>
  <si>
    <t>40670301</t>
  </si>
  <si>
    <t>40693091</t>
  </si>
  <si>
    <t>40657959</t>
  </si>
  <si>
    <t>40691563</t>
  </si>
  <si>
    <t>40796506</t>
  </si>
  <si>
    <t>40899132</t>
  </si>
  <si>
    <t>40855844</t>
  </si>
  <si>
    <t>40855679</t>
  </si>
  <si>
    <t>40928333</t>
  </si>
  <si>
    <t>40930930</t>
  </si>
  <si>
    <t>41012846</t>
  </si>
  <si>
    <t>41172546</t>
  </si>
  <si>
    <t>41180859</t>
  </si>
  <si>
    <t>41298715</t>
  </si>
  <si>
    <t>41359412</t>
  </si>
  <si>
    <t>41487953</t>
  </si>
  <si>
    <t>41541534</t>
  </si>
  <si>
    <t>41591738</t>
  </si>
  <si>
    <t>41694801</t>
  </si>
  <si>
    <t>41630876</t>
  </si>
  <si>
    <t>41757422</t>
  </si>
  <si>
    <t>41729365</t>
  </si>
  <si>
    <t>41789073</t>
  </si>
  <si>
    <t>41834527</t>
  </si>
  <si>
    <t>41968193</t>
  </si>
  <si>
    <t>42064885</t>
  </si>
  <si>
    <t>42030062</t>
  </si>
  <si>
    <t>42149222</t>
  </si>
  <si>
    <t>42133367</t>
  </si>
  <si>
    <t>42289696</t>
  </si>
  <si>
    <t>42334920</t>
  </si>
  <si>
    <t>42343561</t>
  </si>
  <si>
    <t>42438065</t>
  </si>
  <si>
    <t>42486792</t>
  </si>
  <si>
    <t>42447489</t>
  </si>
  <si>
    <t>42584574</t>
  </si>
  <si>
    <t>42628182</t>
  </si>
  <si>
    <t>42653015</t>
  </si>
  <si>
    <t>42632807</t>
  </si>
  <si>
    <t>42733627</t>
  </si>
  <si>
    <t>42797649</t>
  </si>
  <si>
    <t>42745699</t>
  </si>
  <si>
    <t>42887507</t>
  </si>
  <si>
    <t>42932684</t>
  </si>
  <si>
    <t>42943770</t>
  </si>
  <si>
    <t>42979588</t>
  </si>
  <si>
    <t>43074363</t>
  </si>
  <si>
    <t>43020865</t>
  </si>
  <si>
    <t>43181073</t>
  </si>
  <si>
    <t>43282227</t>
  </si>
  <si>
    <t>43310741</t>
  </si>
  <si>
    <t>43381792</t>
  </si>
  <si>
    <t>43398063</t>
  </si>
  <si>
    <t>43389473</t>
  </si>
  <si>
    <t>43412878</t>
  </si>
  <si>
    <t>43554129</t>
  </si>
  <si>
    <t>43559780</t>
  </si>
  <si>
    <t>43522661</t>
  </si>
  <si>
    <t>43528550</t>
  </si>
  <si>
    <t>43534935</t>
  </si>
  <si>
    <t>43695221</t>
  </si>
  <si>
    <t>43682735</t>
  </si>
  <si>
    <t>43639677</t>
  </si>
  <si>
    <t>43753836</t>
  </si>
  <si>
    <t>43819207</t>
  </si>
  <si>
    <t>43984884</t>
  </si>
  <si>
    <t>44020652</t>
  </si>
  <si>
    <t>44061696</t>
  </si>
  <si>
    <t>44086986</t>
  </si>
  <si>
    <t>44018442</t>
  </si>
  <si>
    <t>44149259</t>
  </si>
  <si>
    <t>44182063</t>
  </si>
  <si>
    <t>44210030</t>
  </si>
  <si>
    <t>44336351</t>
  </si>
  <si>
    <t>44370082</t>
  </si>
  <si>
    <t>44396138</t>
  </si>
  <si>
    <t>44440263</t>
  </si>
  <si>
    <t>44450096</t>
  </si>
  <si>
    <t>44460486</t>
  </si>
  <si>
    <t>44453392</t>
  </si>
  <si>
    <t>44514380</t>
  </si>
  <si>
    <t>44564281</t>
  </si>
  <si>
    <t>44526029</t>
  </si>
  <si>
    <t>44699824</t>
  </si>
  <si>
    <t>44614783</t>
  </si>
  <si>
    <t>44685824</t>
  </si>
  <si>
    <t>44777959</t>
  </si>
  <si>
    <t>44848462</t>
  </si>
  <si>
    <t>44868093</t>
  </si>
  <si>
    <t>44888385</t>
  </si>
  <si>
    <t>44947270</t>
  </si>
  <si>
    <t>45069910</t>
  </si>
  <si>
    <t>45077243</t>
  </si>
  <si>
    <t>45174971</t>
  </si>
  <si>
    <t>45125373</t>
  </si>
  <si>
    <t>45254167</t>
  </si>
  <si>
    <t>45224121</t>
  </si>
  <si>
    <t>45267929</t>
  </si>
  <si>
    <t>45347673</t>
  </si>
  <si>
    <t>45376151</t>
  </si>
  <si>
    <t>45578810</t>
  </si>
  <si>
    <t>45541051</t>
  </si>
  <si>
    <t>45655292</t>
  </si>
  <si>
    <t>45731830</t>
  </si>
  <si>
    <t>45896895</t>
  </si>
  <si>
    <t>45810180</t>
  </si>
  <si>
    <t>45974077</t>
  </si>
  <si>
    <t>46056460</t>
  </si>
  <si>
    <t>46062032</t>
  </si>
  <si>
    <t>46086256</t>
  </si>
  <si>
    <t>46063548</t>
  </si>
  <si>
    <t>46069960</t>
  </si>
  <si>
    <t>46044127</t>
  </si>
  <si>
    <t>46174021</t>
  </si>
  <si>
    <t>46135561</t>
  </si>
  <si>
    <t>46137150</t>
  </si>
  <si>
    <t>46181236</t>
  </si>
  <si>
    <t>46167078</t>
  </si>
  <si>
    <t>46275608</t>
  </si>
  <si>
    <t>46298845</t>
  </si>
  <si>
    <t>46250856</t>
  </si>
  <si>
    <t>46334019</t>
  </si>
  <si>
    <t>46424924</t>
  </si>
  <si>
    <t>46490794</t>
  </si>
  <si>
    <t>46498391</t>
  </si>
  <si>
    <t>46579418</t>
  </si>
  <si>
    <t>46641447</t>
  </si>
  <si>
    <t>46643660</t>
  </si>
  <si>
    <t>46633937</t>
  </si>
  <si>
    <t>46650342</t>
  </si>
  <si>
    <t>46796165</t>
  </si>
  <si>
    <t>46772346</t>
  </si>
  <si>
    <t>46832528</t>
  </si>
  <si>
    <t>46991220</t>
  </si>
  <si>
    <t>46932187</t>
  </si>
  <si>
    <t>47044194</t>
  </si>
  <si>
    <t>47077498</t>
  </si>
  <si>
    <t>47127386</t>
  </si>
  <si>
    <t>47254989</t>
  </si>
  <si>
    <t>47562872</t>
  </si>
  <si>
    <t>47571147</t>
  </si>
  <si>
    <t>47661863</t>
  </si>
  <si>
    <t>47768537</t>
  </si>
  <si>
    <t>47857787</t>
  </si>
  <si>
    <t>47813871</t>
  </si>
  <si>
    <t>47863057</t>
  </si>
  <si>
    <t>47921370</t>
  </si>
  <si>
    <t>47940901</t>
  </si>
  <si>
    <t>47989835</t>
  </si>
  <si>
    <t>47932231</t>
  </si>
  <si>
    <t>48099769</t>
  </si>
  <si>
    <t>48078209</t>
  </si>
  <si>
    <t>48184389</t>
  </si>
  <si>
    <t>48240198</t>
  </si>
  <si>
    <t>48350268</t>
  </si>
  <si>
    <t>48471276</t>
  </si>
  <si>
    <t>48583584</t>
  </si>
  <si>
    <t>48558373</t>
  </si>
  <si>
    <t>48526694</t>
  </si>
  <si>
    <t>48699470</t>
  </si>
  <si>
    <t>48624047</t>
  </si>
  <si>
    <t>48755846</t>
  </si>
  <si>
    <t>48719071</t>
  </si>
  <si>
    <t>48798592</t>
  </si>
  <si>
    <t>48730024</t>
  </si>
  <si>
    <t>48718136</t>
  </si>
  <si>
    <t>48771337</t>
  </si>
  <si>
    <t>48999548</t>
  </si>
  <si>
    <t>48960896</t>
  </si>
  <si>
    <t>49046635</t>
  </si>
  <si>
    <t>49019436</t>
  </si>
  <si>
    <t>49021817</t>
  </si>
  <si>
    <t>49118216</t>
  </si>
  <si>
    <t>49177483</t>
  </si>
  <si>
    <t>49259203</t>
  </si>
  <si>
    <t>49214225</t>
  </si>
  <si>
    <t>49313365</t>
  </si>
  <si>
    <t>49483626</t>
  </si>
  <si>
    <t>49542940</t>
  </si>
  <si>
    <t>49532280</t>
  </si>
  <si>
    <t>49590345</t>
  </si>
  <si>
    <t>49668488</t>
  </si>
  <si>
    <t>49636657</t>
  </si>
  <si>
    <t>49796252</t>
  </si>
  <si>
    <t>49894339</t>
  </si>
  <si>
    <t>49823507</t>
  </si>
  <si>
    <t>49987565</t>
  </si>
  <si>
    <t>49923093</t>
  </si>
  <si>
    <t>49918711</t>
  </si>
  <si>
    <t>49938098</t>
  </si>
  <si>
    <t>50088794</t>
  </si>
  <si>
    <t>50037228</t>
  </si>
  <si>
    <t>50191914</t>
  </si>
  <si>
    <t>50146443</t>
  </si>
  <si>
    <t>50170483</t>
  </si>
  <si>
    <t>50211002</t>
  </si>
  <si>
    <t>50245494</t>
  </si>
  <si>
    <t>50398255</t>
  </si>
  <si>
    <t>50441542</t>
  </si>
  <si>
    <t>50454814</t>
  </si>
  <si>
    <t>50433366</t>
  </si>
  <si>
    <t>50458418</t>
  </si>
  <si>
    <t>50521975</t>
  </si>
  <si>
    <t>50532787</t>
  </si>
  <si>
    <t>50652234</t>
  </si>
  <si>
    <t>50776408</t>
  </si>
  <si>
    <t>50831081</t>
  </si>
  <si>
    <t>50863512</t>
  </si>
  <si>
    <t>50933761</t>
  </si>
  <si>
    <t>50926289</t>
  </si>
  <si>
    <t>50923576</t>
  </si>
  <si>
    <t>50950844</t>
  </si>
  <si>
    <t>51054882</t>
  </si>
  <si>
    <t>51055969</t>
  </si>
  <si>
    <t>51020536</t>
  </si>
  <si>
    <t>51017804</t>
  </si>
  <si>
    <t>51117409</t>
  </si>
  <si>
    <t>51173508</t>
  </si>
  <si>
    <t>51220824</t>
  </si>
  <si>
    <t>51268748</t>
  </si>
  <si>
    <t>51355999</t>
  </si>
  <si>
    <t>51421202</t>
  </si>
  <si>
    <t>51569220</t>
  </si>
  <si>
    <t>51543862</t>
  </si>
  <si>
    <t>51687341</t>
  </si>
  <si>
    <t>51747751</t>
  </si>
  <si>
    <t>51732884</t>
  </si>
  <si>
    <t>51786859</t>
  </si>
  <si>
    <t>51887180</t>
  </si>
  <si>
    <t>51999458</t>
  </si>
  <si>
    <t>51981406</t>
  </si>
  <si>
    <t>52045974</t>
  </si>
  <si>
    <t>52026616</t>
  </si>
  <si>
    <t>52126301</t>
  </si>
  <si>
    <t>52183436</t>
  </si>
  <si>
    <t>52168791</t>
  </si>
  <si>
    <t>52185851</t>
  </si>
  <si>
    <t>52248252</t>
  </si>
  <si>
    <t>52214312</t>
  </si>
  <si>
    <t>52371497</t>
  </si>
  <si>
    <t>52372980</t>
  </si>
  <si>
    <t>52485634</t>
  </si>
  <si>
    <t>52448153</t>
  </si>
  <si>
    <t>52583132</t>
  </si>
  <si>
    <t>52584479</t>
  </si>
  <si>
    <t>52643938</t>
  </si>
  <si>
    <t>52684388</t>
  </si>
  <si>
    <t>52643082</t>
  </si>
  <si>
    <t>52662442</t>
  </si>
  <si>
    <t>52691357</t>
  </si>
  <si>
    <t>52761588</t>
  </si>
  <si>
    <t>52855905</t>
  </si>
  <si>
    <t>52833105</t>
  </si>
  <si>
    <t>52910099</t>
  </si>
  <si>
    <t>52916903</t>
  </si>
  <si>
    <t>53016643</t>
  </si>
  <si>
    <t>53097041</t>
  </si>
  <si>
    <t>53198805</t>
  </si>
  <si>
    <t>53131980</t>
  </si>
  <si>
    <t>53227807</t>
  </si>
  <si>
    <t>53274851</t>
  </si>
  <si>
    <t>53241378</t>
  </si>
  <si>
    <t>53222620</t>
  </si>
  <si>
    <t>00118545</t>
  </si>
  <si>
    <t>00280879</t>
  </si>
  <si>
    <t>00229227</t>
  </si>
  <si>
    <t>00278838</t>
  </si>
  <si>
    <t>00355153</t>
  </si>
  <si>
    <t>00395836</t>
  </si>
  <si>
    <t>00486720</t>
  </si>
  <si>
    <t>00411549</t>
  </si>
  <si>
    <t>00546711</t>
  </si>
  <si>
    <t>00563083</t>
  </si>
  <si>
    <t>00530395</t>
  </si>
  <si>
    <t>00593576</t>
  </si>
  <si>
    <t>00670419</t>
  </si>
  <si>
    <t>00626190</t>
  </si>
  <si>
    <t>00771337</t>
  </si>
  <si>
    <t>00866658</t>
  </si>
  <si>
    <t>00827176</t>
  </si>
  <si>
    <t>00960839</t>
  </si>
  <si>
    <t>01020797</t>
  </si>
  <si>
    <t>01098788</t>
  </si>
  <si>
    <t>01180325</t>
  </si>
  <si>
    <t>01156073</t>
  </si>
  <si>
    <t>01173545</t>
  </si>
  <si>
    <t>01240331</t>
  </si>
  <si>
    <t>01243722</t>
  </si>
  <si>
    <t>01289185</t>
  </si>
  <si>
    <t>01312874</t>
  </si>
  <si>
    <t>01339782</t>
  </si>
  <si>
    <t>01314757</t>
  </si>
  <si>
    <t>01397932</t>
  </si>
  <si>
    <t>01374421</t>
  </si>
  <si>
    <t>01345760</t>
  </si>
  <si>
    <t>01494518</t>
  </si>
  <si>
    <t>01599636</t>
  </si>
  <si>
    <t>01629872</t>
  </si>
  <si>
    <t>01640014</t>
  </si>
  <si>
    <t>01749501</t>
  </si>
  <si>
    <t>01852576</t>
  </si>
  <si>
    <t>01885324</t>
  </si>
  <si>
    <t>01933128</t>
  </si>
  <si>
    <t>02046426</t>
  </si>
  <si>
    <t>02025224</t>
  </si>
  <si>
    <t>02157690</t>
  </si>
  <si>
    <t>02294665</t>
  </si>
  <si>
    <t>02294355</t>
  </si>
  <si>
    <t>02218228</t>
  </si>
  <si>
    <t>02377402</t>
  </si>
  <si>
    <t>02368230</t>
  </si>
  <si>
    <t>02483821</t>
  </si>
  <si>
    <t>02410635</t>
  </si>
  <si>
    <t>02430349</t>
  </si>
  <si>
    <t>02546343</t>
  </si>
  <si>
    <t>02597730</t>
  </si>
  <si>
    <t>02672897</t>
  </si>
  <si>
    <t>02661573</t>
  </si>
  <si>
    <t>02685838</t>
  </si>
  <si>
    <t>02621191</t>
  </si>
  <si>
    <t>02769882</t>
  </si>
  <si>
    <t>02781728</t>
  </si>
  <si>
    <t>02814267</t>
  </si>
  <si>
    <t>02822566</t>
  </si>
  <si>
    <t>02882740</t>
  </si>
  <si>
    <t>02851009</t>
  </si>
  <si>
    <t>02986257</t>
  </si>
  <si>
    <t>03021002</t>
  </si>
  <si>
    <t>03062791</t>
  </si>
  <si>
    <t>03227303</t>
  </si>
  <si>
    <t>03291038</t>
  </si>
  <si>
    <t>03377490</t>
  </si>
  <si>
    <t>03421654</t>
  </si>
  <si>
    <t>03435042</t>
  </si>
  <si>
    <t>03589637</t>
  </si>
  <si>
    <t>03612184</t>
  </si>
  <si>
    <t>03768544</t>
  </si>
  <si>
    <t>03727160</t>
  </si>
  <si>
    <t>03842489</t>
  </si>
  <si>
    <t>03976009</t>
  </si>
  <si>
    <t>03970961</t>
  </si>
  <si>
    <t>03998321</t>
  </si>
  <si>
    <t>04070258</t>
  </si>
  <si>
    <t>04035649</t>
  </si>
  <si>
    <t>04015537</t>
  </si>
  <si>
    <t>04067088</t>
  </si>
  <si>
    <t>04148052</t>
  </si>
  <si>
    <t>04213670</t>
  </si>
  <si>
    <t>04345363</t>
  </si>
  <si>
    <t>04339744</t>
  </si>
  <si>
    <t>04593078</t>
  </si>
  <si>
    <t>04514452</t>
  </si>
  <si>
    <t>04549077</t>
  </si>
  <si>
    <t>04569970</t>
  </si>
  <si>
    <t>04661778</t>
  </si>
  <si>
    <t>04633726</t>
  </si>
  <si>
    <t>04639417</t>
  </si>
  <si>
    <t>04756371</t>
  </si>
  <si>
    <t>04770578</t>
  </si>
  <si>
    <t>04792483</t>
  </si>
  <si>
    <t>04886953</t>
  </si>
  <si>
    <t>04810375</t>
  </si>
  <si>
    <t>04950249</t>
  </si>
  <si>
    <t>04954058</t>
  </si>
  <si>
    <t>05016887</t>
  </si>
  <si>
    <t>05080645</t>
  </si>
  <si>
    <t>05075407</t>
  </si>
  <si>
    <t>05011934</t>
  </si>
  <si>
    <t>05117286</t>
  </si>
  <si>
    <t>05137929</t>
  </si>
  <si>
    <t>05330974</t>
  </si>
  <si>
    <t>05310457</t>
  </si>
  <si>
    <t>05382081</t>
  </si>
  <si>
    <t>05442513</t>
  </si>
  <si>
    <t>05524081</t>
  </si>
  <si>
    <t>05544416</t>
  </si>
  <si>
    <t>05560974</t>
  </si>
  <si>
    <t>05630573</t>
  </si>
  <si>
    <t>05692186</t>
  </si>
  <si>
    <t>05735686</t>
  </si>
  <si>
    <t>05818035</t>
  </si>
  <si>
    <t>05926322</t>
  </si>
  <si>
    <t>06060129</t>
  </si>
  <si>
    <t>06091384</t>
  </si>
  <si>
    <t>06070708</t>
  </si>
  <si>
    <t>06085258</t>
  </si>
  <si>
    <t>06184080</t>
  </si>
  <si>
    <t>06273200</t>
  </si>
  <si>
    <t>06336285</t>
  </si>
  <si>
    <t>06433818</t>
  </si>
  <si>
    <t>06518841</t>
  </si>
  <si>
    <t>06584179</t>
  </si>
  <si>
    <t>06683039</t>
  </si>
  <si>
    <t>06654994</t>
  </si>
  <si>
    <t>06714691</t>
  </si>
  <si>
    <t>06754393</t>
  </si>
  <si>
    <t>06847912</t>
  </si>
  <si>
    <t>06959941</t>
  </si>
  <si>
    <t>06917824</t>
  </si>
  <si>
    <t>07051990</t>
  </si>
  <si>
    <t>07046831</t>
  </si>
  <si>
    <t>07137110</t>
  </si>
  <si>
    <t>07169527</t>
  </si>
  <si>
    <t>07213846</t>
  </si>
  <si>
    <t>07338940</t>
  </si>
  <si>
    <t>07415624</t>
  </si>
  <si>
    <t>07432339</t>
  </si>
  <si>
    <t>07438192</t>
  </si>
  <si>
    <t>07433813</t>
  </si>
  <si>
    <t>07560568</t>
  </si>
  <si>
    <t>07693327</t>
  </si>
  <si>
    <t>07625317</t>
  </si>
  <si>
    <t>07725261</t>
  </si>
  <si>
    <t>07726276</t>
  </si>
  <si>
    <t>07781337</t>
  </si>
  <si>
    <t>07860667</t>
  </si>
  <si>
    <t>07871693</t>
  </si>
  <si>
    <t>07977535</t>
  </si>
  <si>
    <t>07948114</t>
  </si>
  <si>
    <t>07935826</t>
  </si>
  <si>
    <t>07980011</t>
  </si>
  <si>
    <t>08051048</t>
  </si>
  <si>
    <t>08094710</t>
  </si>
  <si>
    <t>08172496</t>
  </si>
  <si>
    <t>08219284</t>
  </si>
  <si>
    <t>08279021</t>
  </si>
  <si>
    <t>08296643</t>
  </si>
  <si>
    <t>08214012</t>
  </si>
  <si>
    <t>08350011</t>
  </si>
  <si>
    <t>08365072</t>
  </si>
  <si>
    <t>08417776</t>
  </si>
  <si>
    <t>08514108</t>
  </si>
  <si>
    <t>08587100</t>
  </si>
  <si>
    <t>08587139</t>
  </si>
  <si>
    <t>08679373</t>
  </si>
  <si>
    <t>08646343</t>
  </si>
  <si>
    <t>08686819</t>
  </si>
  <si>
    <t>08779506</t>
  </si>
  <si>
    <t>08884253</t>
  </si>
  <si>
    <t>08850648</t>
  </si>
  <si>
    <t>08825957</t>
  </si>
  <si>
    <t>08882218</t>
  </si>
  <si>
    <t>08979018</t>
  </si>
  <si>
    <t>08979919</t>
  </si>
  <si>
    <t>08961422</t>
  </si>
  <si>
    <t>09041163</t>
  </si>
  <si>
    <t>09155728</t>
  </si>
  <si>
    <t>09197281</t>
  </si>
  <si>
    <t>09181986</t>
  </si>
  <si>
    <t>09221915</t>
  </si>
  <si>
    <t>09376750</t>
  </si>
  <si>
    <t>09450675</t>
  </si>
  <si>
    <t>09551780</t>
  </si>
  <si>
    <t>09676411</t>
  </si>
  <si>
    <t>09766220</t>
  </si>
  <si>
    <t>09710558</t>
  </si>
  <si>
    <t>09764097</t>
  </si>
  <si>
    <t>09880397</t>
  </si>
  <si>
    <t>09877461</t>
  </si>
  <si>
    <t>09848479</t>
  </si>
  <si>
    <t>09921135</t>
  </si>
  <si>
    <t>00188142</t>
  </si>
  <si>
    <t>00164625</t>
  </si>
  <si>
    <t>00170994</t>
  </si>
  <si>
    <t>00243028</t>
  </si>
  <si>
    <t>00360325</t>
  </si>
  <si>
    <t>00371717</t>
  </si>
  <si>
    <t>00465097</t>
  </si>
  <si>
    <t>00549295</t>
  </si>
  <si>
    <t>00586981</t>
  </si>
  <si>
    <t>00671779</t>
  </si>
  <si>
    <t>00789332</t>
  </si>
  <si>
    <t>00772143</t>
  </si>
  <si>
    <t>00775474</t>
  </si>
  <si>
    <t>00840471</t>
  </si>
  <si>
    <t>00999207</t>
  </si>
  <si>
    <t>01038806</t>
  </si>
  <si>
    <t>01086848</t>
  </si>
  <si>
    <t>01196484</t>
  </si>
  <si>
    <t>01245040</t>
  </si>
  <si>
    <t>01221120</t>
  </si>
  <si>
    <t>01372900</t>
  </si>
  <si>
    <t>01431713</t>
  </si>
  <si>
    <t>01491573</t>
  </si>
  <si>
    <t>01522989</t>
  </si>
  <si>
    <t>01525590</t>
  </si>
  <si>
    <t>01645301</t>
  </si>
  <si>
    <t>01665764</t>
  </si>
  <si>
    <t>01717022</t>
  </si>
  <si>
    <t>01879524</t>
  </si>
  <si>
    <t>01887905</t>
  </si>
  <si>
    <t>01983473</t>
  </si>
  <si>
    <t>02063862</t>
  </si>
  <si>
    <t>02074253</t>
  </si>
  <si>
    <t>02117750</t>
  </si>
  <si>
    <t>02123535</t>
  </si>
  <si>
    <t>02252174</t>
  </si>
  <si>
    <t>02238411</t>
  </si>
  <si>
    <t>02361328</t>
  </si>
  <si>
    <t>02334572</t>
  </si>
  <si>
    <t>02428703</t>
  </si>
  <si>
    <t>02556201</t>
  </si>
  <si>
    <t>02565515</t>
  </si>
  <si>
    <t>02544080</t>
  </si>
  <si>
    <t>02546178</t>
  </si>
  <si>
    <t>02618434</t>
  </si>
  <si>
    <t>02682063</t>
  </si>
  <si>
    <t>02669758</t>
  </si>
  <si>
    <t>02714680</t>
  </si>
  <si>
    <t>02850506</t>
  </si>
  <si>
    <t>02848698</t>
  </si>
  <si>
    <t>02916331</t>
  </si>
  <si>
    <t>03080769</t>
  </si>
  <si>
    <t>03113549</t>
  </si>
  <si>
    <t>03111414</t>
  </si>
  <si>
    <t>03199532</t>
  </si>
  <si>
    <t>03194681</t>
  </si>
  <si>
    <t>03246096</t>
  </si>
  <si>
    <t>03256296</t>
  </si>
  <si>
    <t>03363359</t>
  </si>
  <si>
    <t>03369720</t>
  </si>
  <si>
    <t>03318899</t>
  </si>
  <si>
    <t>03415528</t>
  </si>
  <si>
    <t>03546951</t>
  </si>
  <si>
    <t>03591215</t>
  </si>
  <si>
    <t>03658986</t>
  </si>
  <si>
    <t>03647869</t>
  </si>
  <si>
    <t>03758754</t>
  </si>
  <si>
    <t>03736708</t>
  </si>
  <si>
    <t>03741126</t>
  </si>
  <si>
    <t>03826080</t>
  </si>
  <si>
    <t>03885650</t>
  </si>
  <si>
    <t>03954796</t>
  </si>
  <si>
    <t>03977379</t>
  </si>
  <si>
    <t>04024205</t>
  </si>
  <si>
    <t>04059856</t>
  </si>
  <si>
    <t>04161641</t>
  </si>
  <si>
    <t>04196300</t>
  </si>
  <si>
    <t>04199331</t>
  </si>
  <si>
    <t>04189984</t>
  </si>
  <si>
    <t>04219241</t>
  </si>
  <si>
    <t>04297618</t>
  </si>
  <si>
    <t>04386964</t>
  </si>
  <si>
    <t>04371707</t>
  </si>
  <si>
    <t>04366325</t>
  </si>
  <si>
    <t>04469484</t>
  </si>
  <si>
    <t>04465167</t>
  </si>
  <si>
    <t>04442177</t>
  </si>
  <si>
    <t>04562299</t>
  </si>
  <si>
    <t>04516696</t>
  </si>
  <si>
    <t>04542669</t>
  </si>
  <si>
    <t>04615118</t>
  </si>
  <si>
    <t>04681411</t>
  </si>
  <si>
    <t>04674979</t>
  </si>
  <si>
    <t>04640290</t>
  </si>
  <si>
    <t>04770308</t>
  </si>
  <si>
    <t>04873587</t>
  </si>
  <si>
    <t>04870628</t>
  </si>
  <si>
    <t>04875104</t>
  </si>
  <si>
    <t>04929688</t>
  </si>
  <si>
    <t>05129155</t>
  </si>
  <si>
    <t>05125074</t>
  </si>
  <si>
    <t>05296840</t>
  </si>
  <si>
    <t>05390994</t>
  </si>
  <si>
    <t>05440907</t>
  </si>
  <si>
    <t>05520940</t>
  </si>
  <si>
    <t>05635312</t>
  </si>
  <si>
    <t>05697159</t>
  </si>
  <si>
    <t>05650366</t>
  </si>
  <si>
    <t>05647603</t>
  </si>
  <si>
    <t>05744635</t>
  </si>
  <si>
    <t>05749908</t>
  </si>
  <si>
    <t>05725482</t>
  </si>
  <si>
    <t>05861729</t>
  </si>
  <si>
    <t>05986546</t>
  </si>
  <si>
    <t>06012048</t>
  </si>
  <si>
    <t>06043481</t>
  </si>
  <si>
    <t>06173562</t>
  </si>
  <si>
    <t>06246205</t>
  </si>
  <si>
    <t>06354833</t>
  </si>
  <si>
    <t>06491761</t>
  </si>
  <si>
    <t>06457587</t>
  </si>
  <si>
    <t>06564786</t>
  </si>
  <si>
    <t>06523603</t>
  </si>
  <si>
    <t>06686996</t>
  </si>
  <si>
    <t>06697005</t>
  </si>
  <si>
    <t>06732135</t>
  </si>
  <si>
    <t>06790216</t>
  </si>
  <si>
    <t>06863913</t>
  </si>
  <si>
    <t>06847416</t>
  </si>
  <si>
    <t>SnapshotDate</t>
  </si>
  <si>
    <t>batches</t>
  </si>
  <si>
    <t>saleable_units</t>
  </si>
  <si>
    <t>stock_value_nzd</t>
  </si>
  <si>
    <t>stock_cbm</t>
  </si>
  <si>
    <t>rack_positions</t>
  </si>
  <si>
    <t>expired_value_nzd</t>
  </si>
  <si>
    <t>near_expiry_value_nzd</t>
  </si>
  <si>
    <t>SKU Lookup</t>
  </si>
  <si>
    <t>Select SKU</t>
  </si>
  <si>
    <t>Description</t>
  </si>
  <si>
    <t>Product</t>
  </si>
  <si>
    <t>Principal</t>
  </si>
  <si>
    <t>Product group</t>
  </si>
  <si>
    <t>Storage</t>
  </si>
  <si>
    <t>Units per case</t>
  </si>
  <si>
    <t>Pallet build</t>
  </si>
  <si>
    <t>Cases per layer (Ti)</t>
  </si>
  <si>
    <t>Layers (Hi)</t>
  </si>
  <si>
    <t>Cases per pallet</t>
  </si>
  <si>
    <t>Pallet height (cm)</t>
  </si>
  <si>
    <t>Pallet CBM</t>
  </si>
  <si>
    <t>Demand</t>
  </si>
  <si>
    <t>Order lines (4 months)</t>
  </si>
  <si>
    <t>Lines per day</t>
  </si>
  <si>
    <t>Pallets per week</t>
  </si>
  <si>
    <t>Velocity class</t>
  </si>
  <si>
    <t>Value class</t>
  </si>
  <si>
    <t>Pick location</t>
  </si>
  <si>
    <t>Stock</t>
  </si>
  <si>
    <t>Batches</t>
  </si>
  <si>
    <t>Saleable units</t>
  </si>
  <si>
    <t>Stock value (NZ$)</t>
  </si>
  <si>
    <t>Stock CBM</t>
  </si>
  <si>
    <t>Rack positions</t>
  </si>
  <si>
    <t>Months of cover</t>
  </si>
  <si>
    <t>Near-expiry value (NZ$)</t>
  </si>
  <si>
    <t>Counts per year</t>
  </si>
  <si>
    <t>Alerts</t>
  </si>
  <si>
    <t>Warehouse Capacity Dashboard</t>
  </si>
  <si>
    <t>All</t>
  </si>
  <si>
    <t>Principle</t>
  </si>
  <si>
    <t>Velocity</t>
  </si>
  <si>
    <t>critStorage</t>
  </si>
  <si>
    <t>critPrincipal</t>
  </si>
  <si>
    <t>critVelocity</t>
  </si>
  <si>
    <t>SKUs</t>
  </si>
  <si>
    <t>Stock volume (CBM)</t>
  </si>
  <si>
    <t>Expired value (NZ$)</t>
  </si>
  <si>
    <t>Cycle counts per week</t>
  </si>
  <si>
    <t>Stock value</t>
  </si>
  <si>
    <t>Sorted for chart</t>
  </si>
  <si>
    <t>Cover band</t>
  </si>
  <si>
    <t>Under 3</t>
  </si>
  <si>
    <t>3-6</t>
  </si>
  <si>
    <t>6-12</t>
  </si>
  <si>
    <t>Over 12</t>
  </si>
  <si>
    <t>No demand</t>
  </si>
  <si>
    <t>Rack Scenario - Chamber A</t>
  </si>
  <si>
    <t>Change the bay mix or assumptions. Everything below recalculates.</t>
  </si>
  <si>
    <t>Assumptions</t>
  </si>
  <si>
    <t>Growth buffer</t>
  </si>
  <si>
    <t>Pallets to store - Low</t>
  </si>
  <si>
    <t>Pallets to store - Medium</t>
  </si>
  <si>
    <t>Pallets to store - High</t>
  </si>
  <si>
    <t>Shelving bins needed</t>
  </si>
  <si>
    <t>Chamber operating cost (NZ$/yr)</t>
  </si>
  <si>
    <t>Beam pair, installed (NZ$)</t>
  </si>
  <si>
    <t>Shelving unit, installed (NZ$)</t>
  </si>
  <si>
    <t>Write-off period (years)</t>
  </si>
  <si>
    <t>Overflow storage (NZ$/pallet/day)</t>
  </si>
  <si>
    <t>Shortfall without reconfiguration</t>
  </si>
  <si>
    <t>Pallet counts: Notebook 4, Shortfall: Notebook 2.</t>
  </si>
  <si>
    <t>Bay mix</t>
  </si>
  <si>
    <t>Bay type</t>
  </si>
  <si>
    <t>High</t>
  </si>
  <si>
    <t>Medium</t>
  </si>
  <si>
    <t>Low</t>
  </si>
  <si>
    <t>Total</t>
  </si>
  <si>
    <t>Bays</t>
  </si>
  <si>
    <t>Low pos/bay</t>
  </si>
  <si>
    <t>Shelf bins/bay</t>
  </si>
  <si>
    <t>High pos/bay</t>
  </si>
  <si>
    <t>Medium pos/bay</t>
  </si>
  <si>
    <t>Beam pairs/bay</t>
  </si>
  <si>
    <t>Capacity</t>
  </si>
  <si>
    <t>Low positions</t>
  </si>
  <si>
    <t>Medium positions</t>
  </si>
  <si>
    <t>High positions</t>
  </si>
  <si>
    <t>Total pallet positions</t>
  </si>
  <si>
    <t>Shelving bins</t>
  </si>
  <si>
    <t>Feasibility check</t>
  </si>
  <si>
    <t>Check</t>
  </si>
  <si>
    <t>Available</t>
  </si>
  <si>
    <t>Required</t>
  </si>
  <si>
    <t>Result</t>
  </si>
  <si>
    <t>High + Medium</t>
  </si>
  <si>
    <t>All positions</t>
  </si>
  <si>
    <t>Cost</t>
  </si>
  <si>
    <t>Bays changed</t>
  </si>
  <si>
    <t>New beam pairs</t>
  </si>
  <si>
    <t>Reconfiguration cost (NZ$)</t>
  </si>
  <si>
    <t>Capacity today (pallet equivalents)</t>
  </si>
  <si>
    <t>Capacity after (pallet equivalents)</t>
  </si>
  <si>
    <t>Capacity increase</t>
  </si>
  <si>
    <t>Cost per pallet per day - today (NZ$)</t>
  </si>
  <si>
    <t>Cost per pallet per day - after (NZ$)</t>
  </si>
  <si>
    <t>Reduction</t>
  </si>
  <si>
    <t>Payback (months)</t>
  </si>
  <si>
    <t>Cycle Count Planner</t>
  </si>
  <si>
    <t>Count frequency by value class. Change the frequency or workload assumptions to see the effect.</t>
  </si>
  <si>
    <t>Count programme</t>
  </si>
  <si>
    <t>Total counts</t>
  </si>
  <si>
    <t>Share of counts</t>
  </si>
  <si>
    <t>Share of value</t>
  </si>
  <si>
    <t>Workload</t>
  </si>
  <si>
    <t>Minutes per SKU count</t>
  </si>
  <si>
    <t>Counts per week</t>
  </si>
  <si>
    <t>Counts per day</t>
  </si>
  <si>
    <t>Counting time per day (hours)</t>
  </si>
  <si>
    <t>Working weeks per year</t>
  </si>
  <si>
    <t>Compared with counting every SKU monthly</t>
  </si>
  <si>
    <t>Counts per year if every SKU counted monthly</t>
  </si>
  <si>
    <t>Counting effort saved</t>
  </si>
  <si>
    <t>Share of stock value counted monthly</t>
  </si>
  <si>
    <t>Working days per week</t>
  </si>
  <si>
    <t>About this workbook</t>
  </si>
  <si>
    <t>An interactive model of a pharmaceutical client moving into a third-party logistics warehouse — stock profile, product lookup, racking redesign and cycle count planning.</t>
  </si>
  <si>
    <t>Sheets</t>
  </si>
  <si>
    <t>Dashboard — stock, space and expiry, filtered by storage, principal and velocity class</t>
  </si>
  <si>
    <t>SKU Lookup — everything about one product: pallet build, demand, stock and classification</t>
  </si>
  <si>
    <t>Rack Scenario — change the bay mix and test whether the stock fits, and at what cost</t>
  </si>
  <si>
    <t>Cycle Count Planner — count frequency by value class and the weekly workload it creates</t>
  </si>
  <si>
    <t>Data</t>
  </si>
  <si>
    <t>All data is synthetic, generated in Python, and loaded through Power Query. Product names are generic medicine names; all company names are fictional; costs are illustrative.</t>
  </si>
  <si>
    <t>Full analysis and code: github.com/lasikaharshana/warehouse-capacity-analysis</t>
  </si>
  <si>
    <t>Built by Lasika Warakapitiya</t>
  </si>
  <si>
    <t>Calculation helpers — do not 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</si>
</sst>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0" formatCode="0.0"/>
    <numFmt numFmtId="171" formatCode="#,##0.0"/>
    <numFmt numFmtId="172" formatCode="0.0%"/>
    <numFmt numFmtId="173" formatCode="0.000"/>
  </numFmts>
  <fonts count="15">
    <font>
      <sz val="11"/>
      <color theme="1"/>
      <name val="Segoe UI"/>
      <family val="2"/>
      <scheme val="minor"/>
    </font>
    <font>
      <b/>
      <sz val="11"/>
      <color theme="1"/>
      <name val="Segoe UI"/>
      <family val="2"/>
      <scheme val="minor"/>
    </font>
    <font>
      <b/>
      <sz val="18"/>
      <color rgb="FF2E3A87"/>
      <name val="Segoe UI"/>
      <family val="2"/>
      <scheme val="minor"/>
    </font>
    <font>
      <b/>
      <sz val="20"/>
      <color rgb="FF2E3A87"/>
      <name val="Segoe UI"/>
      <family val="2"/>
      <scheme val="minor"/>
    </font>
    <font>
      <sz val="11"/>
      <color rgb="FF9AA3B8"/>
      <name val="Segoe UI"/>
      <family val="2"/>
      <scheme val="minor"/>
    </font>
    <font>
      <sz val="9"/>
      <color rgb="FF9AA3B8"/>
      <name val="Segoe UI"/>
      <family val="2"/>
      <scheme val="minor"/>
    </font>
    <font>
      <sz val="9"/>
      <color theme="8" tint="-0.499984740745262"/>
      <name val="Segoe UI"/>
      <family val="2"/>
      <scheme val="minor"/>
    </font>
    <font>
      <sz val="11"/>
      <color theme="8" tint="-0.499984740745262"/>
      <name val="Segoe UI"/>
      <family val="2"/>
      <scheme val="minor"/>
    </font>
    <font>
      <b/>
      <sz val="22"/>
      <color rgb="FF2E3A87"/>
      <name val="Segoe UI"/>
      <family val="2"/>
      <scheme val="minor"/>
    </font>
    <font>
      <b/>
      <sz val="22"/>
      <color rgb="FFF2705E"/>
      <name val="Segoe UI"/>
      <family val="2"/>
      <scheme val="minor"/>
    </font>
    <font>
      <b/>
      <sz val="11"/>
      <name val="Segoe UI"/>
      <family val="2"/>
      <scheme val="minor"/>
    </font>
    <font>
      <sz val="10"/>
      <color theme="1"/>
      <name val="Arial Unicode MS"/>
    </font>
    <font>
      <b/>
      <sz val="16"/>
      <color theme="1"/>
      <name val="Segoe UI"/>
      <family val="2"/>
      <scheme val="minor"/>
    </font>
    <font>
      <b/>
      <sz val="16"/>
      <color rgb="FF2E3A87"/>
      <name val="Segoe UI"/>
      <family val="2"/>
      <scheme val="minor"/>
    </font>
    <font>
      <b/>
      <sz val="11"/>
      <color rgb="FFF2705E"/>
      <name val="Segoe U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F5F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2E3A87"/>
      </left>
      <right style="thin">
        <color rgb="FF2E3A87"/>
      </right>
      <top style="thin">
        <color rgb="FF2E3A87"/>
      </top>
      <bottom style="thin">
        <color rgb="FF2E3A87"/>
      </bottom>
      <diagonal/>
    </border>
    <border>
      <left/>
      <right/>
      <top/>
      <bottom style="thin">
        <color rgb="FF2E3A87"/>
      </bottom>
      <diagonal/>
    </border>
    <border>
      <left style="thin">
        <color rgb="FF9AA3B8"/>
      </left>
      <right style="thin">
        <color rgb="FF9AA3B8"/>
      </right>
      <top style="thin">
        <color rgb="FF9AA3B8"/>
      </top>
      <bottom/>
      <diagonal/>
    </border>
    <border>
      <left style="thin">
        <color rgb="FF9AA3B8"/>
      </left>
      <right style="thin">
        <color rgb="FF9AA3B8"/>
      </right>
      <top/>
      <bottom style="thin">
        <color rgb="FF9AA3B8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NumberFormat="1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5" fillId="3" borderId="3" xfId="0" applyFont="1" applyFill="1" applyBorder="1"/>
    <xf numFmtId="3" fontId="0" fillId="2" borderId="0" xfId="0" applyNumberFormat="1" applyFill="1"/>
    <xf numFmtId="3" fontId="8" fillId="3" borderId="4" xfId="0" applyNumberFormat="1" applyFont="1" applyFill="1" applyBorder="1"/>
    <xf numFmtId="171" fontId="8" fillId="3" borderId="4" xfId="0" applyNumberFormat="1" applyFont="1" applyFill="1" applyBorder="1"/>
    <xf numFmtId="3" fontId="9" fillId="3" borderId="4" xfId="0" applyNumberFormat="1" applyFont="1" applyFill="1" applyBorder="1"/>
    <xf numFmtId="49" fontId="0" fillId="0" borderId="0" xfId="0" applyNumberFormat="1"/>
    <xf numFmtId="9" fontId="0" fillId="2" borderId="0" xfId="0" applyNumberFormat="1" applyFill="1"/>
    <xf numFmtId="1" fontId="0" fillId="2" borderId="0" xfId="0" applyNumberFormat="1" applyFill="1"/>
    <xf numFmtId="0" fontId="5" fillId="0" borderId="0" xfId="0" applyFont="1"/>
    <xf numFmtId="0" fontId="10" fillId="2" borderId="2" xfId="0" applyFont="1" applyFill="1" applyBorder="1"/>
    <xf numFmtId="0" fontId="1" fillId="2" borderId="2" xfId="0" applyFont="1" applyFill="1" applyBorder="1"/>
    <xf numFmtId="0" fontId="0" fillId="2" borderId="0" xfId="0" applyFill="1" applyAlignment="1">
      <alignment wrapText="1"/>
    </xf>
    <xf numFmtId="3" fontId="11" fillId="2" borderId="0" xfId="0" applyNumberFormat="1" applyFont="1" applyFill="1"/>
    <xf numFmtId="0" fontId="0" fillId="2" borderId="0" xfId="0" applyFill="1" applyAlignment="1">
      <alignment horizontal="left"/>
    </xf>
    <xf numFmtId="0" fontId="1" fillId="2" borderId="0" xfId="0" applyFont="1" applyFill="1"/>
    <xf numFmtId="0" fontId="12" fillId="2" borderId="0" xfId="0" applyFont="1" applyFill="1"/>
    <xf numFmtId="172" fontId="0" fillId="2" borderId="0" xfId="0" applyNumberFormat="1" applyFill="1"/>
    <xf numFmtId="173" fontId="0" fillId="2" borderId="0" xfId="0" applyNumberFormat="1" applyFill="1"/>
    <xf numFmtId="172" fontId="13" fillId="2" borderId="0" xfId="0" applyNumberFormat="1" applyFont="1" applyFill="1"/>
    <xf numFmtId="170" fontId="0" fillId="2" borderId="0" xfId="0" applyNumberFormat="1" applyFill="1"/>
    <xf numFmtId="0" fontId="0" fillId="2" borderId="0" xfId="0" applyFill="1" applyAlignment="1"/>
    <xf numFmtId="9" fontId="13" fillId="2" borderId="0" xfId="0" applyNumberFormat="1" applyFont="1" applyFill="1"/>
    <xf numFmtId="0" fontId="14" fillId="0" borderId="0" xfId="0" applyFont="1"/>
    <xf numFmtId="0" fontId="0" fillId="3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9" fontId="0" fillId="2" borderId="1" xfId="0" applyNumberFormat="1" applyFill="1" applyBorder="1" applyProtection="1">
      <protection locked="0"/>
    </xf>
    <xf numFmtId="3" fontId="0" fillId="2" borderId="1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0" fontId="2" fillId="2" borderId="0" xfId="0" applyFont="1" applyFill="1"/>
    <xf numFmtId="0" fontId="0" fillId="2" borderId="0" xfId="0" applyFill="1" applyBorder="1" applyAlignment="1">
      <alignment horizontal="right"/>
    </xf>
    <xf numFmtId="0" fontId="0" fillId="2" borderId="0" xfId="0" applyFill="1" applyAlignment="1">
      <alignment horizontal="right"/>
    </xf>
    <xf numFmtId="3" fontId="0" fillId="2" borderId="0" xfId="0" applyNumberFormat="1" applyFill="1" applyAlignment="1">
      <alignment horizontal="right"/>
    </xf>
    <xf numFmtId="2" fontId="0" fillId="2" borderId="0" xfId="0" applyNumberFormat="1" applyFill="1" applyAlignment="1">
      <alignment horizontal="right"/>
    </xf>
    <xf numFmtId="170" fontId="0" fillId="2" borderId="0" xfId="0" applyNumberFormat="1" applyFill="1" applyAlignment="1">
      <alignment horizontal="right"/>
    </xf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0" formatCode="General"/>
    </dxf>
    <dxf>
      <numFmt numFmtId="2" formatCode="0.0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color theme="0"/>
      </font>
      <fill>
        <patternFill>
          <bgColor rgb="FF2BA36B"/>
        </patternFill>
      </fill>
    </dxf>
    <dxf>
      <font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2BA36B"/>
        </patternFill>
      </fill>
    </dxf>
    <dxf>
      <font>
        <b/>
        <i val="0"/>
        <color theme="0"/>
      </font>
      <fill>
        <patternFill>
          <bgColor rgb="FFF2705E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4F5F9"/>
      <color rgb="FFF2705E"/>
      <color rgb="FF2E3A87"/>
      <color rgb="FF9AA3B8"/>
      <color rgb="FF2BA36B"/>
      <color rgb="FF4B0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Stock</a:t>
            </a:r>
            <a:r>
              <a:rPr lang="en-NZ" baseline="0"/>
              <a:t> value by principal (NZ$)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Notes!$O$2:$O$14</c:f>
              <c:strCache>
                <c:ptCount val="13"/>
                <c:pt idx="0">
                  <c:v>Corvane Pharma</c:v>
                </c:pt>
                <c:pt idx="1">
                  <c:v>Halvora Healthcare</c:v>
                </c:pt>
                <c:pt idx="2">
                  <c:v>Marwick Pharmaceuticals</c:v>
                </c:pt>
                <c:pt idx="3">
                  <c:v>Venrick Laboratories</c:v>
                </c:pt>
                <c:pt idx="4">
                  <c:v>Dunmore Therapeutics</c:v>
                </c:pt>
                <c:pt idx="5">
                  <c:v>Arcadine Pharma</c:v>
                </c:pt>
                <c:pt idx="6">
                  <c:v>Tessaline Biologics</c:v>
                </c:pt>
                <c:pt idx="7">
                  <c:v>Quintessa Diagnostics</c:v>
                </c:pt>
                <c:pt idx="8">
                  <c:v>Solandra Health</c:v>
                </c:pt>
                <c:pt idx="9">
                  <c:v>Pellaro Eye &amp; Skin</c:v>
                </c:pt>
                <c:pt idx="10">
                  <c:v>Kinloch Nutrition</c:v>
                </c:pt>
                <c:pt idx="11">
                  <c:v>Clearford Infusions</c:v>
                </c:pt>
                <c:pt idx="12">
                  <c:v>Aldermoor Medical</c:v>
                </c:pt>
              </c:strCache>
            </c:strRef>
          </c:cat>
          <c:val>
            <c:numRef>
              <c:f>Notes!$P$2:$P$14</c:f>
              <c:numCache>
                <c:formatCode>General</c:formatCode>
                <c:ptCount val="13"/>
                <c:pt idx="0">
                  <c:v>17655442.410000004</c:v>
                </c:pt>
                <c:pt idx="1">
                  <c:v>11643784.970000001</c:v>
                </c:pt>
                <c:pt idx="2">
                  <c:v>10030842.160000004</c:v>
                </c:pt>
                <c:pt idx="3">
                  <c:v>7235729.79</c:v>
                </c:pt>
                <c:pt idx="4">
                  <c:v>5784441.169999999</c:v>
                </c:pt>
                <c:pt idx="5">
                  <c:v>4920583.9000000013</c:v>
                </c:pt>
                <c:pt idx="6">
                  <c:v>4596206.05</c:v>
                </c:pt>
                <c:pt idx="7">
                  <c:v>3405555.4000000004</c:v>
                </c:pt>
                <c:pt idx="8">
                  <c:v>2309667.1000000006</c:v>
                </c:pt>
                <c:pt idx="9">
                  <c:v>1768680.8499999999</c:v>
                </c:pt>
                <c:pt idx="10">
                  <c:v>1107405.75</c:v>
                </c:pt>
                <c:pt idx="11">
                  <c:v>1003877.8600000001</c:v>
                </c:pt>
                <c:pt idx="12">
                  <c:v>907430.69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1-4B30-850D-A58E6CFFE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7071504"/>
        <c:axId val="307073424"/>
      </c:barChart>
      <c:catAx>
        <c:axId val="3070715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073424"/>
        <c:crosses val="autoZero"/>
        <c:auto val="1"/>
        <c:lblAlgn val="ctr"/>
        <c:lblOffset val="100"/>
        <c:noMultiLvlLbl val="0"/>
      </c:catAx>
      <c:valAx>
        <c:axId val="307073424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30707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value by months of cover (NZ$)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Notes!$S$1</c:f>
              <c:strCache>
                <c:ptCount val="1"/>
                <c:pt idx="0">
                  <c:v>Stock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270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64-45C5-9FD3-60D6D41C65A6}"/>
              </c:ext>
            </c:extLst>
          </c:dPt>
          <c:dPt>
            <c:idx val="4"/>
            <c:invertIfNegative val="0"/>
            <c:bubble3D val="0"/>
            <c:spPr>
              <a:solidFill>
                <a:srgbClr val="F270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64-45C5-9FD3-60D6D41C65A6}"/>
              </c:ext>
            </c:extLst>
          </c:dPt>
          <c:dLbls>
            <c:numFmt formatCode="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Notes!$R$2:$R$6</c:f>
              <c:strCache>
                <c:ptCount val="5"/>
                <c:pt idx="0">
                  <c:v>Under 3</c:v>
                </c:pt>
                <c:pt idx="1">
                  <c:v>3-6</c:v>
                </c:pt>
                <c:pt idx="2">
                  <c:v>6-12</c:v>
                </c:pt>
                <c:pt idx="3">
                  <c:v>Over 12</c:v>
                </c:pt>
                <c:pt idx="4">
                  <c:v>No demand</c:v>
                </c:pt>
              </c:strCache>
            </c:strRef>
          </c:cat>
          <c:val>
            <c:numRef>
              <c:f>Notes!$S$2:$S$6</c:f>
              <c:numCache>
                <c:formatCode>General</c:formatCode>
                <c:ptCount val="5"/>
                <c:pt idx="0">
                  <c:v>3893477.0799999987</c:v>
                </c:pt>
                <c:pt idx="1">
                  <c:v>32743515.309999995</c:v>
                </c:pt>
                <c:pt idx="2">
                  <c:v>25938267.939999994</c:v>
                </c:pt>
                <c:pt idx="3">
                  <c:v>9699476.120000001</c:v>
                </c:pt>
                <c:pt idx="4">
                  <c:v>94911.65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64-45C5-9FD3-60D6D41C65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8986479"/>
        <c:axId val="158985999"/>
      </c:barChart>
      <c:catAx>
        <c:axId val="15898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85999"/>
        <c:crosses val="autoZero"/>
        <c:auto val="1"/>
        <c:lblAlgn val="ctr"/>
        <c:lblOffset val="100"/>
        <c:noMultiLvlLbl val="0"/>
      </c:catAx>
      <c:valAx>
        <c:axId val="1589859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98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4</xdr:col>
      <xdr:colOff>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06798F-5AED-4B91-8EB3-CB9B60EF3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193675</xdr:colOff>
      <xdr:row>13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7F3859-F253-441B-A9D4-EB5288AE3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457181</xdr:colOff>
      <xdr:row>5</xdr:row>
      <xdr:rowOff>0</xdr:rowOff>
    </xdr:from>
    <xdr:to>
      <xdr:col>26</xdr:col>
      <xdr:colOff>477838</xdr:colOff>
      <xdr:row>28</xdr:row>
      <xdr:rowOff>98092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E4635D-2ED7-79C1-7FC1-8926717D0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68569" y="1204913"/>
          <a:ext cx="6643706" cy="5236829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6085B37-EA48-4B9F-8D34-2988B329D516}" autoFormatId="16" applyNumberFormats="0" applyBorderFormats="0" applyFontFormats="0" applyPatternFormats="0" applyAlignmentFormats="0" applyWidthHeightFormats="0">
  <queryTableRefresh nextId="39" unboundColumnsRight="7">
    <queryTableFields count="38">
      <queryTableField id="1" name="sku" tableColumnId="1"/>
      <queryTableField id="2" name="description" tableColumnId="2"/>
      <queryTableField id="3" name="principal" tableColumnId="3"/>
      <queryTableField id="4" name="category" tableColumnId="4"/>
      <queryTableField id="5" name="product_group" tableColumnId="5"/>
      <queryTableField id="6" name="storage_condition" tableColumnId="6"/>
      <queryTableField id="7" name="units_per_case" tableColumnId="7"/>
      <queryTableField id="8" name="case_length_cm" tableColumnId="8"/>
      <queryTableField id="9" name="case_width_cm" tableColumnId="9"/>
      <queryTableField id="10" name="case_height_cm" tableColumnId="10"/>
      <queryTableField id="11" name="case_cbm" tableColumnId="11"/>
      <queryTableField id="12" name="case_weight_kg" tableColumnId="12"/>
      <queryTableField id="13" name="unit_cost_nzd" tableColumnId="13"/>
      <queryTableField id="14" name="ti" tableColumnId="14"/>
      <queryTableField id="15" name="hi" tableColumnId="15"/>
      <queryTableField id="16" name="cases_per_pallet" tableColumnId="16"/>
      <queryTableField id="17" name="pallet_height_cm" tableColumnId="17"/>
      <queryTableField id="18" name="pallet_weight_kg" tableColumnId="18"/>
      <queryTableField id="19" name="pallet_cbm" tableColumnId="19"/>
      <queryTableField id="20" name="lines" tableColumnId="20"/>
      <queryTableField id="21" name="units" tableColumnId="21"/>
      <queryTableField id="22" name="sales_value_nzd" tableColumnId="22"/>
      <queryTableField id="23" name="abc_velocity" tableColumnId="23"/>
      <queryTableField id="24" name="abc_value" tableColumnId="24"/>
      <queryTableField id="25" name="lines_per_day" tableColumnId="25"/>
      <queryTableField id="26" name="pallets_per_week" tableColumnId="26"/>
      <queryTableField id="27" name="pick_location" tableColumnId="27"/>
      <queryTableField id="28" name="ground_faces" tableColumnId="28"/>
      <queryTableField id="29" name="pick_bins" tableColumnId="29"/>
      <queryTableField id="30" name="months_cover" tableColumnId="30"/>
      <queryTableField id="31" name="counts_per_year" tableColumnId="31"/>
      <queryTableField id="32" dataBound="0" tableColumnId="32"/>
      <queryTableField id="33" dataBound="0" tableColumnId="33"/>
      <queryTableField id="34" dataBound="0" tableColumnId="34"/>
      <queryTableField id="35" dataBound="0" tableColumnId="35"/>
      <queryTableField id="36" dataBound="0" tableColumnId="36"/>
      <queryTableField id="37" dataBound="0" tableColumnId="37"/>
      <queryTableField id="38" dataBound="0" tableColumnId="3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BB6F11F-7699-43B4-8D25-6F9AC8C6708F}" autoFormatId="16" applyNumberFormats="0" applyBorderFormats="0" applyFontFormats="0" applyPatternFormats="0" applyAlignmentFormats="0" applyWidthHeightFormats="0">
  <queryTableRefresh nextId="34">
    <queryTableFields count="33">
      <queryTableField id="1" name="sku" tableColumnId="1"/>
      <queryTableField id="2" name="batch" tableColumnId="2"/>
      <queryTableField id="3" name="expiry_date" tableColumnId="3"/>
      <queryTableField id="4" name="stock_type" tableColumnId="4"/>
      <queryTableField id="5" name="qty_units" tableColumnId="5"/>
      <queryTableField id="6" name="snapshot_date" tableColumnId="6"/>
      <queryTableField id="7" name="description" tableColumnId="7"/>
      <queryTableField id="8" name="principal" tableColumnId="8"/>
      <queryTableField id="9" name="category" tableColumnId="9"/>
      <queryTableField id="10" name="product_group" tableColumnId="10"/>
      <queryTableField id="11" name="storage_condition" tableColumnId="11"/>
      <queryTableField id="12" name="units_per_case" tableColumnId="12"/>
      <queryTableField id="13" name="case_length_cm" tableColumnId="13"/>
      <queryTableField id="14" name="case_width_cm" tableColumnId="14"/>
      <queryTableField id="15" name="case_height_cm" tableColumnId="15"/>
      <queryTableField id="16" name="case_cbm" tableColumnId="16"/>
      <queryTableField id="17" name="case_weight_kg" tableColumnId="17"/>
      <queryTableField id="18" name="unit_cost_nzd" tableColumnId="18"/>
      <queryTableField id="19" name="ti" tableColumnId="19"/>
      <queryTableField id="20" name="hi" tableColumnId="20"/>
      <queryTableField id="21" name="cases_per_pallet" tableColumnId="21"/>
      <queryTableField id="22" name="pallet_height_cm" tableColumnId="22"/>
      <queryTableField id="23" name="pallet_weight_kg" tableColumnId="23"/>
      <queryTableField id="24" name="pallet_cbm" tableColumnId="24"/>
      <queryTableField id="25" name="cases" tableColumnId="25"/>
      <queryTableField id="26" name="cbm" tableColumnId="26"/>
      <queryTableField id="27" name="pallets" tableColumnId="27"/>
      <queryTableField id="28" name="value_nzd" tableColumnId="28"/>
      <queryTableField id="29" name="positions_naive" tableColumnId="29"/>
      <queryTableField id="30" name="zone" tableColumnId="30"/>
      <queryTableField id="31" name="positions" tableColumnId="31"/>
      <queryTableField id="32" name="shelf_bins" tableColumnId="32"/>
      <queryTableField id="33" name="months_to_expiry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6838D0-F573-4C96-B0DB-05106BAF6855}" name="tblSKU" displayName="tblSKU" ref="A1:AL589" tableType="queryTable" totalsRowShown="0">
  <autoFilter ref="A1:AL589" xr:uid="{046838D0-F573-4C96-B0DB-05106BAF6855}"/>
  <tableColumns count="38">
    <tableColumn id="1" xr3:uid="{D700765B-562C-4605-B6D0-5CC970D3B29D}" uniqueName="1" name="sku" queryTableFieldId="1" dataDxfId="25"/>
    <tableColumn id="2" xr3:uid="{42BF75A1-7365-4C22-B5E8-A0E23A4316F4}" uniqueName="2" name="description" queryTableFieldId="2" dataDxfId="24"/>
    <tableColumn id="3" xr3:uid="{C3E12E9C-06D5-439A-A4CF-EADB375BEBEF}" uniqueName="3" name="principal" queryTableFieldId="3" dataDxfId="23"/>
    <tableColumn id="4" xr3:uid="{94340CF0-DD83-4468-850E-80CCC3468548}" uniqueName="4" name="category" queryTableFieldId="4" dataDxfId="22"/>
    <tableColumn id="5" xr3:uid="{6084E8AD-FBE7-466B-9B7B-66605BA640F7}" uniqueName="5" name="product_group" queryTableFieldId="5" dataDxfId="21"/>
    <tableColumn id="6" xr3:uid="{7DA625D4-C7FB-4BC4-9EA2-203A3E4C6A50}" uniqueName="6" name="storage_condition" queryTableFieldId="6" dataDxfId="20"/>
    <tableColumn id="7" xr3:uid="{827EFF00-E437-4266-872E-7DA840307BDC}" uniqueName="7" name="units_per_case" queryTableFieldId="7"/>
    <tableColumn id="8" xr3:uid="{4242F35C-7331-4FC1-B832-16A5D2E4E1CC}" uniqueName="8" name="case_length_cm" queryTableFieldId="8"/>
    <tableColumn id="9" xr3:uid="{FC7C1298-A62C-460A-B8DC-262B3C5A45BE}" uniqueName="9" name="case_width_cm" queryTableFieldId="9"/>
    <tableColumn id="10" xr3:uid="{7D280D82-B2BF-439A-9001-51D65E0A9CBB}" uniqueName="10" name="case_height_cm" queryTableFieldId="10"/>
    <tableColumn id="11" xr3:uid="{2F3B2214-EE0B-4F30-96BD-11B0447F8139}" uniqueName="11" name="case_cbm" queryTableFieldId="11"/>
    <tableColumn id="12" xr3:uid="{8C4C87D5-8783-4BCE-B304-3331A4131618}" uniqueName="12" name="case_weight_kg" queryTableFieldId="12"/>
    <tableColumn id="13" xr3:uid="{EDE51347-4FDF-4C31-8D13-548C58D71BA8}" uniqueName="13" name="unit_cost_nzd" queryTableFieldId="13"/>
    <tableColumn id="14" xr3:uid="{BDF0E21B-868E-43FD-AE2C-CBF273FAB0A9}" uniqueName="14" name="ti" queryTableFieldId="14"/>
    <tableColumn id="15" xr3:uid="{B69373F6-B6A3-417D-AF82-E3EDB126EF7E}" uniqueName="15" name="hi" queryTableFieldId="15"/>
    <tableColumn id="16" xr3:uid="{647D4931-44DF-4521-8833-54DA1AC87F30}" uniqueName="16" name="cases_per_pallet" queryTableFieldId="16"/>
    <tableColumn id="17" xr3:uid="{024751BB-4F93-4B9D-BD9B-15D25DF0A1F0}" uniqueName="17" name="pallet_height_cm" queryTableFieldId="17"/>
    <tableColumn id="18" xr3:uid="{5AFFB572-9A96-42AE-97CD-7D77EB12180B}" uniqueName="18" name="pallet_weight_kg" queryTableFieldId="18"/>
    <tableColumn id="19" xr3:uid="{FB585887-3499-4FC5-8556-20C34E53B893}" uniqueName="19" name="pallet_cbm" queryTableFieldId="19"/>
    <tableColumn id="20" xr3:uid="{8A8D807E-6771-4301-82AD-8A200D673970}" uniqueName="20" name="lines" queryTableFieldId="20"/>
    <tableColumn id="21" xr3:uid="{163287EF-0FEB-4DA6-B147-500F2C3929ED}" uniqueName="21" name="units" queryTableFieldId="21"/>
    <tableColumn id="22" xr3:uid="{7E93DE0B-BA44-4F40-A9A7-14D78C049F44}" uniqueName="22" name="sales_value_nzd" queryTableFieldId="22"/>
    <tableColumn id="23" xr3:uid="{96A1BAB4-5224-4277-8AD2-4EFED6522A50}" uniqueName="23" name="abc_velocity" queryTableFieldId="23" dataDxfId="19"/>
    <tableColumn id="24" xr3:uid="{C3E36D94-6002-4FC6-9FBC-3308BD1ACFD2}" uniqueName="24" name="abc_value" queryTableFieldId="24" dataDxfId="18"/>
    <tableColumn id="25" xr3:uid="{365A7C51-3F80-4DFE-8212-7F3A482C6EB7}" uniqueName="25" name="lines_per_day" queryTableFieldId="25"/>
    <tableColumn id="26" xr3:uid="{23340A7D-970E-4447-89F2-6D2FF299C994}" uniqueName="26" name="pallets_per_week" queryTableFieldId="26"/>
    <tableColumn id="27" xr3:uid="{278E119F-E021-41A0-9E09-2E974A4A9671}" uniqueName="27" name="pick_location" queryTableFieldId="27" dataDxfId="17"/>
    <tableColumn id="28" xr3:uid="{BFF040DE-A860-4B8C-8463-F6A63A0C358F}" uniqueName="28" name="ground_faces" queryTableFieldId="28"/>
    <tableColumn id="29" xr3:uid="{D3335A9D-7BC7-47D6-983B-A1FB5F62FC07}" uniqueName="29" name="pick_bins" queryTableFieldId="29"/>
    <tableColumn id="30" xr3:uid="{E56450AA-7CBF-4F5E-AAEA-0B371E847DC7}" uniqueName="30" name="months_cover" queryTableFieldId="30" dataDxfId="16"/>
    <tableColumn id="31" xr3:uid="{51765B5F-DF51-4A27-8776-EC9F0379FC85}" uniqueName="31" name="counts_per_year" queryTableFieldId="31"/>
    <tableColumn id="32" xr3:uid="{E5885444-C898-4159-9F1B-A678582D3ADC}" uniqueName="32" name="batches" queryTableFieldId="32" dataDxfId="33">
      <calculatedColumnFormula>COUNTIFS(tblStock[sku],tblSKU[[#This Row],[sku]])</calculatedColumnFormula>
    </tableColumn>
    <tableColumn id="33" xr3:uid="{743BC794-AAB8-41D2-BEF7-850FD1A72FD1}" uniqueName="33" name="saleable_units" queryTableFieldId="33" dataDxfId="32">
      <calculatedColumnFormula array="1">SUM(SUMIFS(tblStock[qty_units],tblStock[sku],tblSKU[[#This Row],[sku]],tblStock[stock_type],{"Saleable","FOC"}))</calculatedColumnFormula>
    </tableColumn>
    <tableColumn id="34" xr3:uid="{E50EE66E-A6D0-4C22-BDB9-BF4965B13CEF}" uniqueName="34" name="stock_value_nzd" queryTableFieldId="34" dataDxfId="15">
      <calculatedColumnFormula>SUMIFS(tblStock[value_nzd],tblStock[sku],tblSKU[[#This Row],[sku]])</calculatedColumnFormula>
    </tableColumn>
    <tableColumn id="35" xr3:uid="{6757BD85-0BD8-4663-B6EE-C37EA3B338B7}" uniqueName="35" name="stock_cbm" queryTableFieldId="35" dataDxfId="14">
      <calculatedColumnFormula>SUMIFS(tblStock[cbm],tblStock[sku],tblSKU[[#This Row],[sku]])</calculatedColumnFormula>
    </tableColumn>
    <tableColumn id="36" xr3:uid="{E792639E-611D-441E-8FBD-58F48E417738}" uniqueName="36" name="rack_positions" queryTableFieldId="36" dataDxfId="13">
      <calculatedColumnFormula>SUMIFS(tblStock[positions],tblStock[sku],tblSKU[[#This Row],[sku]])</calculatedColumnFormula>
    </tableColumn>
    <tableColumn id="37" xr3:uid="{953367B0-F209-4761-B09B-87C4A799C8C7}" uniqueName="37" name="expired_value_nzd" queryTableFieldId="37" dataDxfId="12">
      <calculatedColumnFormula>SUMIFS(tblStock[value_nzd],tblStock[sku],tblSKU[[#This Row],[sku]],tblStock[stock_type],"Expired")</calculatedColumnFormula>
    </tableColumn>
    <tableColumn id="38" xr3:uid="{F61AA8E3-CCC8-4863-877B-08A78082A3A8}" uniqueName="38" name="near_expiry_value_nzd" queryTableFieldId="38" dataDxfId="11">
      <calculatedColumnFormula array="1">SUM(SUMIFS(tblStock[value_nzd],tblStock[sku],tblSKU[[#This Row],[sku]],tblStock[stock_type],{"Saleable","FOC"},tblStock[expiry_date],"&lt;"&amp;EDATE(SnapshotDate,6)))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746A81-7017-4F4A-8B14-233BE82AECF9}" name="tblStock" displayName="tblStock" ref="A1:AG1235" tableType="queryTable" totalsRowShown="0">
  <autoFilter ref="A1:AG1235" xr:uid="{80746A81-7017-4F4A-8B14-233BE82AECF9}"/>
  <tableColumns count="33">
    <tableColumn id="1" xr3:uid="{9F5B8F17-AA2D-4317-B1F5-18842139CEF4}" uniqueName="1" name="sku" queryTableFieldId="1" dataDxfId="10"/>
    <tableColumn id="2" xr3:uid="{ED45C63D-D818-43D6-A283-85F320F57CEB}" uniqueName="2" name="batch" queryTableFieldId="2" dataDxfId="9"/>
    <tableColumn id="3" xr3:uid="{4A13EF82-07C3-4FA3-8D92-515BF90458D5}" uniqueName="3" name="expiry_date" queryTableFieldId="3" dataDxfId="8"/>
    <tableColumn id="4" xr3:uid="{03CCA781-003D-4AD8-B9EA-3BA068B61483}" uniqueName="4" name="stock_type" queryTableFieldId="4" dataDxfId="7"/>
    <tableColumn id="5" xr3:uid="{E6B1A7C1-EBA5-4B5D-988A-F73CD47993C2}" uniqueName="5" name="qty_units" queryTableFieldId="5"/>
    <tableColumn id="6" xr3:uid="{964A2D21-5BE2-4BB6-A40B-C8BE53981C1B}" uniqueName="6" name="snapshot_date" queryTableFieldId="6" dataDxfId="6"/>
    <tableColumn id="7" xr3:uid="{4C1BAAB0-A7D4-41BD-9E69-594395D407AC}" uniqueName="7" name="description" queryTableFieldId="7" dataDxfId="5"/>
    <tableColumn id="8" xr3:uid="{566B7739-0146-43C6-BE15-0A6D0BB2FE61}" uniqueName="8" name="principal" queryTableFieldId="8" dataDxfId="4"/>
    <tableColumn id="9" xr3:uid="{59553057-D05B-436C-9262-88EA07708C67}" uniqueName="9" name="category" queryTableFieldId="9" dataDxfId="3"/>
    <tableColumn id="10" xr3:uid="{0DB76F1A-86C1-4F29-8968-FE6B15931361}" uniqueName="10" name="product_group" queryTableFieldId="10" dataDxfId="2"/>
    <tableColumn id="11" xr3:uid="{C59B77D5-4700-4EC3-9764-5B4938084C6B}" uniqueName="11" name="storage_condition" queryTableFieldId="11" dataDxfId="1"/>
    <tableColumn id="12" xr3:uid="{035DAF62-D42F-4C2D-BC55-DF59AEAF3E53}" uniqueName="12" name="units_per_case" queryTableFieldId="12"/>
    <tableColumn id="13" xr3:uid="{7D2369C5-0F36-405D-9F14-4CD387A3CED6}" uniqueName="13" name="case_length_cm" queryTableFieldId="13"/>
    <tableColumn id="14" xr3:uid="{1D3BECB6-0950-44D7-B332-F5F98ED4373E}" uniqueName="14" name="case_width_cm" queryTableFieldId="14"/>
    <tableColumn id="15" xr3:uid="{7E12C5D4-5535-43BA-B26D-11103FB84AF8}" uniqueName="15" name="case_height_cm" queryTableFieldId="15"/>
    <tableColumn id="16" xr3:uid="{79C09DBC-E20C-4E25-A831-4BFED410E0E6}" uniqueName="16" name="case_cbm" queryTableFieldId="16"/>
    <tableColumn id="17" xr3:uid="{F3885B20-3211-4D36-ABC6-0C07F9842ACA}" uniqueName="17" name="case_weight_kg" queryTableFieldId="17"/>
    <tableColumn id="18" xr3:uid="{00CB9AF0-5E8E-4058-9CC6-F1F525E8B208}" uniqueName="18" name="unit_cost_nzd" queryTableFieldId="18"/>
    <tableColumn id="19" xr3:uid="{946033F9-B465-4CDC-A8A9-8363630DF79E}" uniqueName="19" name="ti" queryTableFieldId="19"/>
    <tableColumn id="20" xr3:uid="{4C9F1A4A-63D4-469C-AD15-543075BF7948}" uniqueName="20" name="hi" queryTableFieldId="20"/>
    <tableColumn id="21" xr3:uid="{8BB92A8B-5304-4E4A-A08F-EA2A7EFEFF4E}" uniqueName="21" name="cases_per_pallet" queryTableFieldId="21"/>
    <tableColumn id="22" xr3:uid="{7970F13A-F21A-47B6-9E17-D23F83A56A93}" uniqueName="22" name="pallet_height_cm" queryTableFieldId="22"/>
    <tableColumn id="23" xr3:uid="{E1B40B8B-4DD5-4E1F-9DBD-D17C6121969D}" uniqueName="23" name="pallet_weight_kg" queryTableFieldId="23"/>
    <tableColumn id="24" xr3:uid="{ECD18A94-0178-4023-994E-2EA77925766A}" uniqueName="24" name="pallet_cbm" queryTableFieldId="24"/>
    <tableColumn id="25" xr3:uid="{84C3C4A0-812F-4A95-8031-45564431A54F}" uniqueName="25" name="cases" queryTableFieldId="25"/>
    <tableColumn id="26" xr3:uid="{6A035E65-21AE-43F1-B460-474A2F18B95C}" uniqueName="26" name="cbm" queryTableFieldId="26"/>
    <tableColumn id="27" xr3:uid="{E7F24D40-AA0D-42FD-BD3C-4537730A90D2}" uniqueName="27" name="pallets" queryTableFieldId="27"/>
    <tableColumn id="28" xr3:uid="{32DA2D6E-4409-460E-87D5-8C08A5E0A947}" uniqueName="28" name="value_nzd" queryTableFieldId="28"/>
    <tableColumn id="29" xr3:uid="{ABA5D2A2-625F-43C8-85FC-7AA1F4037CB7}" uniqueName="29" name="positions_naive" queryTableFieldId="29"/>
    <tableColumn id="30" xr3:uid="{C46F7A14-A0E9-4670-B49B-0A7C4227734C}" uniqueName="30" name="zone" queryTableFieldId="30" dataDxfId="0"/>
    <tableColumn id="31" xr3:uid="{4C210EF5-0B02-4E00-A66D-8A1AEEA4F8C7}" uniqueName="31" name="positions" queryTableFieldId="31"/>
    <tableColumn id="32" xr3:uid="{0B75F6BF-C86F-4A81-B73B-7852467FA762}" uniqueName="32" name="shelf_bins" queryTableFieldId="32"/>
    <tableColumn id="33" xr3:uid="{D1FAC872-834E-4F73-9585-80A184E550FE}" uniqueName="33" name="months_to_expiry" queryTableFieldId="3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Indigo Coral">
      <a:dk1>
        <a:srgbClr val="1E2233"/>
      </a:dk1>
      <a:lt1>
        <a:srgbClr val="FFFFFF"/>
      </a:lt1>
      <a:dk2>
        <a:srgbClr val="3A4160"/>
      </a:dk2>
      <a:lt2>
        <a:srgbClr val="F4F5F9"/>
      </a:lt2>
      <a:accent1>
        <a:srgbClr val="2E3A87"/>
      </a:accent1>
      <a:accent2>
        <a:srgbClr val="F2705E"/>
      </a:accent2>
      <a:accent3>
        <a:srgbClr val="5B8DEF"/>
      </a:accent3>
      <a:accent4>
        <a:srgbClr val="2BA36B"/>
      </a:accent4>
      <a:accent5>
        <a:srgbClr val="9AA3B8"/>
      </a:accent5>
      <a:accent6>
        <a:srgbClr val="8E6CC9"/>
      </a:accent6>
      <a:hlink>
        <a:srgbClr val="467886"/>
      </a:hlink>
      <a:folHlink>
        <a:srgbClr val="96607D"/>
      </a:folHlink>
    </a:clrScheme>
    <a:fontScheme name="Dashboard">
      <a:majorFont>
        <a:latin typeface="Segoe UI Semibol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6FF4451-616A-42F8-97D2-69DB1B38BE2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397ec25-cecd-4002-8129-f6d63f51b02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B56D7-F750-499A-BFB7-E1FB05761D2D}">
  <sheetPr>
    <tabColor rgb="FF2E3A87"/>
  </sheetPr>
  <dimension ref="B2:I17"/>
  <sheetViews>
    <sheetView showGridLines="0" tabSelected="1" workbookViewId="0"/>
  </sheetViews>
  <sheetFormatPr defaultRowHeight="16.5"/>
  <cols>
    <col min="1" max="1" width="2.58203125" style="5" customWidth="1"/>
    <col min="2" max="2" width="24.58203125" style="5" customWidth="1"/>
    <col min="3" max="3" width="2.58203125" style="5" customWidth="1"/>
    <col min="4" max="4" width="24.58203125" style="5" customWidth="1"/>
    <col min="5" max="5" width="2.58203125" style="5" customWidth="1"/>
    <col min="6" max="6" width="24.58203125" style="5" customWidth="1"/>
    <col min="7" max="7" width="2.58203125" style="5" customWidth="1"/>
    <col min="8" max="8" width="24.58203125" style="5" customWidth="1"/>
    <col min="9" max="16384" width="8.6640625" style="5"/>
  </cols>
  <sheetData>
    <row r="2" spans="2:8" ht="29">
      <c r="B2" s="6" t="s">
        <v>2539</v>
      </c>
    </row>
    <row r="3" spans="2:8">
      <c r="B3" s="9" t="str">
        <f>"Pharmaceutical client mobilisation  ·  Stock as at "&amp;TEXT(SnapshotDate,"d mmm yyyy")</f>
        <v>Pharmaceutical client mobilisation  ·  Stock as at 28 Feb 2026</v>
      </c>
      <c r="C3" s="9"/>
      <c r="D3" s="9"/>
    </row>
    <row r="5" spans="2:8">
      <c r="B5" s="8" t="s">
        <v>2514</v>
      </c>
      <c r="C5" s="8"/>
      <c r="D5" s="8" t="s">
        <v>2512</v>
      </c>
      <c r="E5" s="8"/>
      <c r="F5" s="8" t="s">
        <v>2526</v>
      </c>
    </row>
    <row r="6" spans="2:8">
      <c r="B6" s="33" t="s">
        <v>2540</v>
      </c>
      <c r="D6" s="33" t="s">
        <v>2540</v>
      </c>
      <c r="F6" s="33" t="s">
        <v>2540</v>
      </c>
    </row>
    <row r="8" spans="2:8">
      <c r="B8" s="10" t="s">
        <v>2546</v>
      </c>
      <c r="D8" s="10" t="s">
        <v>2532</v>
      </c>
      <c r="F8" s="10" t="s">
        <v>2547</v>
      </c>
      <c r="H8" s="10" t="s">
        <v>2534</v>
      </c>
    </row>
    <row r="9" spans="2:8" ht="32.5">
      <c r="B9" s="12">
        <f>COUNTIFS(tblSKU[storage_condition],critStorage,tblSKU[principal],critPrincipal,tblSKU[abc_velocity],critVelocity)</f>
        <v>588</v>
      </c>
      <c r="D9" s="12">
        <f>SUMIFS(tblSKU[stock_value_nzd],tblSKU[storage_condition],critStorage,tblSKU[principal],critPrincipal,tblSKU[abc_velocity],critVelocity)</f>
        <v>72369648.100000054</v>
      </c>
      <c r="F9" s="13">
        <f>SUMIFS(tblSKU[stock_cbm],tblSKU[storage_condition],critStorage,tblSKU[principal],critPrincipal,tblSKU[abc_velocity],critVelocity)</f>
        <v>2344.4842925914904</v>
      </c>
      <c r="H9" s="12">
        <f>SUMIFS(tblSKU[rack_positions],tblSKU[storage_condition],critStorage,tblSKU[principal],critPrincipal,tblSKU[abc_velocity],critVelocity)</f>
        <v>3702</v>
      </c>
    </row>
    <row r="11" spans="2:8">
      <c r="B11" s="10" t="s">
        <v>2523</v>
      </c>
      <c r="D11" s="10" t="s">
        <v>2536</v>
      </c>
      <c r="F11" s="10" t="s">
        <v>2548</v>
      </c>
      <c r="H11" s="10" t="s">
        <v>2549</v>
      </c>
    </row>
    <row r="12" spans="2:8" ht="32.5">
      <c r="B12" s="12">
        <f>SUMIFS(tblSKU[lines],tblSKU[storage_condition],critStorage,tblSKU[principal],critPrincipal,tblSKU[abc_velocity],critVelocity)</f>
        <v>50903</v>
      </c>
      <c r="D12" s="14">
        <f>SUMIFS(tblSKU[near_expiry_value_nzd],tblSKU[storage_condition],critStorage,tblSKU[principal],critPrincipal,tblSKU[abc_velocity],critVelocity)</f>
        <v>6931110.9399999967</v>
      </c>
      <c r="F12" s="14">
        <f>SUMIFS(tblSKU[expired_value_nzd],tblSKU[storage_condition],critStorage,tblSKU[principal],critPrincipal,tblSKU[abc_velocity],critVelocity)</f>
        <v>508066.84</v>
      </c>
      <c r="H12" s="13">
        <f>(SUMIFS(tblSKU[counts_per_year],tblSKU[storage_condition],critStorage,tblSKU[principal],critPrincipal,tblSKU[abc_velocity],critVelocity))/50</f>
        <v>53.2</v>
      </c>
    </row>
    <row r="17" spans="9:9">
      <c r="I17" s="11"/>
    </row>
  </sheetData>
  <sheetProtection sheet="1" objects="1" scenarios="1"/>
  <dataValidations count="3">
    <dataValidation type="list" allowBlank="1" showInputMessage="1" showErrorMessage="1" sqref="B6" xr:uid="{594C25C9-EB25-4BE4-92A4-2BA3652235F2}">
      <formula1>StorageList</formula1>
    </dataValidation>
    <dataValidation type="list" allowBlank="1" showInputMessage="1" showErrorMessage="1" sqref="D6" xr:uid="{F3AB1C4F-2ADF-4477-8265-F0F4C6DC244C}">
      <formula1>PrincipalList</formula1>
    </dataValidation>
    <dataValidation type="list" allowBlank="1" showInputMessage="1" showErrorMessage="1" sqref="F6" xr:uid="{CE3C13B1-3CB7-41CA-AABC-BA26DD94FB9E}">
      <formula1>VelocityList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15E20-50BB-44AC-A224-A189EAE2D0D7}">
  <sheetPr>
    <tabColor rgb="FF2E3A87"/>
  </sheetPr>
  <dimension ref="B2:E36"/>
  <sheetViews>
    <sheetView showGridLines="0" zoomScale="90" zoomScaleNormal="90" workbookViewId="0"/>
  </sheetViews>
  <sheetFormatPr defaultRowHeight="16.5"/>
  <cols>
    <col min="1" max="1" width="8.6640625" style="5"/>
    <col min="2" max="2" width="20.33203125" style="5" bestFit="1" customWidth="1"/>
    <col min="3" max="3" width="29.4140625" style="5" bestFit="1" customWidth="1"/>
    <col min="4" max="4" width="8.6640625" style="5"/>
    <col min="5" max="5" width="15.1640625" style="5" hidden="1" customWidth="1"/>
    <col min="6" max="16384" width="8.6640625" style="5"/>
  </cols>
  <sheetData>
    <row r="2" spans="2:5" s="5" customFormat="1" ht="26">
      <c r="B2" s="39" t="s">
        <v>2508</v>
      </c>
    </row>
    <row r="4" spans="2:5" s="5" customFormat="1">
      <c r="B4" s="24" t="s">
        <v>2509</v>
      </c>
      <c r="C4" s="34" t="s">
        <v>61</v>
      </c>
    </row>
    <row r="5" spans="2:5" s="5" customFormat="1">
      <c r="B5" s="5" t="s">
        <v>2510</v>
      </c>
      <c r="C5" s="40" t="str">
        <f>_xlfn.XLOOKUP($C$4,tblSKU[sku],tblSKU[description],"")</f>
        <v>Rosuvastatin 20mg Tablets 3x10</v>
      </c>
    </row>
    <row r="7" spans="2:5" s="5" customFormat="1">
      <c r="B7" s="20" t="s">
        <v>2511</v>
      </c>
    </row>
    <row r="8" spans="2:5" s="5" customFormat="1">
      <c r="B8" s="5" t="s">
        <v>2512</v>
      </c>
      <c r="C8" s="41" t="str">
        <f>IF($E8="","",INDEX(tblSKU[],MATCH($C$4,tblSKU[sku],0),MATCH($E8,tblSKU[#Headers],0)))</f>
        <v>Venrick Laboratories</v>
      </c>
      <c r="E8" s="5" t="s">
        <v>7</v>
      </c>
    </row>
    <row r="9" spans="2:5" s="5" customFormat="1">
      <c r="B9" s="5" t="s">
        <v>2513</v>
      </c>
      <c r="C9" s="41" t="str">
        <f>IF($E9="","",INDEX(tblSKU[],MATCH($C$4,tblSKU[sku],0),MATCH($E9,tblSKU[#Headers],0)))</f>
        <v>Tablets</v>
      </c>
      <c r="E9" s="5" t="s">
        <v>9</v>
      </c>
    </row>
    <row r="10" spans="2:5" s="5" customFormat="1">
      <c r="B10" s="5" t="s">
        <v>2514</v>
      </c>
      <c r="C10" s="41" t="str">
        <f>IF($E10="","",INDEX(tblSKU[],MATCH($C$4,tblSKU[sku],0),MATCH($E10,tblSKU[#Headers],0)))</f>
        <v>Below 25C</v>
      </c>
      <c r="E10" s="5" t="s">
        <v>10</v>
      </c>
    </row>
    <row r="11" spans="2:5" s="5" customFormat="1">
      <c r="B11" s="5" t="s">
        <v>2515</v>
      </c>
      <c r="C11" s="42">
        <f>IF($E11="","",INDEX(tblSKU[],MATCH($C$4,tblSKU[sku],0),MATCH($E11,tblSKU[#Headers],0)))</f>
        <v>120</v>
      </c>
      <c r="E11" s="5" t="s">
        <v>11</v>
      </c>
    </row>
    <row r="12" spans="2:5" s="5" customFormat="1">
      <c r="B12" s="20" t="s">
        <v>2516</v>
      </c>
      <c r="C12" s="41"/>
    </row>
    <row r="13" spans="2:5" s="5" customFormat="1">
      <c r="B13" s="5" t="s">
        <v>2517</v>
      </c>
      <c r="C13" s="42">
        <f>IF($E13="","",INDEX(tblSKU[],MATCH($C$4,tblSKU[sku],0),MATCH($E13,tblSKU[#Headers],0)))</f>
        <v>3</v>
      </c>
      <c r="E13" s="5" t="s">
        <v>18</v>
      </c>
    </row>
    <row r="14" spans="2:5" s="5" customFormat="1">
      <c r="B14" s="5" t="s">
        <v>2518</v>
      </c>
      <c r="C14" s="42">
        <f>IF($E14="","",INDEX(tblSKU[],MATCH($C$4,tblSKU[sku],0),MATCH($E14,tblSKU[#Headers],0)))</f>
        <v>5</v>
      </c>
      <c r="E14" s="5" t="s">
        <v>19</v>
      </c>
    </row>
    <row r="15" spans="2:5" s="5" customFormat="1">
      <c r="B15" s="5" t="s">
        <v>2519</v>
      </c>
      <c r="C15" s="42">
        <f>IF($E15="","",INDEX(tblSKU[],MATCH($C$4,tblSKU[sku],0),MATCH($E15,tblSKU[#Headers],0)))</f>
        <v>15</v>
      </c>
      <c r="E15" s="5" t="s">
        <v>20</v>
      </c>
    </row>
    <row r="16" spans="2:5" s="5" customFormat="1">
      <c r="B16" s="5" t="s">
        <v>2520</v>
      </c>
      <c r="C16" s="42">
        <f>IF($E16="","",INDEX(tblSKU[],MATCH($C$4,tblSKU[sku],0),MATCH($E16,tblSKU[#Headers],0)))</f>
        <v>128.5</v>
      </c>
      <c r="E16" s="5" t="s">
        <v>21</v>
      </c>
    </row>
    <row r="17" spans="2:5" s="5" customFormat="1">
      <c r="B17" s="5" t="s">
        <v>2521</v>
      </c>
      <c r="C17" s="43">
        <f>IF($E17="","",INDEX(tblSKU[],MATCH($C$4,tblSKU[sku],0),MATCH($E17,tblSKU[#Headers],0)))</f>
        <v>0.77999999999999992</v>
      </c>
      <c r="E17" s="5" t="s">
        <v>23</v>
      </c>
    </row>
    <row r="18" spans="2:5" s="5" customFormat="1">
      <c r="B18" s="20" t="s">
        <v>2522</v>
      </c>
      <c r="C18" s="41"/>
    </row>
    <row r="19" spans="2:5" s="5" customFormat="1">
      <c r="B19" s="5" t="s">
        <v>2523</v>
      </c>
      <c r="C19" s="42">
        <f>IF($E19="","",INDEX(tblSKU[],MATCH($C$4,tblSKU[sku],0),MATCH($E19,tblSKU[#Headers],0)))</f>
        <v>321</v>
      </c>
      <c r="E19" s="5" t="s">
        <v>1246</v>
      </c>
    </row>
    <row r="20" spans="2:5" s="5" customFormat="1">
      <c r="B20" s="5" t="s">
        <v>2524</v>
      </c>
      <c r="C20" s="44">
        <f>IF($E20="","",INDEX(tblSKU[],MATCH($C$4,tblSKU[sku],0),MATCH($E20,tblSKU[#Headers],0)))</f>
        <v>3.776470588235294</v>
      </c>
      <c r="E20" s="5" t="s">
        <v>1251</v>
      </c>
    </row>
    <row r="21" spans="2:5" s="5" customFormat="1">
      <c r="B21" s="5" t="s">
        <v>2525</v>
      </c>
      <c r="C21" s="43">
        <f>IF($E21="","",INDEX(tblSKU[],MATCH($C$4,tblSKU[sku],0),MATCH($E21,tblSKU[#Headers],0)))</f>
        <v>0.57754901960784322</v>
      </c>
      <c r="E21" s="5" t="s">
        <v>1252</v>
      </c>
    </row>
    <row r="22" spans="2:5" s="5" customFormat="1">
      <c r="B22" s="5" t="s">
        <v>2526</v>
      </c>
      <c r="C22" s="41" t="str">
        <f>IF($E22="","",INDEX(tblSKU[],MATCH($C$4,tblSKU[sku],0),MATCH($E22,tblSKU[#Headers],0)))</f>
        <v>A</v>
      </c>
      <c r="E22" s="5" t="s">
        <v>1249</v>
      </c>
    </row>
    <row r="23" spans="2:5" s="5" customFormat="1">
      <c r="B23" s="5" t="s">
        <v>2527</v>
      </c>
      <c r="C23" s="41" t="str">
        <f>IF($E23="","",INDEX(tblSKU[],MATCH($C$4,tblSKU[sku],0),MATCH($E23,tblSKU[#Headers],0)))</f>
        <v>A</v>
      </c>
      <c r="E23" s="5" t="s">
        <v>1250</v>
      </c>
    </row>
    <row r="24" spans="2:5" s="5" customFormat="1">
      <c r="B24" s="5" t="s">
        <v>2528</v>
      </c>
      <c r="C24" s="41" t="str">
        <f>IF($E24="","",INDEX(tblSKU[],MATCH($C$4,tblSKU[sku],0),MATCH($E24,tblSKU[#Headers],0)))</f>
        <v>Ground pick face</v>
      </c>
      <c r="E24" s="5" t="s">
        <v>1253</v>
      </c>
    </row>
    <row r="25" spans="2:5" s="5" customFormat="1">
      <c r="B25" s="20" t="s">
        <v>2529</v>
      </c>
      <c r="C25" s="41"/>
    </row>
    <row r="26" spans="2:5" s="5" customFormat="1">
      <c r="B26" s="5" t="s">
        <v>2530</v>
      </c>
      <c r="C26" s="42">
        <f>IF($E26="","",INDEX(tblSKU[],MATCH($C$4,tblSKU[sku],0),MATCH($E26,tblSKU[#Headers],0)))</f>
        <v>1</v>
      </c>
      <c r="E26" s="5" t="s">
        <v>2501</v>
      </c>
    </row>
    <row r="27" spans="2:5" s="5" customFormat="1">
      <c r="B27" s="5" t="s">
        <v>2531</v>
      </c>
      <c r="C27" s="42">
        <f>IF($E27="","",INDEX(tblSKU[],MATCH($C$4,tblSKU[sku],0),MATCH($E27,tblSKU[#Headers],0)))</f>
        <v>13354</v>
      </c>
      <c r="E27" s="5" t="s">
        <v>2502</v>
      </c>
    </row>
    <row r="28" spans="2:5" s="5" customFormat="1">
      <c r="B28" s="5" t="s">
        <v>2532</v>
      </c>
      <c r="C28" s="42">
        <f>IF($E28="","",INDEX(tblSKU[],MATCH($C$4,tblSKU[sku],0),MATCH($E28,tblSKU[#Headers],0)))</f>
        <v>123524.5</v>
      </c>
      <c r="E28" s="5" t="s">
        <v>2503</v>
      </c>
    </row>
    <row r="29" spans="2:5" s="5" customFormat="1">
      <c r="B29" s="5" t="s">
        <v>2533</v>
      </c>
      <c r="C29" s="43">
        <f>IF($E29="","",INDEX(tblSKU[],MATCH($C$4,tblSKU[sku],0),MATCH($E29,tblSKU[#Headers],0)))</f>
        <v>5.7867333333333333</v>
      </c>
      <c r="E29" s="5" t="s">
        <v>2504</v>
      </c>
    </row>
    <row r="30" spans="2:5" s="5" customFormat="1">
      <c r="B30" s="5" t="s">
        <v>2534</v>
      </c>
      <c r="C30" s="42">
        <f>IF($E30="","",INDEX(tblSKU[],MATCH($C$4,tblSKU[sku],0),MATCH($E30,tblSKU[#Headers],0)))</f>
        <v>8</v>
      </c>
      <c r="E30" s="5" t="s">
        <v>2505</v>
      </c>
    </row>
    <row r="31" spans="2:5" s="5" customFormat="1">
      <c r="B31" s="5" t="s">
        <v>2535</v>
      </c>
      <c r="C31" s="44">
        <f>IF($E31="","",INDEX(tblSKU[],MATCH($C$4,tblSKU[sku],0),MATCH($E31,tblSKU[#Headers],0)))</f>
        <v>3.0224636451083575</v>
      </c>
      <c r="E31" s="5" t="s">
        <v>1256</v>
      </c>
    </row>
    <row r="32" spans="2:5" s="5" customFormat="1">
      <c r="B32" s="5" t="s">
        <v>2536</v>
      </c>
      <c r="C32" s="42">
        <f>IF($E32="","",INDEX(tblSKU[],MATCH($C$4,tblSKU[sku],0),MATCH($E32,tblSKU[#Headers],0)))</f>
        <v>123524.5</v>
      </c>
      <c r="E32" s="5" t="s">
        <v>2507</v>
      </c>
    </row>
    <row r="33" spans="2:5" s="5" customFormat="1">
      <c r="B33" s="5" t="s">
        <v>2537</v>
      </c>
      <c r="C33" s="42">
        <f>IF($E33="","",INDEX(tblSKU[],MATCH($C$4,tblSKU[sku],0),MATCH($E33,tblSKU[#Headers],0)))</f>
        <v>12</v>
      </c>
      <c r="E33" s="5" t="s">
        <v>1257</v>
      </c>
    </row>
    <row r="35" spans="2:5" s="5" customFormat="1">
      <c r="B35" s="24" t="s">
        <v>2538</v>
      </c>
      <c r="C35" s="11" t="str">
        <f>IF(C32&gt;0,"Stock expiring within 6 months","")</f>
        <v>Stock expiring within 6 months</v>
      </c>
    </row>
    <row r="36" spans="2:5" s="5" customFormat="1">
      <c r="C36" s="5" t="str">
        <f>IF(AND(C31&lt;&gt;"",C31&gt;12),"Over 12 months of cover","")</f>
        <v/>
      </c>
    </row>
  </sheetData>
  <sheetProtection sheet="1" objects="1" scenarios="1"/>
  <conditionalFormatting sqref="C35:C36">
    <cfRule type="notContainsBlanks" dxfId="31" priority="1">
      <formula>LEN(TRIM(C35))&gt;0</formula>
    </cfRule>
  </conditionalFormatting>
  <dataValidations count="1">
    <dataValidation type="list" allowBlank="1" showInputMessage="1" showErrorMessage="1" sqref="C4" xr:uid="{DA97D0FB-5F92-477B-A317-38732AF9786A}">
      <formula1>SKUList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B2A2-DD9B-422E-97E1-4648222872B5}">
  <sheetPr>
    <tabColor rgb="FF2E3A87"/>
  </sheetPr>
  <dimension ref="B2:K40"/>
  <sheetViews>
    <sheetView showGridLines="0" zoomScale="78" zoomScaleNormal="78" workbookViewId="0"/>
  </sheetViews>
  <sheetFormatPr defaultRowHeight="16.5"/>
  <cols>
    <col min="1" max="1" width="8.6640625" style="5"/>
    <col min="2" max="2" width="31.33203125" style="5" customWidth="1"/>
    <col min="3" max="3" width="19.83203125" style="5" customWidth="1"/>
    <col min="4" max="4" width="8.6640625" style="5"/>
    <col min="5" max="5" width="12.33203125" style="5" customWidth="1"/>
    <col min="6" max="9" width="8.6640625" style="5"/>
    <col min="10" max="10" width="28" style="5" bestFit="1" customWidth="1"/>
    <col min="11" max="16384" width="8.6640625" style="5"/>
  </cols>
  <sheetData>
    <row r="2" spans="2:11" ht="29">
      <c r="B2" s="6" t="s">
        <v>2558</v>
      </c>
    </row>
    <row r="3" spans="2:11">
      <c r="B3" s="9" t="s">
        <v>2559</v>
      </c>
    </row>
    <row r="5" spans="2:11">
      <c r="B5" s="19" t="s">
        <v>2573</v>
      </c>
      <c r="J5" s="20" t="s">
        <v>2560</v>
      </c>
    </row>
    <row r="6" spans="2:11" ht="33">
      <c r="B6" s="5" t="s">
        <v>2574</v>
      </c>
      <c r="C6" s="5" t="s">
        <v>2579</v>
      </c>
      <c r="D6" s="21" t="s">
        <v>2580</v>
      </c>
      <c r="E6" s="21" t="s">
        <v>2583</v>
      </c>
      <c r="F6" s="21" t="s">
        <v>2582</v>
      </c>
      <c r="G6" s="21" t="s">
        <v>2581</v>
      </c>
      <c r="H6" s="21" t="s">
        <v>2584</v>
      </c>
      <c r="J6" s="5" t="s">
        <v>2561</v>
      </c>
      <c r="K6" s="35">
        <v>0.1</v>
      </c>
    </row>
    <row r="7" spans="2:11">
      <c r="B7" s="5" t="s">
        <v>2575</v>
      </c>
      <c r="C7" s="34">
        <v>86</v>
      </c>
      <c r="D7" s="7">
        <v>0</v>
      </c>
      <c r="E7" s="7">
        <v>0</v>
      </c>
      <c r="F7" s="7">
        <v>10</v>
      </c>
      <c r="G7" s="7">
        <v>0</v>
      </c>
      <c r="H7" s="7">
        <v>4</v>
      </c>
      <c r="J7" s="5" t="s">
        <v>2562</v>
      </c>
      <c r="K7" s="36">
        <v>789</v>
      </c>
    </row>
    <row r="8" spans="2:11">
      <c r="B8" s="5" t="s">
        <v>2576</v>
      </c>
      <c r="C8" s="34">
        <v>28</v>
      </c>
      <c r="D8" s="7">
        <v>2</v>
      </c>
      <c r="E8" s="7">
        <v>12</v>
      </c>
      <c r="F8" s="7">
        <v>0</v>
      </c>
      <c r="G8" s="7">
        <v>0</v>
      </c>
      <c r="H8" s="7">
        <v>6</v>
      </c>
      <c r="J8" s="5" t="s">
        <v>2563</v>
      </c>
      <c r="K8" s="36">
        <v>744</v>
      </c>
    </row>
    <row r="9" spans="2:11">
      <c r="B9" s="5" t="s">
        <v>2577</v>
      </c>
      <c r="C9" s="34">
        <v>51</v>
      </c>
      <c r="D9" s="7">
        <v>16</v>
      </c>
      <c r="E9" s="7">
        <v>0</v>
      </c>
      <c r="F9" s="7">
        <v>0</v>
      </c>
      <c r="G9" s="7">
        <v>0</v>
      </c>
      <c r="H9" s="7">
        <v>7</v>
      </c>
      <c r="J9" s="5" t="s">
        <v>2564</v>
      </c>
      <c r="K9" s="36">
        <v>569</v>
      </c>
    </row>
    <row r="10" spans="2:11">
      <c r="B10" s="5" t="s">
        <v>44</v>
      </c>
      <c r="C10" s="34">
        <v>25</v>
      </c>
      <c r="D10" s="7">
        <v>0</v>
      </c>
      <c r="E10" s="7">
        <v>10</v>
      </c>
      <c r="F10" s="7">
        <v>0</v>
      </c>
      <c r="G10" s="7">
        <v>24</v>
      </c>
      <c r="H10" s="7">
        <v>5</v>
      </c>
      <c r="J10" s="5" t="s">
        <v>2565</v>
      </c>
      <c r="K10" s="36">
        <v>579</v>
      </c>
    </row>
    <row r="11" spans="2:11">
      <c r="B11" s="5" t="s">
        <v>2578</v>
      </c>
      <c r="C11" s="5">
        <f>SUM(C7:C10)</f>
        <v>190</v>
      </c>
      <c r="J11" s="5" t="s">
        <v>2566</v>
      </c>
      <c r="K11" s="36">
        <v>620000</v>
      </c>
    </row>
    <row r="12" spans="2:11">
      <c r="J12" s="5" t="s">
        <v>2567</v>
      </c>
      <c r="K12" s="36">
        <v>220</v>
      </c>
    </row>
    <row r="13" spans="2:11">
      <c r="B13" s="19" t="s">
        <v>2585</v>
      </c>
      <c r="J13" s="5" t="s">
        <v>2568</v>
      </c>
      <c r="K13" s="36">
        <v>3000</v>
      </c>
    </row>
    <row r="14" spans="2:11">
      <c r="B14" s="5" t="s">
        <v>2586</v>
      </c>
      <c r="C14" s="11">
        <f>SUMPRODUCT($C$7:$C$10,D7:D10)</f>
        <v>872</v>
      </c>
      <c r="D14" s="11"/>
      <c r="J14" s="5" t="s">
        <v>2569</v>
      </c>
      <c r="K14" s="37">
        <v>10</v>
      </c>
    </row>
    <row r="15" spans="2:11">
      <c r="B15" s="5" t="s">
        <v>2587</v>
      </c>
      <c r="C15" s="11">
        <f>SUMPRODUCT($C$7:$C$10,E7:E10)</f>
        <v>586</v>
      </c>
      <c r="D15" s="11"/>
      <c r="J15" s="5" t="s">
        <v>2570</v>
      </c>
      <c r="K15" s="38">
        <v>1.2</v>
      </c>
    </row>
    <row r="16" spans="2:11">
      <c r="B16" s="5" t="s">
        <v>2588</v>
      </c>
      <c r="C16" s="11">
        <f>SUMPRODUCT($C$7:$C$10,F7:F10)</f>
        <v>860</v>
      </c>
      <c r="D16" s="11"/>
      <c r="J16" s="5" t="s">
        <v>2571</v>
      </c>
      <c r="K16" s="36">
        <v>650</v>
      </c>
    </row>
    <row r="17" spans="2:5">
      <c r="B17" s="5" t="s">
        <v>2589</v>
      </c>
      <c r="C17" s="22">
        <f>SUM(C14:C16)</f>
        <v>2318</v>
      </c>
      <c r="D17" s="11"/>
    </row>
    <row r="18" spans="2:5">
      <c r="B18" s="5" t="s">
        <v>2590</v>
      </c>
      <c r="C18" s="22">
        <f>SUMPRODUCT($C$7:$C$10,G7:G10)</f>
        <v>600</v>
      </c>
      <c r="D18" s="11"/>
    </row>
    <row r="19" spans="2:5">
      <c r="C19" s="11"/>
      <c r="D19" s="11"/>
    </row>
    <row r="20" spans="2:5">
      <c r="B20" s="19" t="s">
        <v>2591</v>
      </c>
      <c r="C20" s="11"/>
      <c r="D20" s="11"/>
    </row>
    <row r="21" spans="2:5">
      <c r="B21" s="5" t="s">
        <v>2592</v>
      </c>
      <c r="C21" s="11" t="s">
        <v>2593</v>
      </c>
      <c r="D21" s="11" t="s">
        <v>2594</v>
      </c>
      <c r="E21" s="5" t="s">
        <v>2595</v>
      </c>
    </row>
    <row r="22" spans="2:5">
      <c r="B22" s="5" t="s">
        <v>2588</v>
      </c>
      <c r="C22" s="11">
        <f>C16</f>
        <v>860</v>
      </c>
      <c r="D22" s="22">
        <f>ROUNDUP(K9*(1+K6),0)</f>
        <v>626</v>
      </c>
      <c r="E22" s="23" t="str">
        <f>IF(C22&gt;=D22,"OK","Short by "&amp;TEXT(D22-C22,"#,##0"))</f>
        <v>OK</v>
      </c>
    </row>
    <row r="23" spans="2:5">
      <c r="B23" s="5" t="s">
        <v>2596</v>
      </c>
      <c r="C23" s="11">
        <f>C16+C15</f>
        <v>1446</v>
      </c>
      <c r="D23" s="11">
        <f>ROUNDUP((K9+K8)*(1+K6),0)</f>
        <v>1445</v>
      </c>
      <c r="E23" s="23" t="str">
        <f t="shared" ref="E23:E26" si="0">IF(C23&gt;=D23,"OK","Short by "&amp;TEXT(D23-C23,"#,##0"))</f>
        <v>OK</v>
      </c>
    </row>
    <row r="24" spans="2:5">
      <c r="B24" s="5" t="s">
        <v>2597</v>
      </c>
      <c r="C24" s="11">
        <f>C17</f>
        <v>2318</v>
      </c>
      <c r="D24" s="11">
        <f>ROUNDUP((K7+K8+K9)*(1+K6),0)</f>
        <v>2313</v>
      </c>
      <c r="E24" s="23" t="str">
        <f t="shared" si="0"/>
        <v>OK</v>
      </c>
    </row>
    <row r="25" spans="2:5">
      <c r="B25" s="5" t="s">
        <v>2590</v>
      </c>
      <c r="C25" s="11">
        <f>C18</f>
        <v>600</v>
      </c>
      <c r="D25" s="11">
        <f>K10</f>
        <v>579</v>
      </c>
      <c r="E25" s="23" t="str">
        <f t="shared" si="0"/>
        <v>OK</v>
      </c>
    </row>
    <row r="26" spans="2:5">
      <c r="B26" s="5" t="s">
        <v>2579</v>
      </c>
      <c r="C26" s="11">
        <f>C11</f>
        <v>190</v>
      </c>
      <c r="D26" s="11">
        <v>190</v>
      </c>
      <c r="E26" s="5" t="str">
        <f>IF(C26=D26,"OK","Must total 190")</f>
        <v>OK</v>
      </c>
    </row>
    <row r="28" spans="2:5" ht="25">
      <c r="B28" s="24" t="s">
        <v>2595</v>
      </c>
      <c r="C28" s="25" t="str">
        <f>IF(COUNTIF(E22:E26,"OK")=5,"FEASIBLE","NOT FEASIBLE")</f>
        <v>FEASIBLE</v>
      </c>
    </row>
    <row r="30" spans="2:5">
      <c r="B30" s="19" t="s">
        <v>2598</v>
      </c>
    </row>
    <row r="31" spans="2:5">
      <c r="B31" s="5" t="s">
        <v>2599</v>
      </c>
      <c r="C31" s="17">
        <f>190-C7</f>
        <v>104</v>
      </c>
    </row>
    <row r="32" spans="2:5">
      <c r="B32" s="5" t="s">
        <v>2600</v>
      </c>
      <c r="C32" s="11">
        <f>SUMPRODUCT(C7:C10,H7:H10)-190*H7</f>
        <v>234</v>
      </c>
    </row>
    <row r="33" spans="2:3">
      <c r="B33" s="5" t="s">
        <v>2601</v>
      </c>
      <c r="C33" s="11">
        <f>C32*K12+C10*K13</f>
        <v>126480</v>
      </c>
    </row>
    <row r="34" spans="2:3">
      <c r="B34" s="30" t="s">
        <v>2602</v>
      </c>
      <c r="C34" s="11">
        <f>190*F7</f>
        <v>1900</v>
      </c>
    </row>
    <row r="35" spans="2:3">
      <c r="B35" s="30" t="s">
        <v>2603</v>
      </c>
      <c r="C35" s="11">
        <f>C17+C18/2</f>
        <v>2618</v>
      </c>
    </row>
    <row r="36" spans="2:3">
      <c r="B36" s="5" t="s">
        <v>2604</v>
      </c>
      <c r="C36" s="26">
        <f>C35/C34-1</f>
        <v>0.37789473684210528</v>
      </c>
    </row>
    <row r="37" spans="2:3">
      <c r="B37" s="30" t="s">
        <v>2605</v>
      </c>
      <c r="C37" s="27">
        <f>K11/(C34*365)</f>
        <v>0.89401586157173751</v>
      </c>
    </row>
    <row r="38" spans="2:3">
      <c r="B38" s="30" t="s">
        <v>2606</v>
      </c>
      <c r="C38" s="27">
        <f>(K11+C33/K14)/(C35*365)</f>
        <v>0.66206348043576091</v>
      </c>
    </row>
    <row r="39" spans="2:3" ht="25">
      <c r="B39" s="5" t="s">
        <v>2607</v>
      </c>
      <c r="C39" s="28">
        <f>1-C38/C37</f>
        <v>0.25944996180290292</v>
      </c>
    </row>
    <row r="40" spans="2:3">
      <c r="B40" s="5" t="s">
        <v>2608</v>
      </c>
      <c r="C40" s="29">
        <f>IF(C33=0,0,C33/(K16*K15*365)*12)</f>
        <v>5.3310853530031608</v>
      </c>
    </row>
  </sheetData>
  <sheetProtection sheet="1" objects="1" scenarios="1"/>
  <conditionalFormatting sqref="E22:E26 C28">
    <cfRule type="containsText" dxfId="30" priority="5" operator="containsText" text="OK">
      <formula>NOT(ISERROR(SEARCH("OK",C22)))</formula>
    </cfRule>
    <cfRule type="containsText" dxfId="29" priority="4" operator="containsText" text="Short">
      <formula>NOT(ISERROR(SEARCH("Short",C22)))</formula>
    </cfRule>
  </conditionalFormatting>
  <conditionalFormatting sqref="C28">
    <cfRule type="cellIs" dxfId="26" priority="3" operator="equal">
      <formula>"FEASIBLE"</formula>
    </cfRule>
    <cfRule type="cellIs" dxfId="28" priority="2" operator="equal">
      <formula>"NOT FEASIBLE"</formula>
    </cfRule>
  </conditionalFormatting>
  <conditionalFormatting sqref="E26">
    <cfRule type="containsText" dxfId="27" priority="1" operator="containsText" text="MUST">
      <formula>NOT(ISERROR(SEARCH("MUST",E26)))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EB7AF-1346-43D9-9CAD-C5539A79D278}">
  <sheetPr>
    <tabColor rgb="FF2E3A87"/>
  </sheetPr>
  <dimension ref="B2:H25"/>
  <sheetViews>
    <sheetView showGridLines="0" workbookViewId="0"/>
  </sheetViews>
  <sheetFormatPr defaultRowHeight="16.5"/>
  <cols>
    <col min="1" max="1" width="8.6640625" style="5"/>
    <col min="2" max="2" width="39.33203125" style="5" customWidth="1"/>
    <col min="3" max="3" width="10.75" style="5" bestFit="1" customWidth="1"/>
    <col min="4" max="4" width="13.6640625" style="5" bestFit="1" customWidth="1"/>
    <col min="5" max="5" width="10.5" style="5" bestFit="1" customWidth="1"/>
    <col min="6" max="6" width="13.33203125" style="5" bestFit="1" customWidth="1"/>
    <col min="7" max="7" width="15.08203125" style="5" bestFit="1" customWidth="1"/>
    <col min="8" max="8" width="12.25" style="5" bestFit="1" customWidth="1"/>
    <col min="9" max="16384" width="8.6640625" style="5"/>
  </cols>
  <sheetData>
    <row r="2" spans="2:8" ht="29">
      <c r="B2" s="6" t="s">
        <v>2609</v>
      </c>
    </row>
    <row r="3" spans="2:8">
      <c r="B3" s="9" t="s">
        <v>2610</v>
      </c>
    </row>
    <row r="5" spans="2:8">
      <c r="B5" s="19" t="s">
        <v>2611</v>
      </c>
    </row>
    <row r="6" spans="2:8">
      <c r="B6" s="5" t="s">
        <v>2527</v>
      </c>
      <c r="C6" s="5" t="s">
        <v>2546</v>
      </c>
      <c r="D6" s="5" t="s">
        <v>2537</v>
      </c>
      <c r="E6" s="5" t="s">
        <v>2612</v>
      </c>
      <c r="F6" s="5" t="s">
        <v>2613</v>
      </c>
      <c r="G6" s="5" t="s">
        <v>2532</v>
      </c>
      <c r="H6" s="5" t="s">
        <v>2614</v>
      </c>
    </row>
    <row r="7" spans="2:8">
      <c r="B7" s="5" t="s">
        <v>1264</v>
      </c>
      <c r="C7" s="5">
        <f>COUNTIF(tblSKU[abc_value],B7)</f>
        <v>121</v>
      </c>
      <c r="D7" s="33">
        <v>24</v>
      </c>
      <c r="E7" s="11">
        <f>C7*D7</f>
        <v>2904</v>
      </c>
      <c r="F7" s="16">
        <f>E7/$E$11</f>
        <v>0.70622568093385218</v>
      </c>
      <c r="G7" s="11">
        <f>SUMIFS(tblSKU[stock_value_nzd],tblSKU[abc_value],B7)</f>
        <v>53905910.770000018</v>
      </c>
      <c r="H7" s="16">
        <f>G7/$G$11</f>
        <v>0.74486904642002816</v>
      </c>
    </row>
    <row r="8" spans="2:8">
      <c r="B8" s="5" t="s">
        <v>1258</v>
      </c>
      <c r="C8" s="5">
        <f>COUNTIF(tblSKU[abc_value],B8)</f>
        <v>146</v>
      </c>
      <c r="D8" s="33">
        <v>4</v>
      </c>
      <c r="E8" s="11">
        <f t="shared" ref="E8:E10" si="0">C8*D8</f>
        <v>584</v>
      </c>
      <c r="F8" s="16">
        <f t="shared" ref="F8:F10" si="1">E8/$E$11</f>
        <v>0.14202334630350194</v>
      </c>
      <c r="G8" s="11">
        <f>SUMIFS(tblSKU[stock_value_nzd],tblSKU[abc_value],B8)</f>
        <v>13105287.430000002</v>
      </c>
      <c r="H8" s="16">
        <f t="shared" ref="H8:H10" si="2">G8/$G$11</f>
        <v>0.18108817403521404</v>
      </c>
    </row>
    <row r="9" spans="2:8">
      <c r="B9" s="5" t="s">
        <v>1262</v>
      </c>
      <c r="C9" s="5">
        <f>COUNTIF(tblSKU[abc_value],B9)</f>
        <v>303</v>
      </c>
      <c r="D9" s="33">
        <v>2</v>
      </c>
      <c r="E9" s="11">
        <f t="shared" si="0"/>
        <v>606</v>
      </c>
      <c r="F9" s="16">
        <f t="shared" si="1"/>
        <v>0.14737354085603113</v>
      </c>
      <c r="G9" s="11">
        <f>SUMIFS(tblSKU[stock_value_nzd],tblSKU[abc_value],B9)</f>
        <v>5263538.2499999981</v>
      </c>
      <c r="H9" s="16">
        <f t="shared" si="2"/>
        <v>7.2731295345347918E-2</v>
      </c>
    </row>
    <row r="10" spans="2:8">
      <c r="B10" s="5" t="s">
        <v>1260</v>
      </c>
      <c r="C10" s="5">
        <f>COUNTIF(tblSKU[abc_value],B10)</f>
        <v>18</v>
      </c>
      <c r="D10" s="33">
        <v>1</v>
      </c>
      <c r="E10" s="11">
        <f t="shared" si="0"/>
        <v>18</v>
      </c>
      <c r="F10" s="16">
        <f t="shared" si="1"/>
        <v>4.3774319066147861E-3</v>
      </c>
      <c r="G10" s="11">
        <f>SUMIFS(tblSKU[stock_value_nzd],tblSKU[abc_value],B10)</f>
        <v>94911.65</v>
      </c>
      <c r="H10" s="16">
        <f t="shared" si="2"/>
        <v>1.3114841994098347E-3</v>
      </c>
    </row>
    <row r="11" spans="2:8">
      <c r="B11" s="5" t="s">
        <v>2578</v>
      </c>
      <c r="C11" s="11">
        <f>SUM(C7:C10)</f>
        <v>588</v>
      </c>
      <c r="D11" s="11"/>
      <c r="E11" s="11">
        <f>SUM(E7:E10)</f>
        <v>4112</v>
      </c>
      <c r="F11" s="16">
        <f>SUM(F7:F10)</f>
        <v>1.0000000000000002</v>
      </c>
      <c r="G11" s="11">
        <f>SUM(G7:G10)</f>
        <v>72369648.100000024</v>
      </c>
      <c r="H11" s="16">
        <f>SUM(H7:H10)</f>
        <v>1</v>
      </c>
    </row>
    <row r="13" spans="2:8">
      <c r="B13" s="19" t="s">
        <v>2615</v>
      </c>
    </row>
    <row r="14" spans="2:8">
      <c r="B14" s="5" t="s">
        <v>2620</v>
      </c>
      <c r="C14" s="33">
        <v>50</v>
      </c>
    </row>
    <row r="15" spans="2:8">
      <c r="B15" s="5" t="s">
        <v>2625</v>
      </c>
      <c r="C15" s="33">
        <v>5</v>
      </c>
    </row>
    <row r="16" spans="2:8">
      <c r="B16" s="5" t="s">
        <v>2616</v>
      </c>
      <c r="C16" s="33">
        <v>6</v>
      </c>
    </row>
    <row r="17" spans="2:3">
      <c r="B17" s="5" t="s">
        <v>2537</v>
      </c>
      <c r="C17" s="11">
        <f>SUMPRODUCT(C7:C10,D7:D10)</f>
        <v>4112</v>
      </c>
    </row>
    <row r="18" spans="2:3">
      <c r="B18" s="5" t="s">
        <v>2617</v>
      </c>
      <c r="C18" s="29">
        <f>C17/C14</f>
        <v>82.24</v>
      </c>
    </row>
    <row r="19" spans="2:3">
      <c r="B19" s="5" t="s">
        <v>2618</v>
      </c>
      <c r="C19" s="29">
        <f>C18/C15</f>
        <v>16.448</v>
      </c>
    </row>
    <row r="20" spans="2:3">
      <c r="B20" s="5" t="s">
        <v>2619</v>
      </c>
      <c r="C20" s="29">
        <f>C19*C16/60</f>
        <v>1.6448</v>
      </c>
    </row>
    <row r="22" spans="2:3">
      <c r="B22" s="19" t="s">
        <v>2621</v>
      </c>
    </row>
    <row r="23" spans="2:3">
      <c r="B23" s="5" t="s">
        <v>2622</v>
      </c>
      <c r="C23" s="11">
        <f>COUNTA(tblSKU[sku])*12</f>
        <v>7056</v>
      </c>
    </row>
    <row r="24" spans="2:3" ht="25">
      <c r="B24" s="5" t="s">
        <v>2623</v>
      </c>
      <c r="C24" s="31">
        <f>1-C17/C23</f>
        <v>0.41723356009070289</v>
      </c>
    </row>
    <row r="25" spans="2:3">
      <c r="B25" s="5" t="s">
        <v>2624</v>
      </c>
      <c r="C25" s="16">
        <f>SUMIFS(H7:H10,D7:D10,"&gt;=12")</f>
        <v>0.74486904642002816</v>
      </c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2728-3F17-4133-B56C-0B5326F1BF5C}">
  <sheetPr>
    <tabColor rgb="FF2E3A87"/>
  </sheetPr>
  <dimension ref="B2:B17"/>
  <sheetViews>
    <sheetView showGridLines="0" workbookViewId="0"/>
  </sheetViews>
  <sheetFormatPr defaultRowHeight="16.5"/>
  <cols>
    <col min="1" max="1" width="8.6640625" style="5"/>
    <col min="2" max="2" width="75.83203125" style="5" customWidth="1"/>
    <col min="3" max="16384" width="8.6640625" style="5"/>
  </cols>
  <sheetData>
    <row r="2" spans="2:2" ht="29">
      <c r="B2" s="6" t="s">
        <v>2626</v>
      </c>
    </row>
    <row r="4" spans="2:2" ht="33">
      <c r="B4" s="21" t="s">
        <v>2627</v>
      </c>
    </row>
    <row r="6" spans="2:2">
      <c r="B6" s="20" t="s">
        <v>2628</v>
      </c>
    </row>
    <row r="7" spans="2:2">
      <c r="B7" s="5" t="s">
        <v>2629</v>
      </c>
    </row>
    <row r="8" spans="2:2">
      <c r="B8" s="5" t="s">
        <v>2630</v>
      </c>
    </row>
    <row r="9" spans="2:2">
      <c r="B9" s="5" t="s">
        <v>2631</v>
      </c>
    </row>
    <row r="10" spans="2:2">
      <c r="B10" s="5" t="s">
        <v>2632</v>
      </c>
    </row>
    <row r="12" spans="2:2">
      <c r="B12" s="20" t="s">
        <v>2633</v>
      </c>
    </row>
    <row r="13" spans="2:2" ht="33">
      <c r="B13" s="21" t="s">
        <v>2634</v>
      </c>
    </row>
    <row r="14" spans="2:2">
      <c r="B14" s="5" t="s">
        <v>2635</v>
      </c>
    </row>
    <row r="17" spans="2:2">
      <c r="B17" s="5" t="s">
        <v>2636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3FD02-F853-4DB2-A39C-7FF9934B6589}">
  <sheetPr>
    <tabColor theme="2" tint="-0.499984740745262"/>
  </sheetPr>
  <dimension ref="A1:AL589"/>
  <sheetViews>
    <sheetView workbookViewId="0"/>
  </sheetViews>
  <sheetFormatPr defaultRowHeight="16.5"/>
  <cols>
    <col min="1" max="1" width="8.08203125" bestFit="1" customWidth="1"/>
    <col min="2" max="2" width="43.58203125" bestFit="1" customWidth="1"/>
    <col min="3" max="3" width="21.08203125" bestFit="1" customWidth="1"/>
    <col min="4" max="4" width="10.6640625" bestFit="1" customWidth="1"/>
    <col min="5" max="5" width="16" bestFit="1" customWidth="1"/>
    <col min="6" max="6" width="18.58203125" bestFit="1" customWidth="1"/>
    <col min="7" max="7" width="15.5" bestFit="1" customWidth="1"/>
    <col min="8" max="8" width="16.5" bestFit="1" customWidth="1"/>
    <col min="9" max="9" width="15.9140625" bestFit="1" customWidth="1"/>
    <col min="10" max="10" width="16.5" bestFit="1" customWidth="1"/>
    <col min="11" max="11" width="11.75" bestFit="1" customWidth="1"/>
    <col min="12" max="12" width="16.5" bestFit="1" customWidth="1"/>
    <col min="13" max="13" width="14.6640625" bestFit="1" customWidth="1"/>
    <col min="14" max="14" width="4.25" bestFit="1" customWidth="1"/>
    <col min="15" max="15" width="4.58203125" bestFit="1" customWidth="1"/>
    <col min="16" max="16" width="17" bestFit="1" customWidth="1"/>
    <col min="17" max="18" width="17.6640625" bestFit="1" customWidth="1"/>
    <col min="19" max="19" width="12.4140625" bestFit="1" customWidth="1"/>
    <col min="20" max="20" width="6.9140625" bestFit="1" customWidth="1"/>
    <col min="21" max="21" width="7.25" bestFit="1" customWidth="1"/>
    <col min="22" max="22" width="16.5" bestFit="1" customWidth="1"/>
    <col min="23" max="23" width="13.58203125" bestFit="1" customWidth="1"/>
    <col min="24" max="24" width="11.4140625" bestFit="1" customWidth="1"/>
    <col min="25" max="25" width="14.5" bestFit="1" customWidth="1"/>
    <col min="26" max="26" width="17.75" bestFit="1" customWidth="1"/>
    <col min="27" max="27" width="16.5" bestFit="1" customWidth="1"/>
    <col min="28" max="28" width="14.5" bestFit="1" customWidth="1"/>
    <col min="29" max="29" width="10.9140625" bestFit="1" customWidth="1"/>
    <col min="30" max="30" width="15.08203125" bestFit="1" customWidth="1"/>
    <col min="31" max="31" width="17" bestFit="1" customWidth="1"/>
    <col min="32" max="32" width="9.75" bestFit="1" customWidth="1"/>
    <col min="33" max="33" width="15.08203125" bestFit="1" customWidth="1"/>
    <col min="34" max="34" width="16.9140625" style="3" bestFit="1" customWidth="1"/>
    <col min="35" max="35" width="12.08203125" style="4" bestFit="1" customWidth="1"/>
    <col min="36" max="36" width="15.33203125" bestFit="1" customWidth="1"/>
    <col min="37" max="37" width="18.9140625" style="3" bestFit="1" customWidth="1"/>
    <col min="38" max="38" width="22.4140625" style="3" bestFit="1" customWidth="1"/>
  </cols>
  <sheetData>
    <row r="1" spans="1:38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1246</v>
      </c>
      <c r="U1" t="s">
        <v>1247</v>
      </c>
      <c r="V1" t="s">
        <v>1248</v>
      </c>
      <c r="W1" t="s">
        <v>1249</v>
      </c>
      <c r="X1" t="s">
        <v>1250</v>
      </c>
      <c r="Y1" t="s">
        <v>1251</v>
      </c>
      <c r="Z1" t="s">
        <v>1252</v>
      </c>
      <c r="AA1" t="s">
        <v>1253</v>
      </c>
      <c r="AB1" t="s">
        <v>1254</v>
      </c>
      <c r="AC1" t="s">
        <v>1255</v>
      </c>
      <c r="AD1" t="s">
        <v>1256</v>
      </c>
      <c r="AE1" t="s">
        <v>1257</v>
      </c>
      <c r="AF1" t="s">
        <v>2501</v>
      </c>
      <c r="AG1" t="s">
        <v>2502</v>
      </c>
      <c r="AH1" s="3" t="s">
        <v>2503</v>
      </c>
      <c r="AI1" s="4" t="s">
        <v>2504</v>
      </c>
      <c r="AJ1" t="s">
        <v>2505</v>
      </c>
      <c r="AK1" s="3" t="s">
        <v>2506</v>
      </c>
      <c r="AL1" s="3" t="s">
        <v>2507</v>
      </c>
    </row>
    <row r="2" spans="1:38">
      <c r="A2" s="1" t="s">
        <v>33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>
        <v>120</v>
      </c>
      <c r="H2">
        <v>59.6</v>
      </c>
      <c r="I2">
        <v>35.1</v>
      </c>
      <c r="J2">
        <v>23.8</v>
      </c>
      <c r="K2">
        <v>4.9790000000000001E-2</v>
      </c>
      <c r="L2">
        <v>8.9700000000000006</v>
      </c>
      <c r="M2">
        <v>13.84</v>
      </c>
      <c r="N2">
        <v>4</v>
      </c>
      <c r="O2">
        <v>6</v>
      </c>
      <c r="P2">
        <v>24</v>
      </c>
      <c r="Q2">
        <v>157.80000000000001</v>
      </c>
      <c r="R2">
        <v>240.28000000000003</v>
      </c>
      <c r="S2">
        <v>1.19496</v>
      </c>
      <c r="T2">
        <v>54</v>
      </c>
      <c r="U2">
        <v>3765</v>
      </c>
      <c r="V2">
        <v>52107.6</v>
      </c>
      <c r="W2" s="1" t="s">
        <v>1258</v>
      </c>
      <c r="X2" s="1" t="s">
        <v>1258</v>
      </c>
      <c r="Y2">
        <v>0.63529411764705879</v>
      </c>
      <c r="Z2">
        <v>7.6899509803921573E-2</v>
      </c>
      <c r="AA2" s="1" t="s">
        <v>1259</v>
      </c>
      <c r="AB2">
        <v>0</v>
      </c>
      <c r="AC2">
        <v>1</v>
      </c>
      <c r="AD2" s="1">
        <v>6.5104913678618859</v>
      </c>
      <c r="AE2">
        <v>4</v>
      </c>
      <c r="AF2">
        <f>COUNTIFS(tblStock[sku],tblSKU[[#This Row],[sku]])</f>
        <v>1</v>
      </c>
      <c r="AG2" cm="1">
        <f t="array" ref="AG2">SUM(SUMIFS(tblStock[qty_units],tblStock[sku],tblSKU[[#This Row],[sku]],tblStock[stock_type],{"Saleable","FOC"}))</f>
        <v>6128</v>
      </c>
      <c r="AH2" s="3">
        <f>SUMIFS(tblStock[value_nzd],tblStock[sku],tblSKU[[#This Row],[sku]])</f>
        <v>84811.520000000004</v>
      </c>
      <c r="AI2" s="4">
        <f>SUMIFS(tblStock[cbm],tblStock[sku],tblSKU[[#This Row],[sku]])</f>
        <v>2.5426093333333335</v>
      </c>
      <c r="AJ2">
        <f>SUMIFS(tblStock[positions],tblStock[sku],tblSKU[[#This Row],[sku]])</f>
        <v>3</v>
      </c>
      <c r="AK2" s="3">
        <f>SUMIFS(tblStock[value_nzd],tblStock[sku],tblSKU[[#This Row],[sku]],tblStock[stock_type],"Expired")</f>
        <v>0</v>
      </c>
      <c r="AL2" s="3" cm="1">
        <f t="array" ref="AL2">SUM(SUMIFS(tblStock[value_nzd],tblStock[sku],tblSKU[[#This Row],[sku]],tblStock[stock_type],{"Saleable","FOC"},tblStock[expiry_date],"&lt;"&amp;EDATE(SnapshotDate,6)))</f>
        <v>0</v>
      </c>
    </row>
    <row r="3" spans="1:38">
      <c r="A3" s="1" t="s">
        <v>41</v>
      </c>
      <c r="B3" s="1" t="s">
        <v>42</v>
      </c>
      <c r="C3" s="1" t="s">
        <v>43</v>
      </c>
      <c r="D3" s="1" t="s">
        <v>37</v>
      </c>
      <c r="E3" s="1" t="s">
        <v>38</v>
      </c>
      <c r="F3" s="1" t="s">
        <v>39</v>
      </c>
      <c r="G3">
        <v>120</v>
      </c>
      <c r="H3">
        <v>30.5</v>
      </c>
      <c r="I3">
        <v>42.5</v>
      </c>
      <c r="J3">
        <v>25.8</v>
      </c>
      <c r="K3">
        <v>3.3439999999999998E-2</v>
      </c>
      <c r="L3">
        <v>8.7200000000000006</v>
      </c>
      <c r="M3">
        <v>11.92</v>
      </c>
      <c r="N3">
        <v>6</v>
      </c>
      <c r="O3">
        <v>5</v>
      </c>
      <c r="P3">
        <v>30</v>
      </c>
      <c r="Q3">
        <v>144</v>
      </c>
      <c r="R3">
        <v>286.60000000000002</v>
      </c>
      <c r="S3">
        <v>1.0031999999999999</v>
      </c>
      <c r="T3">
        <v>0</v>
      </c>
      <c r="U3">
        <v>0</v>
      </c>
      <c r="V3">
        <v>0</v>
      </c>
      <c r="W3" s="1" t="s">
        <v>1260</v>
      </c>
      <c r="X3" s="1" t="s">
        <v>1260</v>
      </c>
      <c r="Y3">
        <v>0</v>
      </c>
      <c r="Z3">
        <v>0</v>
      </c>
      <c r="AA3" s="1" t="s">
        <v>1261</v>
      </c>
      <c r="AB3">
        <v>0</v>
      </c>
      <c r="AC3">
        <v>0</v>
      </c>
      <c r="AD3" s="1"/>
      <c r="AE3">
        <v>1</v>
      </c>
      <c r="AF3">
        <f>COUNTIFS(tblStock[sku],tblSKU[[#This Row],[sku]])</f>
        <v>3</v>
      </c>
      <c r="AG3" cm="1">
        <f t="array" ref="AG3">SUM(SUMIFS(tblStock[qty_units],tblStock[sku],tblSKU[[#This Row],[sku]],tblStock[stock_type],{"Saleable","FOC"}))</f>
        <v>359</v>
      </c>
      <c r="AH3" s="3">
        <f>SUMIFS(tblStock[value_nzd],tblStock[sku],tblSKU[[#This Row],[sku]])</f>
        <v>4362.7199999999993</v>
      </c>
      <c r="AI3" s="4">
        <f>SUMIFS(tblStock[cbm],tblStock[sku],tblSKU[[#This Row],[sku]])</f>
        <v>0.101992</v>
      </c>
      <c r="AJ3" s="1">
        <f>SUMIFS(tblStock[positions],tblStock[sku],tblSKU[[#This Row],[sku]])</f>
        <v>0</v>
      </c>
      <c r="AK3" s="3">
        <f>SUMIFS(tblStock[value_nzd],tblStock[sku],tblSKU[[#This Row],[sku]],tblStock[stock_type],"Expired")</f>
        <v>0</v>
      </c>
      <c r="AL3" s="3" cm="1">
        <f t="array" ref="AL3">SUM(SUMIFS(tblStock[value_nzd],tblStock[sku],tblSKU[[#This Row],[sku]],tblStock[stock_type],{"Saleable","FOC"},tblStock[expiry_date],"&lt;"&amp;EDATE(SnapshotDate,6)))</f>
        <v>0</v>
      </c>
    </row>
    <row r="4" spans="1:38">
      <c r="A4" s="1" t="s">
        <v>46</v>
      </c>
      <c r="B4" s="1" t="s">
        <v>47</v>
      </c>
      <c r="C4" s="1" t="s">
        <v>48</v>
      </c>
      <c r="D4" s="1" t="s">
        <v>37</v>
      </c>
      <c r="E4" s="1" t="s">
        <v>38</v>
      </c>
      <c r="F4" s="1" t="s">
        <v>39</v>
      </c>
      <c r="G4">
        <v>240</v>
      </c>
      <c r="H4">
        <v>47.7</v>
      </c>
      <c r="I4">
        <v>25.2</v>
      </c>
      <c r="J4">
        <v>17.2</v>
      </c>
      <c r="K4">
        <v>2.068E-2</v>
      </c>
      <c r="L4">
        <v>5.45</v>
      </c>
      <c r="M4">
        <v>5.93</v>
      </c>
      <c r="N4">
        <v>8</v>
      </c>
      <c r="O4">
        <v>5</v>
      </c>
      <c r="P4">
        <v>40</v>
      </c>
      <c r="Q4">
        <v>101</v>
      </c>
      <c r="R4">
        <v>243</v>
      </c>
      <c r="S4">
        <v>0.82720000000000005</v>
      </c>
      <c r="T4">
        <v>9</v>
      </c>
      <c r="U4">
        <v>226</v>
      </c>
      <c r="V4">
        <v>1340.1799999999998</v>
      </c>
      <c r="W4" s="1" t="s">
        <v>1262</v>
      </c>
      <c r="X4" s="1" t="s">
        <v>1262</v>
      </c>
      <c r="Y4">
        <v>0.10588235294117647</v>
      </c>
      <c r="Z4">
        <v>1.3848039215686274E-3</v>
      </c>
      <c r="AA4" s="1" t="s">
        <v>1263</v>
      </c>
      <c r="AB4">
        <v>0</v>
      </c>
      <c r="AC4">
        <v>0</v>
      </c>
      <c r="AD4" s="1">
        <v>28.79646017699115</v>
      </c>
      <c r="AE4">
        <v>2</v>
      </c>
      <c r="AF4">
        <f>COUNTIFS(tblStock[sku],tblSKU[[#This Row],[sku]])</f>
        <v>2</v>
      </c>
      <c r="AG4" cm="1">
        <f t="array" ref="AG4">SUM(SUMIFS(tblStock[qty_units],tblStock[sku],tblSKU[[#This Row],[sku]],tblStock[stock_type],{"Saleable","FOC"}))</f>
        <v>1627</v>
      </c>
      <c r="AH4" s="3">
        <f>SUMIFS(tblStock[value_nzd],tblStock[sku],tblSKU[[#This Row],[sku]])</f>
        <v>9648.11</v>
      </c>
      <c r="AI4" s="4">
        <f>SUMIFS(tblStock[cbm],tblStock[sku],tblSKU[[#This Row],[sku]])</f>
        <v>0.14019316666666667</v>
      </c>
      <c r="AJ4" s="1">
        <f>SUMIFS(tblStock[positions],tblStock[sku],tblSKU[[#This Row],[sku]])</f>
        <v>0</v>
      </c>
      <c r="AK4" s="3">
        <f>SUMIFS(tblStock[value_nzd],tblStock[sku],tblSKU[[#This Row],[sku]],tblStock[stock_type],"Expired")</f>
        <v>0</v>
      </c>
      <c r="AL4" s="3" cm="1">
        <f t="array" ref="AL4">SUM(SUMIFS(tblStock[value_nzd],tblStock[sku],tblSKU[[#This Row],[sku]],tblStock[stock_type],{"Saleable","FOC"},tblStock[expiry_date],"&lt;"&amp;EDATE(SnapshotDate,6)))</f>
        <v>9191.5</v>
      </c>
    </row>
    <row r="5" spans="1:38">
      <c r="A5" s="1" t="s">
        <v>50</v>
      </c>
      <c r="B5" s="1" t="s">
        <v>51</v>
      </c>
      <c r="C5" s="1" t="s">
        <v>52</v>
      </c>
      <c r="D5" s="1" t="s">
        <v>37</v>
      </c>
      <c r="E5" s="1" t="s">
        <v>38</v>
      </c>
      <c r="F5" s="1" t="s">
        <v>39</v>
      </c>
      <c r="G5">
        <v>100</v>
      </c>
      <c r="H5">
        <v>33.5</v>
      </c>
      <c r="I5">
        <v>38.9</v>
      </c>
      <c r="J5">
        <v>32.799999999999997</v>
      </c>
      <c r="K5">
        <v>4.274E-2</v>
      </c>
      <c r="L5">
        <v>9.76</v>
      </c>
      <c r="M5">
        <v>19.809999999999999</v>
      </c>
      <c r="N5">
        <v>4</v>
      </c>
      <c r="O5">
        <v>2</v>
      </c>
      <c r="P5">
        <v>8</v>
      </c>
      <c r="Q5">
        <v>80.599999999999994</v>
      </c>
      <c r="R5">
        <v>103.08</v>
      </c>
      <c r="S5">
        <v>0.34192</v>
      </c>
      <c r="T5">
        <v>189</v>
      </c>
      <c r="U5">
        <v>12225</v>
      </c>
      <c r="V5">
        <v>242177.24999999997</v>
      </c>
      <c r="W5" s="1" t="s">
        <v>1264</v>
      </c>
      <c r="X5" s="1" t="s">
        <v>1264</v>
      </c>
      <c r="Y5">
        <v>2.223529411764706</v>
      </c>
      <c r="Z5">
        <v>0.89889705882352944</v>
      </c>
      <c r="AA5" s="1" t="s">
        <v>1265</v>
      </c>
      <c r="AB5">
        <v>1</v>
      </c>
      <c r="AC5">
        <v>0</v>
      </c>
      <c r="AD5" s="1">
        <v>3.0550511247443763</v>
      </c>
      <c r="AE5">
        <v>12</v>
      </c>
      <c r="AF5">
        <f>COUNTIFS(tblStock[sku],tblSKU[[#This Row],[sku]])</f>
        <v>2</v>
      </c>
      <c r="AG5" cm="1">
        <f t="array" ref="AG5">SUM(SUMIFS(tblStock[qty_units],tblStock[sku],tblSKU[[#This Row],[sku]],tblStock[stock_type],{"Saleable","FOC"}))</f>
        <v>9337</v>
      </c>
      <c r="AH5" s="3">
        <f>SUMIFS(tblStock[value_nzd],tblStock[sku],tblSKU[[#This Row],[sku]])</f>
        <v>184965.96999999997</v>
      </c>
      <c r="AI5" s="4">
        <f>SUMIFS(tblStock[cbm],tblStock[sku],tblSKU[[#This Row],[sku]])</f>
        <v>3.9906337999999999</v>
      </c>
      <c r="AJ5" s="1">
        <f>SUMIFS(tblStock[positions],tblStock[sku],tblSKU[[#This Row],[sku]])</f>
        <v>13</v>
      </c>
      <c r="AK5" s="3">
        <f>SUMIFS(tblStock[value_nzd],tblStock[sku],tblSKU[[#This Row],[sku]],tblStock[stock_type],"Expired")</f>
        <v>0</v>
      </c>
      <c r="AL5" s="3" cm="1">
        <f t="array" ref="AL5">SUM(SUMIFS(tblStock[value_nzd],tblStock[sku],tblSKU[[#This Row],[sku]],tblStock[stock_type],{"Saleable","FOC"},tblStock[expiry_date],"&lt;"&amp;EDATE(SnapshotDate,6)))</f>
        <v>85143.37999999999</v>
      </c>
    </row>
    <row r="6" spans="1:38">
      <c r="A6" s="1" t="s">
        <v>53</v>
      </c>
      <c r="B6" s="1" t="s">
        <v>54</v>
      </c>
      <c r="C6" s="1" t="s">
        <v>48</v>
      </c>
      <c r="D6" s="1" t="s">
        <v>37</v>
      </c>
      <c r="E6" s="1" t="s">
        <v>38</v>
      </c>
      <c r="F6" s="1" t="s">
        <v>39</v>
      </c>
      <c r="G6">
        <v>240</v>
      </c>
      <c r="H6">
        <v>42.5</v>
      </c>
      <c r="I6">
        <v>32.1</v>
      </c>
      <c r="J6">
        <v>33.200000000000003</v>
      </c>
      <c r="K6">
        <v>4.5289999999999997E-2</v>
      </c>
      <c r="L6">
        <v>10.17</v>
      </c>
      <c r="M6">
        <v>4.58</v>
      </c>
      <c r="N6">
        <v>6</v>
      </c>
      <c r="O6">
        <v>2</v>
      </c>
      <c r="P6">
        <v>12</v>
      </c>
      <c r="Q6">
        <v>81.400000000000006</v>
      </c>
      <c r="R6">
        <v>147.04</v>
      </c>
      <c r="S6">
        <v>0.54347999999999996</v>
      </c>
      <c r="T6">
        <v>2</v>
      </c>
      <c r="U6">
        <v>14</v>
      </c>
      <c r="V6">
        <v>64.12</v>
      </c>
      <c r="W6" s="1" t="s">
        <v>1262</v>
      </c>
      <c r="X6" s="1" t="s">
        <v>1262</v>
      </c>
      <c r="Y6">
        <v>2.3529411764705882E-2</v>
      </c>
      <c r="Z6">
        <v>2.8594771241830067E-4</v>
      </c>
      <c r="AA6" s="1" t="s">
        <v>1263</v>
      </c>
      <c r="AB6">
        <v>0</v>
      </c>
      <c r="AC6">
        <v>0</v>
      </c>
      <c r="AD6" s="1">
        <v>10.857142857142858</v>
      </c>
      <c r="AE6">
        <v>2</v>
      </c>
      <c r="AF6">
        <f>COUNTIFS(tblStock[sku],tblSKU[[#This Row],[sku]])</f>
        <v>4</v>
      </c>
      <c r="AG6" cm="1">
        <f t="array" ref="AG6">SUM(SUMIFS(tblStock[qty_units],tblStock[sku],tblSKU[[#This Row],[sku]],tblStock[stock_type],{"Saleable","FOC"}))</f>
        <v>38</v>
      </c>
      <c r="AH6" s="3">
        <f>SUMIFS(tblStock[value_nzd],tblStock[sku],tblSKU[[#This Row],[sku]])</f>
        <v>174.04000000000002</v>
      </c>
      <c r="AI6" s="4">
        <f>SUMIFS(tblStock[cbm],tblStock[sku],tblSKU[[#This Row],[sku]])</f>
        <v>7.1709166666666666E-3</v>
      </c>
      <c r="AJ6" s="1">
        <f>SUMIFS(tblStock[positions],tblStock[sku],tblSKU[[#This Row],[sku]])</f>
        <v>0</v>
      </c>
      <c r="AK6" s="3">
        <f>SUMIFS(tblStock[value_nzd],tblStock[sku],tblSKU[[#This Row],[sku]],tblStock[stock_type],"Expired")</f>
        <v>0</v>
      </c>
      <c r="AL6" s="3" cm="1">
        <f t="array" ref="AL6">SUM(SUMIFS(tblStock[value_nzd],tblStock[sku],tblSKU[[#This Row],[sku]],tblStock[stock_type],{"Saleable","FOC"},tblStock[expiry_date],"&lt;"&amp;EDATE(SnapshotDate,6)))</f>
        <v>4.58</v>
      </c>
    </row>
    <row r="7" spans="1:38">
      <c r="A7" s="1" t="s">
        <v>55</v>
      </c>
      <c r="B7" s="1" t="s">
        <v>56</v>
      </c>
      <c r="C7" s="1" t="s">
        <v>36</v>
      </c>
      <c r="D7" s="1" t="s">
        <v>37</v>
      </c>
      <c r="E7" s="1" t="s">
        <v>38</v>
      </c>
      <c r="F7" s="1" t="s">
        <v>39</v>
      </c>
      <c r="G7">
        <v>240</v>
      </c>
      <c r="H7">
        <v>33.799999999999997</v>
      </c>
      <c r="I7">
        <v>35.200000000000003</v>
      </c>
      <c r="J7">
        <v>29.2</v>
      </c>
      <c r="K7">
        <v>3.474E-2</v>
      </c>
      <c r="L7">
        <v>7.99</v>
      </c>
      <c r="M7">
        <v>6.36</v>
      </c>
      <c r="N7">
        <v>6</v>
      </c>
      <c r="O7">
        <v>5</v>
      </c>
      <c r="P7">
        <v>30</v>
      </c>
      <c r="Q7">
        <v>161</v>
      </c>
      <c r="R7">
        <v>264.70000000000005</v>
      </c>
      <c r="S7">
        <v>1.0422</v>
      </c>
      <c r="T7">
        <v>1</v>
      </c>
      <c r="U7">
        <v>170</v>
      </c>
      <c r="V7">
        <v>1081.2</v>
      </c>
      <c r="W7" s="1" t="s">
        <v>1262</v>
      </c>
      <c r="X7" s="1" t="s">
        <v>1262</v>
      </c>
      <c r="Y7">
        <v>1.1764705882352941E-2</v>
      </c>
      <c r="Z7">
        <v>1.3888888888888887E-3</v>
      </c>
      <c r="AA7" s="1" t="s">
        <v>1263</v>
      </c>
      <c r="AB7">
        <v>0</v>
      </c>
      <c r="AC7">
        <v>0</v>
      </c>
      <c r="AD7" s="1">
        <v>5.6705882352941179</v>
      </c>
      <c r="AE7">
        <v>2</v>
      </c>
      <c r="AF7">
        <f>COUNTIFS(tblStock[sku],tblSKU[[#This Row],[sku]])</f>
        <v>2</v>
      </c>
      <c r="AG7" cm="1">
        <f t="array" ref="AG7">SUM(SUMIFS(tblStock[qty_units],tblStock[sku],tblSKU[[#This Row],[sku]],tblStock[stock_type],{"Saleable","FOC"}))</f>
        <v>241</v>
      </c>
      <c r="AH7" s="3">
        <f>SUMIFS(tblStock[value_nzd],tblStock[sku],tblSKU[[#This Row],[sku]])</f>
        <v>1532.7600000000002</v>
      </c>
      <c r="AI7" s="4">
        <f>SUMIFS(tblStock[cbm],tblStock[sku],tblSKU[[#This Row],[sku]])</f>
        <v>3.4884749999999999E-2</v>
      </c>
      <c r="AJ7" s="1">
        <f>SUMIFS(tblStock[positions],tblStock[sku],tblSKU[[#This Row],[sku]])</f>
        <v>0</v>
      </c>
      <c r="AK7" s="3">
        <f>SUMIFS(tblStock[value_nzd],tblStock[sku],tblSKU[[#This Row],[sku]],tblStock[stock_type],"Expired")</f>
        <v>0</v>
      </c>
      <c r="AL7" s="3" cm="1">
        <f t="array" ref="AL7">SUM(SUMIFS(tblStock[value_nzd],tblStock[sku],tblSKU[[#This Row],[sku]],tblStock[stock_type],{"Saleable","FOC"},tblStock[expiry_date],"&lt;"&amp;EDATE(SnapshotDate,6)))</f>
        <v>1481.88</v>
      </c>
    </row>
    <row r="8" spans="1:38">
      <c r="A8" s="1" t="s">
        <v>57</v>
      </c>
      <c r="B8" s="1" t="s">
        <v>58</v>
      </c>
      <c r="C8" s="1" t="s">
        <v>48</v>
      </c>
      <c r="D8" s="1" t="s">
        <v>37</v>
      </c>
      <c r="E8" s="1" t="s">
        <v>38</v>
      </c>
      <c r="F8" s="1" t="s">
        <v>39</v>
      </c>
      <c r="G8">
        <v>60</v>
      </c>
      <c r="H8">
        <v>39.6</v>
      </c>
      <c r="I8">
        <v>36.299999999999997</v>
      </c>
      <c r="J8">
        <v>22.8</v>
      </c>
      <c r="K8">
        <v>3.2770000000000001E-2</v>
      </c>
      <c r="L8">
        <v>5.82</v>
      </c>
      <c r="M8">
        <v>21.36</v>
      </c>
      <c r="N8">
        <v>5</v>
      </c>
      <c r="O8">
        <v>4</v>
      </c>
      <c r="P8">
        <v>20</v>
      </c>
      <c r="Q8">
        <v>106.2</v>
      </c>
      <c r="R8">
        <v>141.4</v>
      </c>
      <c r="S8">
        <v>0.65539999999999998</v>
      </c>
      <c r="T8">
        <v>46</v>
      </c>
      <c r="U8">
        <v>2250</v>
      </c>
      <c r="V8">
        <v>48060</v>
      </c>
      <c r="W8" s="1" t="s">
        <v>1258</v>
      </c>
      <c r="X8" s="1" t="s">
        <v>1258</v>
      </c>
      <c r="Y8">
        <v>0.54117647058823526</v>
      </c>
      <c r="Z8">
        <v>0.11029411764705883</v>
      </c>
      <c r="AA8" s="1" t="s">
        <v>1259</v>
      </c>
      <c r="AB8">
        <v>0</v>
      </c>
      <c r="AC8">
        <v>1</v>
      </c>
      <c r="AD8" s="1">
        <v>8.4764444444444447</v>
      </c>
      <c r="AE8">
        <v>4</v>
      </c>
      <c r="AF8">
        <f>COUNTIFS(tblStock[sku],tblSKU[[#This Row],[sku]])</f>
        <v>1</v>
      </c>
      <c r="AG8" cm="1">
        <f t="array" ref="AG8">SUM(SUMIFS(tblStock[qty_units],tblStock[sku],tblSKU[[#This Row],[sku]],tblStock[stock_type],{"Saleable","FOC"}))</f>
        <v>4768</v>
      </c>
      <c r="AH8" s="3">
        <f>SUMIFS(tblStock[value_nzd],tblStock[sku],tblSKU[[#This Row],[sku]])</f>
        <v>101844.48</v>
      </c>
      <c r="AI8" s="4">
        <f>SUMIFS(tblStock[cbm],tblStock[sku],tblSKU[[#This Row],[sku]])</f>
        <v>2.6041226666666666</v>
      </c>
      <c r="AJ8" s="1">
        <f>SUMIFS(tblStock[positions],tblStock[sku],tblSKU[[#This Row],[sku]])</f>
        <v>4</v>
      </c>
      <c r="AK8" s="3">
        <f>SUMIFS(tblStock[value_nzd],tblStock[sku],tblSKU[[#This Row],[sku]],tblStock[stock_type],"Expired")</f>
        <v>0</v>
      </c>
      <c r="AL8" s="3" cm="1">
        <f t="array" ref="AL8">SUM(SUMIFS(tblStock[value_nzd],tblStock[sku],tblSKU[[#This Row],[sku]],tblStock[stock_type],{"Saleable","FOC"},tblStock[expiry_date],"&lt;"&amp;EDATE(SnapshotDate,6)))</f>
        <v>0</v>
      </c>
    </row>
    <row r="9" spans="1:38">
      <c r="A9" s="1" t="s">
        <v>59</v>
      </c>
      <c r="B9" s="1" t="s">
        <v>60</v>
      </c>
      <c r="C9" s="1" t="s">
        <v>43</v>
      </c>
      <c r="D9" s="1" t="s">
        <v>37</v>
      </c>
      <c r="E9" s="1" t="s">
        <v>38</v>
      </c>
      <c r="F9" s="1" t="s">
        <v>39</v>
      </c>
      <c r="G9">
        <v>180</v>
      </c>
      <c r="H9">
        <v>45.4</v>
      </c>
      <c r="I9">
        <v>42.7</v>
      </c>
      <c r="J9">
        <v>32.1</v>
      </c>
      <c r="K9">
        <v>6.2230000000000001E-2</v>
      </c>
      <c r="L9">
        <v>10.24</v>
      </c>
      <c r="M9">
        <v>3.96</v>
      </c>
      <c r="N9">
        <v>4</v>
      </c>
      <c r="O9">
        <v>4</v>
      </c>
      <c r="P9">
        <v>16</v>
      </c>
      <c r="Q9">
        <v>143.4</v>
      </c>
      <c r="R9">
        <v>188.84</v>
      </c>
      <c r="S9">
        <v>0.99568000000000001</v>
      </c>
      <c r="T9">
        <v>0</v>
      </c>
      <c r="U9">
        <v>0</v>
      </c>
      <c r="V9">
        <v>0</v>
      </c>
      <c r="W9" s="1" t="s">
        <v>1260</v>
      </c>
      <c r="X9" s="1" t="s">
        <v>1260</v>
      </c>
      <c r="Y9">
        <v>0</v>
      </c>
      <c r="Z9">
        <v>0</v>
      </c>
      <c r="AA9" s="1" t="s">
        <v>1261</v>
      </c>
      <c r="AB9">
        <v>0</v>
      </c>
      <c r="AC9">
        <v>0</v>
      </c>
      <c r="AD9" s="1"/>
      <c r="AE9">
        <v>1</v>
      </c>
      <c r="AF9">
        <f>COUNTIFS(tblStock[sku],tblSKU[[#This Row],[sku]])</f>
        <v>2</v>
      </c>
      <c r="AG9" cm="1">
        <f t="array" ref="AG9">SUM(SUMIFS(tblStock[qty_units],tblStock[sku],tblSKU[[#This Row],[sku]],tblStock[stock_type],{"Saleable","FOC"}))</f>
        <v>539</v>
      </c>
      <c r="AH9" s="3">
        <f>SUMIFS(tblStock[value_nzd],tblStock[sku],tblSKU[[#This Row],[sku]])</f>
        <v>2134.44</v>
      </c>
      <c r="AI9" s="4">
        <f>SUMIFS(tblStock[cbm],tblStock[sku],tblSKU[[#This Row],[sku]])</f>
        <v>0.18634427777777779</v>
      </c>
      <c r="AJ9" s="1">
        <f>SUMIFS(tblStock[positions],tblStock[sku],tblSKU[[#This Row],[sku]])</f>
        <v>0</v>
      </c>
      <c r="AK9" s="3">
        <f>SUMIFS(tblStock[value_nzd],tblStock[sku],tblSKU[[#This Row],[sku]],tblStock[stock_type],"Expired")</f>
        <v>0</v>
      </c>
      <c r="AL9" s="3" cm="1">
        <f t="array" ref="AL9">SUM(SUMIFS(tblStock[value_nzd],tblStock[sku],tblSKU[[#This Row],[sku]],tblStock[stock_type],{"Saleable","FOC"},tblStock[expiry_date],"&lt;"&amp;EDATE(SnapshotDate,6)))</f>
        <v>0</v>
      </c>
    </row>
    <row r="10" spans="1:38">
      <c r="A10" s="1" t="s">
        <v>61</v>
      </c>
      <c r="B10" s="1" t="s">
        <v>62</v>
      </c>
      <c r="C10" s="1" t="s">
        <v>36</v>
      </c>
      <c r="D10" s="1" t="s">
        <v>37</v>
      </c>
      <c r="E10" s="1" t="s">
        <v>38</v>
      </c>
      <c r="F10" s="1" t="s">
        <v>39</v>
      </c>
      <c r="G10">
        <v>120</v>
      </c>
      <c r="H10">
        <v>55.2</v>
      </c>
      <c r="I10">
        <v>41.5</v>
      </c>
      <c r="J10">
        <v>22.7</v>
      </c>
      <c r="K10">
        <v>5.1999999999999998E-2</v>
      </c>
      <c r="L10">
        <v>13.63</v>
      </c>
      <c r="M10">
        <v>9.25</v>
      </c>
      <c r="N10">
        <v>3</v>
      </c>
      <c r="O10">
        <v>5</v>
      </c>
      <c r="P10">
        <v>15</v>
      </c>
      <c r="Q10">
        <v>128.5</v>
      </c>
      <c r="R10">
        <v>229.45000000000002</v>
      </c>
      <c r="S10">
        <v>0.77999999999999992</v>
      </c>
      <c r="T10">
        <v>321</v>
      </c>
      <c r="U10">
        <v>17673</v>
      </c>
      <c r="V10">
        <v>163475.25</v>
      </c>
      <c r="W10" s="1" t="s">
        <v>1264</v>
      </c>
      <c r="X10" s="1" t="s">
        <v>1264</v>
      </c>
      <c r="Y10">
        <v>3.776470588235294</v>
      </c>
      <c r="Z10">
        <v>0.57754901960784322</v>
      </c>
      <c r="AA10" s="1" t="s">
        <v>1265</v>
      </c>
      <c r="AB10">
        <v>1</v>
      </c>
      <c r="AC10">
        <v>0</v>
      </c>
      <c r="AD10" s="1">
        <v>3.0224636451083575</v>
      </c>
      <c r="AE10">
        <v>12</v>
      </c>
      <c r="AF10">
        <f>COUNTIFS(tblStock[sku],tblSKU[[#This Row],[sku]])</f>
        <v>1</v>
      </c>
      <c r="AG10" cm="1">
        <f t="array" ref="AG10">SUM(SUMIFS(tblStock[qty_units],tblStock[sku],tblSKU[[#This Row],[sku]],tblStock[stock_type],{"Saleable","FOC"}))</f>
        <v>13354</v>
      </c>
      <c r="AH10" s="3">
        <f>SUMIFS(tblStock[value_nzd],tblStock[sku],tblSKU[[#This Row],[sku]])</f>
        <v>123524.5</v>
      </c>
      <c r="AI10" s="4">
        <f>SUMIFS(tblStock[cbm],tblStock[sku],tblSKU[[#This Row],[sku]])</f>
        <v>5.7867333333333333</v>
      </c>
      <c r="AJ10" s="1">
        <f>SUMIFS(tblStock[positions],tblStock[sku],tblSKU[[#This Row],[sku]])</f>
        <v>8</v>
      </c>
      <c r="AK10" s="3">
        <f>SUMIFS(tblStock[value_nzd],tblStock[sku],tblSKU[[#This Row],[sku]],tblStock[stock_type],"Expired")</f>
        <v>0</v>
      </c>
      <c r="AL10" s="3" cm="1">
        <f t="array" ref="AL10">SUM(SUMIFS(tblStock[value_nzd],tblStock[sku],tblSKU[[#This Row],[sku]],tblStock[stock_type],{"Saleable","FOC"},tblStock[expiry_date],"&lt;"&amp;EDATE(SnapshotDate,6)))</f>
        <v>123524.5</v>
      </c>
    </row>
    <row r="11" spans="1:38">
      <c r="A11" s="1" t="s">
        <v>63</v>
      </c>
      <c r="B11" s="1" t="s">
        <v>64</v>
      </c>
      <c r="C11" s="1" t="s">
        <v>48</v>
      </c>
      <c r="D11" s="1" t="s">
        <v>37</v>
      </c>
      <c r="E11" s="1" t="s">
        <v>38</v>
      </c>
      <c r="F11" s="1" t="s">
        <v>39</v>
      </c>
      <c r="G11">
        <v>100</v>
      </c>
      <c r="H11">
        <v>44.2</v>
      </c>
      <c r="I11">
        <v>42.9</v>
      </c>
      <c r="J11">
        <v>31.3</v>
      </c>
      <c r="K11">
        <v>5.935E-2</v>
      </c>
      <c r="L11">
        <v>14.98</v>
      </c>
      <c r="M11">
        <v>18.36</v>
      </c>
      <c r="N11">
        <v>2</v>
      </c>
      <c r="O11">
        <v>4</v>
      </c>
      <c r="P11">
        <v>8</v>
      </c>
      <c r="Q11">
        <v>140.19999999999999</v>
      </c>
      <c r="R11">
        <v>144.84</v>
      </c>
      <c r="S11">
        <v>0.4748</v>
      </c>
      <c r="T11">
        <v>214</v>
      </c>
      <c r="U11">
        <v>12050</v>
      </c>
      <c r="V11">
        <v>221238</v>
      </c>
      <c r="W11" s="1" t="s">
        <v>1264</v>
      </c>
      <c r="X11" s="1" t="s">
        <v>1264</v>
      </c>
      <c r="Y11">
        <v>2.5176470588235293</v>
      </c>
      <c r="Z11">
        <v>0.88602941176470595</v>
      </c>
      <c r="AA11" s="1" t="s">
        <v>1265</v>
      </c>
      <c r="AB11">
        <v>1</v>
      </c>
      <c r="AC11">
        <v>0</v>
      </c>
      <c r="AD11" s="1">
        <v>4.6602489626556016</v>
      </c>
      <c r="AE11">
        <v>12</v>
      </c>
      <c r="AF11">
        <f>COUNTIFS(tblStock[sku],tblSKU[[#This Row],[sku]])</f>
        <v>2</v>
      </c>
      <c r="AG11" cm="1">
        <f t="array" ref="AG11">SUM(SUMIFS(tblStock[qty_units],tblStock[sku],tblSKU[[#This Row],[sku]],tblStock[stock_type],{"Saleable","FOC"}))</f>
        <v>14039</v>
      </c>
      <c r="AH11" s="3">
        <f>SUMIFS(tblStock[value_nzd],tblStock[sku],tblSKU[[#This Row],[sku]])</f>
        <v>257756.04</v>
      </c>
      <c r="AI11" s="4">
        <f>SUMIFS(tblStock[cbm],tblStock[sku],tblSKU[[#This Row],[sku]])</f>
        <v>8.3321465000000003</v>
      </c>
      <c r="AJ11" s="1">
        <f>SUMIFS(tblStock[positions],tblStock[sku],tblSKU[[#This Row],[sku]])</f>
        <v>18</v>
      </c>
      <c r="AK11" s="3">
        <f>SUMIFS(tblStock[value_nzd],tblStock[sku],tblSKU[[#This Row],[sku]],tblStock[stock_type],"Expired")</f>
        <v>0</v>
      </c>
      <c r="AL11" s="3" cm="1">
        <f t="array" ref="AL11">SUM(SUMIFS(tblStock[value_nzd],tblStock[sku],tblSKU[[#This Row],[sku]],tblStock[stock_type],{"Saleable","FOC"},tblStock[expiry_date],"&lt;"&amp;EDATE(SnapshotDate,6)))</f>
        <v>245491.56</v>
      </c>
    </row>
    <row r="12" spans="1:38">
      <c r="A12" s="1" t="s">
        <v>65</v>
      </c>
      <c r="B12" s="1" t="s">
        <v>66</v>
      </c>
      <c r="C12" s="1" t="s">
        <v>67</v>
      </c>
      <c r="D12" s="1" t="s">
        <v>37</v>
      </c>
      <c r="E12" s="1" t="s">
        <v>38</v>
      </c>
      <c r="F12" s="1" t="s">
        <v>39</v>
      </c>
      <c r="G12">
        <v>100</v>
      </c>
      <c r="H12">
        <v>42.1</v>
      </c>
      <c r="I12">
        <v>41.5</v>
      </c>
      <c r="J12">
        <v>24.3</v>
      </c>
      <c r="K12">
        <v>4.2459999999999998E-2</v>
      </c>
      <c r="L12">
        <v>12.1</v>
      </c>
      <c r="M12">
        <v>22.89</v>
      </c>
      <c r="N12">
        <v>4</v>
      </c>
      <c r="O12">
        <v>5</v>
      </c>
      <c r="P12">
        <v>20</v>
      </c>
      <c r="Q12">
        <v>136.5</v>
      </c>
      <c r="R12">
        <v>267</v>
      </c>
      <c r="S12">
        <v>0.84919999999999995</v>
      </c>
      <c r="T12">
        <v>9</v>
      </c>
      <c r="U12">
        <v>522</v>
      </c>
      <c r="V12">
        <v>11948.58</v>
      </c>
      <c r="W12" s="1" t="s">
        <v>1262</v>
      </c>
      <c r="X12" s="1" t="s">
        <v>1262</v>
      </c>
      <c r="Y12">
        <v>0.10588235294117647</v>
      </c>
      <c r="Z12">
        <v>1.5352941176470588E-2</v>
      </c>
      <c r="AA12" s="1" t="s">
        <v>1263</v>
      </c>
      <c r="AB12">
        <v>0</v>
      </c>
      <c r="AC12">
        <v>0</v>
      </c>
      <c r="AD12" s="1">
        <v>22.628352490421456</v>
      </c>
      <c r="AE12">
        <v>2</v>
      </c>
      <c r="AF12">
        <f>COUNTIFS(tblStock[sku],tblSKU[[#This Row],[sku]])</f>
        <v>3</v>
      </c>
      <c r="AG12" cm="1">
        <f t="array" ref="AG12">SUM(SUMIFS(tblStock[qty_units],tblStock[sku],tblSKU[[#This Row],[sku]],tblStock[stock_type],{"Saleable","FOC"}))</f>
        <v>2953</v>
      </c>
      <c r="AH12" s="3">
        <f>SUMIFS(tblStock[value_nzd],tblStock[sku],tblSKU[[#This Row],[sku]])</f>
        <v>67594.17</v>
      </c>
      <c r="AI12" s="4">
        <f>SUMIFS(tblStock[cbm],tblStock[sku],tblSKU[[#This Row],[sku]])</f>
        <v>1.2538437999999998</v>
      </c>
      <c r="AJ12" s="1">
        <f>SUMIFS(tblStock[positions],tblStock[sku],tblSKU[[#This Row],[sku]])</f>
        <v>2</v>
      </c>
      <c r="AK12" s="3">
        <f>SUMIFS(tblStock[value_nzd],tblStock[sku],tblSKU[[#This Row],[sku]],tblStock[stock_type],"Expired")</f>
        <v>0</v>
      </c>
      <c r="AL12" s="3" cm="1">
        <f t="array" ref="AL12">SUM(SUMIFS(tblStock[value_nzd],tblStock[sku],tblSKU[[#This Row],[sku]],tblStock[stock_type],{"Saleable","FOC"},tblStock[expiry_date],"&lt;"&amp;EDATE(SnapshotDate,6)))</f>
        <v>0</v>
      </c>
    </row>
    <row r="13" spans="1:38">
      <c r="A13" s="1" t="s">
        <v>68</v>
      </c>
      <c r="B13" s="1" t="s">
        <v>69</v>
      </c>
      <c r="C13" s="1" t="s">
        <v>70</v>
      </c>
      <c r="D13" s="1" t="s">
        <v>37</v>
      </c>
      <c r="E13" s="1" t="s">
        <v>38</v>
      </c>
      <c r="F13" s="1" t="s">
        <v>39</v>
      </c>
      <c r="G13">
        <v>120</v>
      </c>
      <c r="H13">
        <v>34.4</v>
      </c>
      <c r="I13">
        <v>38</v>
      </c>
      <c r="J13">
        <v>29.8</v>
      </c>
      <c r="K13">
        <v>3.8949999999999999E-2</v>
      </c>
      <c r="L13">
        <v>6.78</v>
      </c>
      <c r="M13">
        <v>20.010000000000002</v>
      </c>
      <c r="N13">
        <v>6</v>
      </c>
      <c r="O13">
        <v>4</v>
      </c>
      <c r="P13">
        <v>24</v>
      </c>
      <c r="Q13">
        <v>134.19999999999999</v>
      </c>
      <c r="R13">
        <v>187.72</v>
      </c>
      <c r="S13">
        <v>0.93479999999999996</v>
      </c>
      <c r="T13">
        <v>40</v>
      </c>
      <c r="U13">
        <v>3549</v>
      </c>
      <c r="V13">
        <v>71015.490000000005</v>
      </c>
      <c r="W13" s="1" t="s">
        <v>1258</v>
      </c>
      <c r="X13" s="1" t="s">
        <v>1258</v>
      </c>
      <c r="Y13">
        <v>0.47058823529411764</v>
      </c>
      <c r="Z13">
        <v>7.2487745098039222E-2</v>
      </c>
      <c r="AA13" s="1" t="s">
        <v>1259</v>
      </c>
      <c r="AB13">
        <v>0</v>
      </c>
      <c r="AC13">
        <v>1</v>
      </c>
      <c r="AD13" s="1">
        <v>7.2110453648915191</v>
      </c>
      <c r="AE13">
        <v>4</v>
      </c>
      <c r="AF13">
        <f>COUNTIFS(tblStock[sku],tblSKU[[#This Row],[sku]])</f>
        <v>3</v>
      </c>
      <c r="AG13" cm="1">
        <f t="array" ref="AG13">SUM(SUMIFS(tblStock[qty_units],tblStock[sku],tblSKU[[#This Row],[sku]],tblStock[stock_type],{"Saleable","FOC"}))</f>
        <v>6398</v>
      </c>
      <c r="AH13" s="3">
        <f>SUMIFS(tblStock[value_nzd],tblStock[sku],tblSKU[[#This Row],[sku]])</f>
        <v>128023.98000000001</v>
      </c>
      <c r="AI13" s="4">
        <f>SUMIFS(tblStock[cbm],tblStock[sku],tblSKU[[#This Row],[sku]])</f>
        <v>2.0766841666666664</v>
      </c>
      <c r="AJ13" s="1">
        <f>SUMIFS(tblStock[positions],tblStock[sku],tblSKU[[#This Row],[sku]])</f>
        <v>4</v>
      </c>
      <c r="AK13" s="3">
        <f>SUMIFS(tblStock[value_nzd],tblStock[sku],tblSKU[[#This Row],[sku]],tblStock[stock_type],"Expired")</f>
        <v>0</v>
      </c>
      <c r="AL13" s="3" cm="1">
        <f t="array" ref="AL13">SUM(SUMIFS(tblStock[value_nzd],tblStock[sku],tblSKU[[#This Row],[sku]],tblStock[stock_type],{"Saleable","FOC"},tblStock[expiry_date],"&lt;"&amp;EDATE(SnapshotDate,6)))</f>
        <v>70515.240000000005</v>
      </c>
    </row>
    <row r="14" spans="1:38">
      <c r="A14" s="1" t="s">
        <v>71</v>
      </c>
      <c r="B14" s="1" t="s">
        <v>72</v>
      </c>
      <c r="C14" s="1" t="s">
        <v>48</v>
      </c>
      <c r="D14" s="1" t="s">
        <v>37</v>
      </c>
      <c r="E14" s="1" t="s">
        <v>38</v>
      </c>
      <c r="F14" s="1" t="s">
        <v>39</v>
      </c>
      <c r="G14">
        <v>100</v>
      </c>
      <c r="H14">
        <v>34.5</v>
      </c>
      <c r="I14">
        <v>39.6</v>
      </c>
      <c r="J14">
        <v>16.5</v>
      </c>
      <c r="K14">
        <v>2.2540000000000001E-2</v>
      </c>
      <c r="L14">
        <v>5.61</v>
      </c>
      <c r="M14">
        <v>8.74</v>
      </c>
      <c r="N14">
        <v>6</v>
      </c>
      <c r="O14">
        <v>6</v>
      </c>
      <c r="P14">
        <v>36</v>
      </c>
      <c r="Q14">
        <v>114</v>
      </c>
      <c r="R14">
        <v>226.96</v>
      </c>
      <c r="S14">
        <v>0.81144000000000005</v>
      </c>
      <c r="T14">
        <v>7</v>
      </c>
      <c r="U14">
        <v>245</v>
      </c>
      <c r="V14">
        <v>2141.3000000000002</v>
      </c>
      <c r="W14" s="1" t="s">
        <v>1262</v>
      </c>
      <c r="X14" s="1" t="s">
        <v>1262</v>
      </c>
      <c r="Y14">
        <v>8.2352941176470587E-2</v>
      </c>
      <c r="Z14">
        <v>4.0032679738562097E-3</v>
      </c>
      <c r="AA14" s="1" t="s">
        <v>1263</v>
      </c>
      <c r="AB14">
        <v>0</v>
      </c>
      <c r="AC14">
        <v>0</v>
      </c>
      <c r="AD14" s="1">
        <v>14.955102040816326</v>
      </c>
      <c r="AE14">
        <v>2</v>
      </c>
      <c r="AF14">
        <f>COUNTIFS(tblStock[sku],tblSKU[[#This Row],[sku]])</f>
        <v>6</v>
      </c>
      <c r="AG14" cm="1">
        <f t="array" ref="AG14">SUM(SUMIFS(tblStock[qty_units],tblStock[sku],tblSKU[[#This Row],[sku]],tblStock[stock_type],{"Saleable","FOC"}))</f>
        <v>916</v>
      </c>
      <c r="AH14" s="3">
        <f>SUMIFS(tblStock[value_nzd],tblStock[sku],tblSKU[[#This Row],[sku]])</f>
        <v>8643.8599999999988</v>
      </c>
      <c r="AI14" s="4">
        <f>SUMIFS(tblStock[cbm],tblStock[sku],tblSKU[[#This Row],[sku]])</f>
        <v>0.22292060000000002</v>
      </c>
      <c r="AJ14" s="1">
        <f>SUMIFS(tblStock[positions],tblStock[sku],tblSKU[[#This Row],[sku]])</f>
        <v>0</v>
      </c>
      <c r="AK14" s="3">
        <f>SUMIFS(tblStock[value_nzd],tblStock[sku],tblSKU[[#This Row],[sku]],tblStock[stock_type],"Expired")</f>
        <v>638.02</v>
      </c>
      <c r="AL14" s="3" cm="1">
        <f t="array" ref="AL14">SUM(SUMIFS(tblStock[value_nzd],tblStock[sku],tblSKU[[#This Row],[sku]],tblStock[stock_type],{"Saleable","FOC"},tblStock[expiry_date],"&lt;"&amp;EDATE(SnapshotDate,6)))</f>
        <v>987.62</v>
      </c>
    </row>
    <row r="15" spans="1:38">
      <c r="A15" s="1" t="s">
        <v>75</v>
      </c>
      <c r="B15" s="1" t="s">
        <v>76</v>
      </c>
      <c r="C15" s="1" t="s">
        <v>70</v>
      </c>
      <c r="D15" s="1" t="s">
        <v>37</v>
      </c>
      <c r="E15" s="1" t="s">
        <v>38</v>
      </c>
      <c r="F15" s="1" t="s">
        <v>39</v>
      </c>
      <c r="G15">
        <v>100</v>
      </c>
      <c r="H15">
        <v>44</v>
      </c>
      <c r="I15">
        <v>30.7</v>
      </c>
      <c r="J15">
        <v>25.3</v>
      </c>
      <c r="K15">
        <v>3.4180000000000002E-2</v>
      </c>
      <c r="L15">
        <v>9.14</v>
      </c>
      <c r="M15">
        <v>23.67</v>
      </c>
      <c r="N15">
        <v>6</v>
      </c>
      <c r="O15">
        <v>2</v>
      </c>
      <c r="P15">
        <v>12</v>
      </c>
      <c r="Q15">
        <v>65.599999999999994</v>
      </c>
      <c r="R15">
        <v>134.68</v>
      </c>
      <c r="S15">
        <v>0.41016000000000002</v>
      </c>
      <c r="T15">
        <v>0</v>
      </c>
      <c r="U15">
        <v>0</v>
      </c>
      <c r="V15">
        <v>0</v>
      </c>
      <c r="W15" s="1" t="s">
        <v>1260</v>
      </c>
      <c r="X15" s="1" t="s">
        <v>1260</v>
      </c>
      <c r="Y15">
        <v>0</v>
      </c>
      <c r="Z15">
        <v>0</v>
      </c>
      <c r="AA15" s="1" t="s">
        <v>1261</v>
      </c>
      <c r="AB15">
        <v>0</v>
      </c>
      <c r="AC15">
        <v>0</v>
      </c>
      <c r="AD15" s="1"/>
      <c r="AE15">
        <v>1</v>
      </c>
      <c r="AF15">
        <f>COUNTIFS(tblStock[sku],tblSKU[[#This Row],[sku]])</f>
        <v>1</v>
      </c>
      <c r="AG15" cm="1">
        <f t="array" ref="AG15">SUM(SUMIFS(tblStock[qty_units],tblStock[sku],tblSKU[[#This Row],[sku]],tblStock[stock_type],{"Saleable","FOC"}))</f>
        <v>300</v>
      </c>
      <c r="AH15" s="3">
        <f>SUMIFS(tblStock[value_nzd],tblStock[sku],tblSKU[[#This Row],[sku]])</f>
        <v>7101.0000000000009</v>
      </c>
      <c r="AI15" s="4">
        <f>SUMIFS(tblStock[cbm],tblStock[sku],tblSKU[[#This Row],[sku]])</f>
        <v>0.10254000000000001</v>
      </c>
      <c r="AJ15" s="1">
        <f>SUMIFS(tblStock[positions],tblStock[sku],tblSKU[[#This Row],[sku]])</f>
        <v>0</v>
      </c>
      <c r="AK15" s="3">
        <f>SUMIFS(tblStock[value_nzd],tblStock[sku],tblSKU[[#This Row],[sku]],tblStock[stock_type],"Expired")</f>
        <v>0</v>
      </c>
      <c r="AL15" s="3" cm="1">
        <f t="array" ref="AL15">SUM(SUMIFS(tblStock[value_nzd],tblStock[sku],tblSKU[[#This Row],[sku]],tblStock[stock_type],{"Saleable","FOC"},tblStock[expiry_date],"&lt;"&amp;EDATE(SnapshotDate,6)))</f>
        <v>0</v>
      </c>
    </row>
    <row r="16" spans="1:38">
      <c r="A16" s="1" t="s">
        <v>77</v>
      </c>
      <c r="B16" s="1" t="s">
        <v>78</v>
      </c>
      <c r="C16" s="1" t="s">
        <v>67</v>
      </c>
      <c r="D16" s="1" t="s">
        <v>37</v>
      </c>
      <c r="E16" s="1" t="s">
        <v>38</v>
      </c>
      <c r="F16" s="1" t="s">
        <v>39</v>
      </c>
      <c r="G16">
        <v>180</v>
      </c>
      <c r="H16">
        <v>41.4</v>
      </c>
      <c r="I16">
        <v>42.5</v>
      </c>
      <c r="J16">
        <v>16.899999999999999</v>
      </c>
      <c r="K16">
        <v>2.9739999999999999E-2</v>
      </c>
      <c r="L16">
        <v>6.13</v>
      </c>
      <c r="M16">
        <v>4.1500000000000004</v>
      </c>
      <c r="N16">
        <v>4</v>
      </c>
      <c r="O16">
        <v>7</v>
      </c>
      <c r="P16">
        <v>28</v>
      </c>
      <c r="Q16">
        <v>133.29999999999998</v>
      </c>
      <c r="R16">
        <v>196.64</v>
      </c>
      <c r="S16">
        <v>0.83272000000000002</v>
      </c>
      <c r="T16">
        <v>40</v>
      </c>
      <c r="U16">
        <v>2184</v>
      </c>
      <c r="V16">
        <v>9063.6</v>
      </c>
      <c r="W16" s="1" t="s">
        <v>1258</v>
      </c>
      <c r="X16" s="1" t="s">
        <v>1262</v>
      </c>
      <c r="Y16">
        <v>0.47058823529411764</v>
      </c>
      <c r="Z16">
        <v>2.5490196078431369E-2</v>
      </c>
      <c r="AA16" s="1" t="s">
        <v>1259</v>
      </c>
      <c r="AB16">
        <v>0</v>
      </c>
      <c r="AC16">
        <v>1</v>
      </c>
      <c r="AD16" s="1">
        <v>7.6410256410256414</v>
      </c>
      <c r="AE16">
        <v>2</v>
      </c>
      <c r="AF16">
        <f>COUNTIFS(tblStock[sku],tblSKU[[#This Row],[sku]])</f>
        <v>1</v>
      </c>
      <c r="AG16" cm="1">
        <f t="array" ref="AG16">SUM(SUMIFS(tblStock[qty_units],tblStock[sku],tblSKU[[#This Row],[sku]],tblStock[stock_type],{"Saleable","FOC"}))</f>
        <v>4172</v>
      </c>
      <c r="AH16" s="3">
        <f>SUMIFS(tblStock[value_nzd],tblStock[sku],tblSKU[[#This Row],[sku]])</f>
        <v>17313.800000000003</v>
      </c>
      <c r="AI16" s="4">
        <f>SUMIFS(tblStock[cbm],tblStock[sku],tblSKU[[#This Row],[sku]])</f>
        <v>0.68930711111111109</v>
      </c>
      <c r="AJ16" s="1">
        <f>SUMIFS(tblStock[positions],tblStock[sku],tblSKU[[#This Row],[sku]])</f>
        <v>1</v>
      </c>
      <c r="AK16" s="3">
        <f>SUMIFS(tblStock[value_nzd],tblStock[sku],tblSKU[[#This Row],[sku]],tblStock[stock_type],"Expired")</f>
        <v>0</v>
      </c>
      <c r="AL16" s="3" cm="1">
        <f t="array" ref="AL16">SUM(SUMIFS(tblStock[value_nzd],tblStock[sku],tblSKU[[#This Row],[sku]],tblStock[stock_type],{"Saleable","FOC"},tblStock[expiry_date],"&lt;"&amp;EDATE(SnapshotDate,6)))</f>
        <v>0</v>
      </c>
    </row>
    <row r="17" spans="1:38">
      <c r="A17" s="1" t="s">
        <v>79</v>
      </c>
      <c r="B17" s="1" t="s">
        <v>80</v>
      </c>
      <c r="C17" s="1" t="s">
        <v>43</v>
      </c>
      <c r="D17" s="1" t="s">
        <v>37</v>
      </c>
      <c r="E17" s="1" t="s">
        <v>38</v>
      </c>
      <c r="F17" s="1" t="s">
        <v>39</v>
      </c>
      <c r="G17">
        <v>100</v>
      </c>
      <c r="H17">
        <v>55.1</v>
      </c>
      <c r="I17">
        <v>34.700000000000003</v>
      </c>
      <c r="J17">
        <v>34.200000000000003</v>
      </c>
      <c r="K17">
        <v>6.5390000000000004E-2</v>
      </c>
      <c r="L17">
        <v>12.13</v>
      </c>
      <c r="M17">
        <v>17.11</v>
      </c>
      <c r="N17">
        <v>4</v>
      </c>
      <c r="O17">
        <v>3</v>
      </c>
      <c r="P17">
        <v>12</v>
      </c>
      <c r="Q17">
        <v>117.60000000000001</v>
      </c>
      <c r="R17">
        <v>170.56</v>
      </c>
      <c r="S17">
        <v>0.78468000000000004</v>
      </c>
      <c r="T17">
        <v>5</v>
      </c>
      <c r="U17">
        <v>322</v>
      </c>
      <c r="V17">
        <v>5509.42</v>
      </c>
      <c r="W17" s="1" t="s">
        <v>1262</v>
      </c>
      <c r="X17" s="1" t="s">
        <v>1262</v>
      </c>
      <c r="Y17">
        <v>5.8823529411764705E-2</v>
      </c>
      <c r="Z17">
        <v>1.5784313725490197E-2</v>
      </c>
      <c r="AA17" s="1" t="s">
        <v>1263</v>
      </c>
      <c r="AB17">
        <v>0</v>
      </c>
      <c r="AC17">
        <v>0</v>
      </c>
      <c r="AD17" s="1">
        <v>12.53416149068323</v>
      </c>
      <c r="AE17">
        <v>2</v>
      </c>
      <c r="AF17">
        <f>COUNTIFS(tblStock[sku],tblSKU[[#This Row],[sku]])</f>
        <v>2</v>
      </c>
      <c r="AG17" cm="1">
        <f t="array" ref="AG17">SUM(SUMIFS(tblStock[qty_units],tblStock[sku],tblSKU[[#This Row],[sku]],tblStock[stock_type],{"Saleable","FOC"}))</f>
        <v>1009</v>
      </c>
      <c r="AH17" s="3">
        <f>SUMIFS(tblStock[value_nzd],tblStock[sku],tblSKU[[#This Row],[sku]])</f>
        <v>17263.989999999998</v>
      </c>
      <c r="AI17" s="4">
        <f>SUMIFS(tblStock[cbm],tblStock[sku],tblSKU[[#This Row],[sku]])</f>
        <v>0.6597850999999999</v>
      </c>
      <c r="AJ17" s="1">
        <f>SUMIFS(tblStock[positions],tblStock[sku],tblSKU[[#This Row],[sku]])</f>
        <v>1</v>
      </c>
      <c r="AK17" s="3">
        <f>SUMIFS(tblStock[value_nzd],tblStock[sku],tblSKU[[#This Row],[sku]],tblStock[stock_type],"Expired")</f>
        <v>0</v>
      </c>
      <c r="AL17" s="3" cm="1">
        <f t="array" ref="AL17">SUM(SUMIFS(tblStock[value_nzd],tblStock[sku],tblSKU[[#This Row],[sku]],tblStock[stock_type],{"Saleable","FOC"},tblStock[expiry_date],"&lt;"&amp;EDATE(SnapshotDate,6)))</f>
        <v>0</v>
      </c>
    </row>
    <row r="18" spans="1:38">
      <c r="A18" s="1" t="s">
        <v>81</v>
      </c>
      <c r="B18" s="1" t="s">
        <v>82</v>
      </c>
      <c r="C18" s="1" t="s">
        <v>43</v>
      </c>
      <c r="D18" s="1" t="s">
        <v>37</v>
      </c>
      <c r="E18" s="1" t="s">
        <v>38</v>
      </c>
      <c r="F18" s="1" t="s">
        <v>39</v>
      </c>
      <c r="G18">
        <v>100</v>
      </c>
      <c r="H18">
        <v>30.9</v>
      </c>
      <c r="I18">
        <v>35.5</v>
      </c>
      <c r="J18">
        <v>24.5</v>
      </c>
      <c r="K18">
        <v>2.6880000000000001E-2</v>
      </c>
      <c r="L18">
        <v>5.26</v>
      </c>
      <c r="M18">
        <v>7.72</v>
      </c>
      <c r="N18">
        <v>9</v>
      </c>
      <c r="O18">
        <v>6</v>
      </c>
      <c r="P18">
        <v>54</v>
      </c>
      <c r="Q18">
        <v>162</v>
      </c>
      <c r="R18">
        <v>309.03999999999996</v>
      </c>
      <c r="S18">
        <v>1.4515200000000001</v>
      </c>
      <c r="T18">
        <v>81</v>
      </c>
      <c r="U18">
        <v>6314</v>
      </c>
      <c r="V18">
        <v>48744.08</v>
      </c>
      <c r="W18" s="1" t="s">
        <v>1264</v>
      </c>
      <c r="X18" s="1" t="s">
        <v>1258</v>
      </c>
      <c r="Y18">
        <v>0.95294117647058818</v>
      </c>
      <c r="Z18">
        <v>6.8779956427015246E-2</v>
      </c>
      <c r="AA18" s="1" t="s">
        <v>1265</v>
      </c>
      <c r="AB18">
        <v>1</v>
      </c>
      <c r="AC18">
        <v>0</v>
      </c>
      <c r="AD18" s="1">
        <v>2.5625593918276843</v>
      </c>
      <c r="AE18">
        <v>4</v>
      </c>
      <c r="AF18">
        <f>COUNTIFS(tblStock[sku],tblSKU[[#This Row],[sku]])</f>
        <v>1</v>
      </c>
      <c r="AG18" cm="1">
        <f t="array" ref="AG18">SUM(SUMIFS(tblStock[qty_units],tblStock[sku],tblSKU[[#This Row],[sku]],tblStock[stock_type],{"Saleable","FOC"}))</f>
        <v>4045</v>
      </c>
      <c r="AH18" s="3">
        <f>SUMIFS(tblStock[value_nzd],tblStock[sku],tblSKU[[#This Row],[sku]])</f>
        <v>31227.399999999998</v>
      </c>
      <c r="AI18" s="4">
        <f>SUMIFS(tblStock[cbm],tblStock[sku],tblSKU[[#This Row],[sku]])</f>
        <v>1.087296</v>
      </c>
      <c r="AJ18" s="1">
        <f>SUMIFS(tblStock[positions],tblStock[sku],tblSKU[[#This Row],[sku]])</f>
        <v>1</v>
      </c>
      <c r="AK18" s="3">
        <f>SUMIFS(tblStock[value_nzd],tblStock[sku],tblSKU[[#This Row],[sku]],tblStock[stock_type],"Expired")</f>
        <v>0</v>
      </c>
      <c r="AL18" s="3" cm="1">
        <f t="array" ref="AL18">SUM(SUMIFS(tblStock[value_nzd],tblStock[sku],tblSKU[[#This Row],[sku]],tblStock[stock_type],{"Saleable","FOC"},tblStock[expiry_date],"&lt;"&amp;EDATE(SnapshotDate,6)))</f>
        <v>0</v>
      </c>
    </row>
    <row r="19" spans="1:38">
      <c r="A19" s="1" t="s">
        <v>83</v>
      </c>
      <c r="B19" s="1" t="s">
        <v>84</v>
      </c>
      <c r="C19" s="1" t="s">
        <v>36</v>
      </c>
      <c r="D19" s="1" t="s">
        <v>37</v>
      </c>
      <c r="E19" s="1" t="s">
        <v>38</v>
      </c>
      <c r="F19" s="1" t="s">
        <v>39</v>
      </c>
      <c r="G19">
        <v>100</v>
      </c>
      <c r="H19">
        <v>57.9</v>
      </c>
      <c r="I19">
        <v>37</v>
      </c>
      <c r="J19">
        <v>18.100000000000001</v>
      </c>
      <c r="K19">
        <v>3.8780000000000002E-2</v>
      </c>
      <c r="L19">
        <v>8.0299999999999994</v>
      </c>
      <c r="M19">
        <v>16.690000000000001</v>
      </c>
      <c r="N19">
        <v>3</v>
      </c>
      <c r="O19">
        <v>7</v>
      </c>
      <c r="P19">
        <v>21</v>
      </c>
      <c r="Q19">
        <v>141.70000000000002</v>
      </c>
      <c r="R19">
        <v>193.63</v>
      </c>
      <c r="S19">
        <v>0.81437999999999999</v>
      </c>
      <c r="T19">
        <v>329</v>
      </c>
      <c r="U19">
        <v>21391</v>
      </c>
      <c r="V19">
        <v>357015.79000000004</v>
      </c>
      <c r="W19" s="1" t="s">
        <v>1264</v>
      </c>
      <c r="X19" s="1" t="s">
        <v>1264</v>
      </c>
      <c r="Y19">
        <v>3.8705882352941177</v>
      </c>
      <c r="Z19">
        <v>0.59918767507002801</v>
      </c>
      <c r="AA19" s="1" t="s">
        <v>1265</v>
      </c>
      <c r="AB19">
        <v>1</v>
      </c>
      <c r="AC19">
        <v>0</v>
      </c>
      <c r="AD19" s="1">
        <v>3.057921555794493</v>
      </c>
      <c r="AE19">
        <v>12</v>
      </c>
      <c r="AF19">
        <f>COUNTIFS(tblStock[sku],tblSKU[[#This Row],[sku]])</f>
        <v>2</v>
      </c>
      <c r="AG19" cm="1">
        <f t="array" ref="AG19">SUM(SUMIFS(tblStock[qty_units],tblStock[sku],tblSKU[[#This Row],[sku]],tblStock[stock_type],{"Saleable","FOC"}))</f>
        <v>16353</v>
      </c>
      <c r="AH19" s="3">
        <f>SUMIFS(tblStock[value_nzd],tblStock[sku],tblSKU[[#This Row],[sku]])</f>
        <v>272931.57000000007</v>
      </c>
      <c r="AI19" s="4">
        <f>SUMIFS(tblStock[cbm],tblStock[sku],tblSKU[[#This Row],[sku]])</f>
        <v>6.3416933999999996</v>
      </c>
      <c r="AJ19" s="1">
        <f>SUMIFS(tblStock[positions],tblStock[sku],tblSKU[[#This Row],[sku]])</f>
        <v>9</v>
      </c>
      <c r="AK19" s="3">
        <f>SUMIFS(tblStock[value_nzd],tblStock[sku],tblSKU[[#This Row],[sku]],tblStock[stock_type],"Expired")</f>
        <v>0</v>
      </c>
      <c r="AL19" s="3" cm="1">
        <f t="array" ref="AL19">SUM(SUMIFS(tblStock[value_nzd],tblStock[sku],tblSKU[[#This Row],[sku]],tblStock[stock_type],{"Saleable","FOC"},tblStock[expiry_date],"&lt;"&amp;EDATE(SnapshotDate,6)))</f>
        <v>0</v>
      </c>
    </row>
    <row r="20" spans="1:38">
      <c r="A20" s="1" t="s">
        <v>85</v>
      </c>
      <c r="B20" s="1" t="s">
        <v>86</v>
      </c>
      <c r="C20" s="1" t="s">
        <v>70</v>
      </c>
      <c r="D20" s="1" t="s">
        <v>37</v>
      </c>
      <c r="E20" s="1" t="s">
        <v>38</v>
      </c>
      <c r="F20" s="1" t="s">
        <v>39</v>
      </c>
      <c r="G20">
        <v>120</v>
      </c>
      <c r="H20">
        <v>50.5</v>
      </c>
      <c r="I20">
        <v>30.7</v>
      </c>
      <c r="J20">
        <v>31.6</v>
      </c>
      <c r="K20">
        <v>4.8989999999999999E-2</v>
      </c>
      <c r="L20">
        <v>8.9499999999999993</v>
      </c>
      <c r="M20">
        <v>7.84</v>
      </c>
      <c r="N20">
        <v>4</v>
      </c>
      <c r="O20">
        <v>3</v>
      </c>
      <c r="P20">
        <v>12</v>
      </c>
      <c r="Q20">
        <v>109.80000000000001</v>
      </c>
      <c r="R20">
        <v>132.39999999999998</v>
      </c>
      <c r="S20">
        <v>0.58787999999999996</v>
      </c>
      <c r="T20">
        <v>49</v>
      </c>
      <c r="U20">
        <v>4138</v>
      </c>
      <c r="V20">
        <v>32441.919999999998</v>
      </c>
      <c r="W20" s="1" t="s">
        <v>1258</v>
      </c>
      <c r="X20" s="1" t="s">
        <v>1258</v>
      </c>
      <c r="Y20">
        <v>0.57647058823529407</v>
      </c>
      <c r="Z20">
        <v>0.16903594771241828</v>
      </c>
      <c r="AA20" s="1" t="s">
        <v>1259</v>
      </c>
      <c r="AB20">
        <v>0</v>
      </c>
      <c r="AC20">
        <v>1</v>
      </c>
      <c r="AD20" s="1">
        <v>3.6017399710004834</v>
      </c>
      <c r="AE20">
        <v>4</v>
      </c>
      <c r="AF20">
        <f>COUNTIFS(tblStock[sku],tblSKU[[#This Row],[sku]])</f>
        <v>1</v>
      </c>
      <c r="AG20" cm="1">
        <f t="array" ref="AG20">SUM(SUMIFS(tblStock[qty_units],tblStock[sku],tblSKU[[#This Row],[sku]],tblStock[stock_type],{"Saleable","FOC"}))</f>
        <v>3726</v>
      </c>
      <c r="AH20" s="3">
        <f>SUMIFS(tblStock[value_nzd],tblStock[sku],tblSKU[[#This Row],[sku]])</f>
        <v>29211.84</v>
      </c>
      <c r="AI20" s="4">
        <f>SUMIFS(tblStock[cbm],tblStock[sku],tblSKU[[#This Row],[sku]])</f>
        <v>1.5211395000000001</v>
      </c>
      <c r="AJ20" s="1">
        <f>SUMIFS(tblStock[positions],tblStock[sku],tblSKU[[#This Row],[sku]])</f>
        <v>3</v>
      </c>
      <c r="AK20" s="3">
        <f>SUMIFS(tblStock[value_nzd],tblStock[sku],tblSKU[[#This Row],[sku]],tblStock[stock_type],"Expired")</f>
        <v>0</v>
      </c>
      <c r="AL20" s="3" cm="1">
        <f t="array" ref="AL20">SUM(SUMIFS(tblStock[value_nzd],tblStock[sku],tblSKU[[#This Row],[sku]],tblStock[stock_type],{"Saleable","FOC"},tblStock[expiry_date],"&lt;"&amp;EDATE(SnapshotDate,6)))</f>
        <v>0</v>
      </c>
    </row>
    <row r="21" spans="1:38">
      <c r="A21" s="1" t="s">
        <v>87</v>
      </c>
      <c r="B21" s="1" t="s">
        <v>88</v>
      </c>
      <c r="C21" s="1" t="s">
        <v>70</v>
      </c>
      <c r="D21" s="1" t="s">
        <v>37</v>
      </c>
      <c r="E21" s="1" t="s">
        <v>38</v>
      </c>
      <c r="F21" s="1" t="s">
        <v>39</v>
      </c>
      <c r="G21">
        <v>180</v>
      </c>
      <c r="H21">
        <v>41.9</v>
      </c>
      <c r="I21">
        <v>25.7</v>
      </c>
      <c r="J21">
        <v>16.100000000000001</v>
      </c>
      <c r="K21">
        <v>1.7336963E-2</v>
      </c>
      <c r="L21">
        <v>2.8</v>
      </c>
      <c r="M21">
        <v>19.02</v>
      </c>
      <c r="N21">
        <v>6</v>
      </c>
      <c r="O21">
        <v>6</v>
      </c>
      <c r="P21">
        <v>36</v>
      </c>
      <c r="Q21">
        <v>111.60000000000001</v>
      </c>
      <c r="R21">
        <v>125.8</v>
      </c>
      <c r="S21">
        <v>0.62413066800000006</v>
      </c>
      <c r="T21">
        <v>288</v>
      </c>
      <c r="U21">
        <v>21437</v>
      </c>
      <c r="V21">
        <v>407731.74</v>
      </c>
      <c r="W21" s="1" t="s">
        <v>1264</v>
      </c>
      <c r="X21" s="1" t="s">
        <v>1264</v>
      </c>
      <c r="Y21">
        <v>3.388235294117647</v>
      </c>
      <c r="Z21">
        <v>0.19459876543209878</v>
      </c>
      <c r="AA21" s="1" t="s">
        <v>1265</v>
      </c>
      <c r="AB21">
        <v>1</v>
      </c>
      <c r="AC21">
        <v>0</v>
      </c>
      <c r="AD21" s="1">
        <v>5.8403694546811584</v>
      </c>
      <c r="AE21">
        <v>12</v>
      </c>
      <c r="AF21">
        <f>COUNTIFS(tblStock[sku],tblSKU[[#This Row],[sku]])</f>
        <v>2</v>
      </c>
      <c r="AG21" cm="1">
        <f t="array" ref="AG21">SUM(SUMIFS(tblStock[qty_units],tblStock[sku],tblSKU[[#This Row],[sku]],tblStock[stock_type],{"Saleable","FOC"}))</f>
        <v>31300</v>
      </c>
      <c r="AH21" s="3">
        <f>SUMIFS(tblStock[value_nzd],tblStock[sku],tblSKU[[#This Row],[sku]])</f>
        <v>642952.07999999996</v>
      </c>
      <c r="AI21" s="4">
        <f>SUMIFS(tblStock[cbm],tblStock[sku],tblSKU[[#This Row],[sku]])</f>
        <v>3.2558816513999997</v>
      </c>
      <c r="AJ21" s="1">
        <f>SUMIFS(tblStock[positions],tblStock[sku],tblSKU[[#This Row],[sku]])</f>
        <v>5</v>
      </c>
      <c r="AK21" s="3">
        <f>SUMIFS(tblStock[value_nzd],tblStock[sku],tblSKU[[#This Row],[sku]],tblStock[stock_type],"Expired")</f>
        <v>47626.080000000002</v>
      </c>
      <c r="AL21" s="3" cm="1">
        <f t="array" ref="AL21">SUM(SUMIFS(tblStock[value_nzd],tblStock[sku],tblSKU[[#This Row],[sku]],tblStock[stock_type],{"Saleable","FOC"},tblStock[expiry_date],"&lt;"&amp;EDATE(SnapshotDate,6)))</f>
        <v>0</v>
      </c>
    </row>
    <row r="22" spans="1:38">
      <c r="A22" s="1" t="s">
        <v>89</v>
      </c>
      <c r="B22" s="1" t="s">
        <v>90</v>
      </c>
      <c r="C22" s="1" t="s">
        <v>36</v>
      </c>
      <c r="D22" s="1" t="s">
        <v>37</v>
      </c>
      <c r="E22" s="1" t="s">
        <v>38</v>
      </c>
      <c r="F22" s="1" t="s">
        <v>39</v>
      </c>
      <c r="G22">
        <v>180</v>
      </c>
      <c r="H22">
        <v>36.4</v>
      </c>
      <c r="I22">
        <v>42.4</v>
      </c>
      <c r="J22">
        <v>33.1</v>
      </c>
      <c r="K22">
        <v>5.1090000000000003E-2</v>
      </c>
      <c r="L22">
        <v>7.86</v>
      </c>
      <c r="M22">
        <v>19.510000000000002</v>
      </c>
      <c r="N22">
        <v>6</v>
      </c>
      <c r="O22">
        <v>3</v>
      </c>
      <c r="P22">
        <v>18</v>
      </c>
      <c r="Q22">
        <v>114.30000000000001</v>
      </c>
      <c r="R22">
        <v>166.48000000000002</v>
      </c>
      <c r="S22">
        <v>0.9196200000000001</v>
      </c>
      <c r="T22">
        <v>21</v>
      </c>
      <c r="U22">
        <v>1453</v>
      </c>
      <c r="V22">
        <v>28348.030000000002</v>
      </c>
      <c r="W22" s="1" t="s">
        <v>1262</v>
      </c>
      <c r="X22" s="1" t="s">
        <v>1258</v>
      </c>
      <c r="Y22">
        <v>0.24705882352941178</v>
      </c>
      <c r="Z22">
        <v>2.6379811183732758E-2</v>
      </c>
      <c r="AA22" s="1" t="s">
        <v>1263</v>
      </c>
      <c r="AB22">
        <v>0</v>
      </c>
      <c r="AC22">
        <v>0</v>
      </c>
      <c r="AD22" s="1">
        <v>2.0564349621472813</v>
      </c>
      <c r="AE22">
        <v>4</v>
      </c>
      <c r="AF22">
        <f>COUNTIFS(tblStock[sku],tblSKU[[#This Row],[sku]])</f>
        <v>1</v>
      </c>
      <c r="AG22" cm="1">
        <f t="array" ref="AG22">SUM(SUMIFS(tblStock[qty_units],tblStock[sku],tblSKU[[#This Row],[sku]],tblStock[stock_type],{"Saleable","FOC"}))</f>
        <v>747</v>
      </c>
      <c r="AH22" s="3">
        <f>SUMIFS(tblStock[value_nzd],tblStock[sku],tblSKU[[#This Row],[sku]])</f>
        <v>14573.970000000001</v>
      </c>
      <c r="AI22" s="4">
        <f>SUMIFS(tblStock[cbm],tblStock[sku],tblSKU[[#This Row],[sku]])</f>
        <v>0.21202350000000003</v>
      </c>
      <c r="AJ22" s="1">
        <f>SUMIFS(tblStock[positions],tblStock[sku],tblSKU[[#This Row],[sku]])</f>
        <v>0</v>
      </c>
      <c r="AK22" s="3">
        <f>SUMIFS(tblStock[value_nzd],tblStock[sku],tblSKU[[#This Row],[sku]],tblStock[stock_type],"Expired")</f>
        <v>0</v>
      </c>
      <c r="AL22" s="3" cm="1">
        <f t="array" ref="AL22">SUM(SUMIFS(tblStock[value_nzd],tblStock[sku],tblSKU[[#This Row],[sku]],tblStock[stock_type],{"Saleable","FOC"},tblStock[expiry_date],"&lt;"&amp;EDATE(SnapshotDate,6)))</f>
        <v>0</v>
      </c>
    </row>
    <row r="23" spans="1:38">
      <c r="A23" s="1" t="s">
        <v>91</v>
      </c>
      <c r="B23" s="1" t="s">
        <v>92</v>
      </c>
      <c r="C23" s="1" t="s">
        <v>43</v>
      </c>
      <c r="D23" s="1" t="s">
        <v>37</v>
      </c>
      <c r="E23" s="1" t="s">
        <v>38</v>
      </c>
      <c r="F23" s="1" t="s">
        <v>39</v>
      </c>
      <c r="G23">
        <v>240</v>
      </c>
      <c r="H23">
        <v>46.9</v>
      </c>
      <c r="I23">
        <v>26.6</v>
      </c>
      <c r="J23">
        <v>26.4</v>
      </c>
      <c r="K23">
        <v>3.2939999999999997E-2</v>
      </c>
      <c r="L23">
        <v>8.91</v>
      </c>
      <c r="M23">
        <v>8.68</v>
      </c>
      <c r="N23">
        <v>7</v>
      </c>
      <c r="O23">
        <v>4</v>
      </c>
      <c r="P23">
        <v>28</v>
      </c>
      <c r="Q23">
        <v>120.6</v>
      </c>
      <c r="R23">
        <v>274.48</v>
      </c>
      <c r="S23">
        <v>0.92231999999999992</v>
      </c>
      <c r="T23">
        <v>105</v>
      </c>
      <c r="U23">
        <v>10979</v>
      </c>
      <c r="V23">
        <v>95297.72</v>
      </c>
      <c r="W23" s="1" t="s">
        <v>1264</v>
      </c>
      <c r="X23" s="1" t="s">
        <v>1258</v>
      </c>
      <c r="Y23">
        <v>1.2352941176470589</v>
      </c>
      <c r="Z23">
        <v>9.6104691876750678E-2</v>
      </c>
      <c r="AA23" s="1" t="s">
        <v>1265</v>
      </c>
      <c r="AB23">
        <v>1</v>
      </c>
      <c r="AC23">
        <v>0</v>
      </c>
      <c r="AD23" s="1">
        <v>14.682575826578013</v>
      </c>
      <c r="AE23">
        <v>4</v>
      </c>
      <c r="AF23">
        <f>COUNTIFS(tblStock[sku],tblSKU[[#This Row],[sku]])</f>
        <v>3</v>
      </c>
      <c r="AG23" cm="1">
        <f t="array" ref="AG23">SUM(SUMIFS(tblStock[qty_units],tblStock[sku],tblSKU[[#This Row],[sku]],tblStock[stock_type],{"Saleable","FOC"}))</f>
        <v>40300</v>
      </c>
      <c r="AH23" s="3">
        <f>SUMIFS(tblStock[value_nzd],tblStock[sku],tblSKU[[#This Row],[sku]])</f>
        <v>349804</v>
      </c>
      <c r="AI23" s="4">
        <f>SUMIFS(tblStock[cbm],tblStock[sku],tblSKU[[#This Row],[sku]])</f>
        <v>5.5311749999999993</v>
      </c>
      <c r="AJ23" s="1">
        <f>SUMIFS(tblStock[positions],tblStock[sku],tblSKU[[#This Row],[sku]])</f>
        <v>8</v>
      </c>
      <c r="AK23" s="3">
        <f>SUMIFS(tblStock[value_nzd],tblStock[sku],tblSKU[[#This Row],[sku]],tblStock[stock_type],"Expired")</f>
        <v>0</v>
      </c>
      <c r="AL23" s="3" cm="1">
        <f t="array" ref="AL23">SUM(SUMIFS(tblStock[value_nzd],tblStock[sku],tblSKU[[#This Row],[sku]],tblStock[stock_type],{"Saleable","FOC"},tblStock[expiry_date],"&lt;"&amp;EDATE(SnapshotDate,6)))</f>
        <v>0</v>
      </c>
    </row>
    <row r="24" spans="1:38">
      <c r="A24" s="1" t="s">
        <v>93</v>
      </c>
      <c r="B24" s="1" t="s">
        <v>94</v>
      </c>
      <c r="C24" s="1" t="s">
        <v>52</v>
      </c>
      <c r="D24" s="1" t="s">
        <v>37</v>
      </c>
      <c r="E24" s="1" t="s">
        <v>38</v>
      </c>
      <c r="F24" s="1" t="s">
        <v>39</v>
      </c>
      <c r="G24">
        <v>180</v>
      </c>
      <c r="H24">
        <v>37</v>
      </c>
      <c r="I24">
        <v>31.6</v>
      </c>
      <c r="J24">
        <v>16.2</v>
      </c>
      <c r="K24">
        <v>1.8939999999999999E-2</v>
      </c>
      <c r="L24">
        <v>4.55</v>
      </c>
      <c r="M24">
        <v>3.72</v>
      </c>
      <c r="N24">
        <v>9</v>
      </c>
      <c r="O24">
        <v>8</v>
      </c>
      <c r="P24">
        <v>72</v>
      </c>
      <c r="Q24">
        <v>144.6</v>
      </c>
      <c r="R24">
        <v>352.59999999999997</v>
      </c>
      <c r="S24">
        <v>1.36368</v>
      </c>
      <c r="T24">
        <v>151</v>
      </c>
      <c r="U24">
        <v>14603</v>
      </c>
      <c r="V24">
        <v>54323.16</v>
      </c>
      <c r="W24" s="1" t="s">
        <v>1264</v>
      </c>
      <c r="X24" s="1" t="s">
        <v>1258</v>
      </c>
      <c r="Y24">
        <v>1.776470588235294</v>
      </c>
      <c r="Z24">
        <v>6.6280864197530862E-2</v>
      </c>
      <c r="AA24" s="1" t="s">
        <v>1265</v>
      </c>
      <c r="AB24">
        <v>1</v>
      </c>
      <c r="AC24">
        <v>0</v>
      </c>
      <c r="AD24" s="1">
        <v>10.04040265698829</v>
      </c>
      <c r="AE24">
        <v>4</v>
      </c>
      <c r="AF24">
        <f>COUNTIFS(tblStock[sku],tblSKU[[#This Row],[sku]])</f>
        <v>2</v>
      </c>
      <c r="AG24" cm="1">
        <f t="array" ref="AG24">SUM(SUMIFS(tblStock[qty_units],tblStock[sku],tblSKU[[#This Row],[sku]],tblStock[stock_type],{"Saleable","FOC"}))</f>
        <v>36655</v>
      </c>
      <c r="AH24" s="3">
        <f>SUMIFS(tblStock[value_nzd],tblStock[sku],tblSKU[[#This Row],[sku]])</f>
        <v>136356.6</v>
      </c>
      <c r="AI24" s="4">
        <f>SUMIFS(tblStock[cbm],tblStock[sku],tblSKU[[#This Row],[sku]])</f>
        <v>3.856920555555555</v>
      </c>
      <c r="AJ24" s="1">
        <f>SUMIFS(tblStock[positions],tblStock[sku],tblSKU[[#This Row],[sku]])</f>
        <v>4</v>
      </c>
      <c r="AK24" s="3">
        <f>SUMIFS(tblStock[value_nzd],tblStock[sku],tblSKU[[#This Row],[sku]],tblStock[stock_type],"Expired")</f>
        <v>0</v>
      </c>
      <c r="AL24" s="3" cm="1">
        <f t="array" ref="AL24">SUM(SUMIFS(tblStock[value_nzd],tblStock[sku],tblSKU[[#This Row],[sku]],tblStock[stock_type],{"Saleable","FOC"},tblStock[expiry_date],"&lt;"&amp;EDATE(SnapshotDate,6)))</f>
        <v>0</v>
      </c>
    </row>
    <row r="25" spans="1:38">
      <c r="A25" s="1" t="s">
        <v>95</v>
      </c>
      <c r="B25" s="1" t="s">
        <v>96</v>
      </c>
      <c r="C25" s="1" t="s">
        <v>43</v>
      </c>
      <c r="D25" s="1" t="s">
        <v>37</v>
      </c>
      <c r="E25" s="1" t="s">
        <v>38</v>
      </c>
      <c r="F25" s="1" t="s">
        <v>39</v>
      </c>
      <c r="G25">
        <v>60</v>
      </c>
      <c r="H25">
        <v>32.5</v>
      </c>
      <c r="I25">
        <v>43.6</v>
      </c>
      <c r="J25">
        <v>17.5</v>
      </c>
      <c r="K25">
        <v>2.4799999999999999E-2</v>
      </c>
      <c r="L25">
        <v>5.25</v>
      </c>
      <c r="M25">
        <v>11.43</v>
      </c>
      <c r="N25">
        <v>6</v>
      </c>
      <c r="O25">
        <v>6</v>
      </c>
      <c r="P25">
        <v>36</v>
      </c>
      <c r="Q25">
        <v>120</v>
      </c>
      <c r="R25">
        <v>214</v>
      </c>
      <c r="S25">
        <v>0.89279999999999993</v>
      </c>
      <c r="T25">
        <v>22</v>
      </c>
      <c r="U25">
        <v>1818</v>
      </c>
      <c r="V25">
        <v>20779.739999999998</v>
      </c>
      <c r="W25" s="1" t="s">
        <v>1262</v>
      </c>
      <c r="X25" s="1" t="s">
        <v>1262</v>
      </c>
      <c r="Y25">
        <v>0.25882352941176473</v>
      </c>
      <c r="Z25">
        <v>4.9509803921568632E-2</v>
      </c>
      <c r="AA25" s="1" t="s">
        <v>1263</v>
      </c>
      <c r="AB25">
        <v>0</v>
      </c>
      <c r="AC25">
        <v>0</v>
      </c>
      <c r="AD25" s="1">
        <v>5.408140814081408</v>
      </c>
      <c r="AE25">
        <v>2</v>
      </c>
      <c r="AF25">
        <f>COUNTIFS(tblStock[sku],tblSKU[[#This Row],[sku]])</f>
        <v>3</v>
      </c>
      <c r="AG25" cm="1">
        <f t="array" ref="AG25">SUM(SUMIFS(tblStock[qty_units],tblStock[sku],tblSKU[[#This Row],[sku]],tblStock[stock_type],{"Saleable","FOC"}))</f>
        <v>2458</v>
      </c>
      <c r="AH25" s="3">
        <f>SUMIFS(tblStock[value_nzd],tblStock[sku],tblSKU[[#This Row],[sku]])</f>
        <v>28094.940000000002</v>
      </c>
      <c r="AI25" s="4">
        <f>SUMIFS(tblStock[cbm],tblStock[sku],tblSKU[[#This Row],[sku]])</f>
        <v>1.0159733333333334</v>
      </c>
      <c r="AJ25" s="1">
        <f>SUMIFS(tblStock[positions],tblStock[sku],tblSKU[[#This Row],[sku]])</f>
        <v>2</v>
      </c>
      <c r="AK25" s="3">
        <f>SUMIFS(tblStock[value_nzd],tblStock[sku],tblSKU[[#This Row],[sku]],tblStock[stock_type],"Expired")</f>
        <v>0</v>
      </c>
      <c r="AL25" s="3" cm="1">
        <f t="array" ref="AL25">SUM(SUMIFS(tblStock[value_nzd],tblStock[sku],tblSKU[[#This Row],[sku]],tblStock[stock_type],{"Saleable","FOC"},tblStock[expiry_date],"&lt;"&amp;EDATE(SnapshotDate,6)))</f>
        <v>0</v>
      </c>
    </row>
    <row r="26" spans="1:38">
      <c r="A26" s="1" t="s">
        <v>97</v>
      </c>
      <c r="B26" s="1" t="s">
        <v>98</v>
      </c>
      <c r="C26" s="1" t="s">
        <v>48</v>
      </c>
      <c r="D26" s="1" t="s">
        <v>37</v>
      </c>
      <c r="E26" s="1" t="s">
        <v>38</v>
      </c>
      <c r="F26" s="1" t="s">
        <v>39</v>
      </c>
      <c r="G26">
        <v>100</v>
      </c>
      <c r="H26">
        <v>51</v>
      </c>
      <c r="I26">
        <v>34.4</v>
      </c>
      <c r="J26">
        <v>31.2</v>
      </c>
      <c r="K26">
        <v>5.4739999999999997E-2</v>
      </c>
      <c r="L26">
        <v>9.81</v>
      </c>
      <c r="M26">
        <v>19.37</v>
      </c>
      <c r="N26">
        <v>4</v>
      </c>
      <c r="O26">
        <v>3</v>
      </c>
      <c r="P26">
        <v>12</v>
      </c>
      <c r="Q26">
        <v>108.6</v>
      </c>
      <c r="R26">
        <v>142.72</v>
      </c>
      <c r="S26">
        <v>0.65687999999999991</v>
      </c>
      <c r="T26">
        <v>90</v>
      </c>
      <c r="U26">
        <v>5720</v>
      </c>
      <c r="V26">
        <v>110796.40000000001</v>
      </c>
      <c r="W26" s="1" t="s">
        <v>1264</v>
      </c>
      <c r="X26" s="1" t="s">
        <v>1264</v>
      </c>
      <c r="Y26">
        <v>1.0588235294117647</v>
      </c>
      <c r="Z26">
        <v>0.2803921568627451</v>
      </c>
      <c r="AA26" s="1" t="s">
        <v>1265</v>
      </c>
      <c r="AB26">
        <v>1</v>
      </c>
      <c r="AC26">
        <v>0</v>
      </c>
      <c r="AD26" s="1">
        <v>6.9391608391608388</v>
      </c>
      <c r="AE26">
        <v>12</v>
      </c>
      <c r="AF26">
        <f>COUNTIFS(tblStock[sku],tblSKU[[#This Row],[sku]])</f>
        <v>2</v>
      </c>
      <c r="AG26" cm="1">
        <f t="array" ref="AG26">SUM(SUMIFS(tblStock[qty_units],tblStock[sku],tblSKU[[#This Row],[sku]],tblStock[stock_type],{"Saleable","FOC"}))</f>
        <v>9923</v>
      </c>
      <c r="AH26" s="3">
        <f>SUMIFS(tblStock[value_nzd],tblStock[sku],tblSKU[[#This Row],[sku]])</f>
        <v>192208.51</v>
      </c>
      <c r="AI26" s="4">
        <f>SUMIFS(tblStock[cbm],tblStock[sku],tblSKU[[#This Row],[sku]])</f>
        <v>5.4318501999999995</v>
      </c>
      <c r="AJ26" s="1">
        <f>SUMIFS(tblStock[positions],tblStock[sku],tblSKU[[#This Row],[sku]])</f>
        <v>9</v>
      </c>
      <c r="AK26" s="3">
        <f>SUMIFS(tblStock[value_nzd],tblStock[sku],tblSKU[[#This Row],[sku]],tblStock[stock_type],"Expired")</f>
        <v>0</v>
      </c>
      <c r="AL26" s="3" cm="1">
        <f t="array" ref="AL26">SUM(SUMIFS(tblStock[value_nzd],tblStock[sku],tblSKU[[#This Row],[sku]],tblStock[stock_type],{"Saleable","FOC"},tblStock[expiry_date],"&lt;"&amp;EDATE(SnapshotDate,6)))</f>
        <v>0</v>
      </c>
    </row>
    <row r="27" spans="1:38">
      <c r="A27" s="1" t="s">
        <v>99</v>
      </c>
      <c r="B27" s="1" t="s">
        <v>100</v>
      </c>
      <c r="C27" s="1" t="s">
        <v>67</v>
      </c>
      <c r="D27" s="1" t="s">
        <v>37</v>
      </c>
      <c r="E27" s="1" t="s">
        <v>38</v>
      </c>
      <c r="F27" s="1" t="s">
        <v>39</v>
      </c>
      <c r="G27">
        <v>240</v>
      </c>
      <c r="H27">
        <v>36.6</v>
      </c>
      <c r="I27">
        <v>37.200000000000003</v>
      </c>
      <c r="J27">
        <v>27</v>
      </c>
      <c r="K27">
        <v>3.6760000000000001E-2</v>
      </c>
      <c r="L27">
        <v>9.16</v>
      </c>
      <c r="M27">
        <v>9.61</v>
      </c>
      <c r="N27">
        <v>5</v>
      </c>
      <c r="O27">
        <v>4</v>
      </c>
      <c r="P27">
        <v>20</v>
      </c>
      <c r="Q27">
        <v>123</v>
      </c>
      <c r="R27">
        <v>208.2</v>
      </c>
      <c r="S27">
        <v>0.73520000000000008</v>
      </c>
      <c r="T27">
        <v>35</v>
      </c>
      <c r="U27">
        <v>3803</v>
      </c>
      <c r="V27">
        <v>36546.829999999994</v>
      </c>
      <c r="W27" s="1" t="s">
        <v>1258</v>
      </c>
      <c r="X27" s="1" t="s">
        <v>1258</v>
      </c>
      <c r="Y27">
        <v>0.41176470588235292</v>
      </c>
      <c r="Z27">
        <v>4.6605392156862747E-2</v>
      </c>
      <c r="AA27" s="1" t="s">
        <v>1259</v>
      </c>
      <c r="AB27">
        <v>0</v>
      </c>
      <c r="AC27">
        <v>1</v>
      </c>
      <c r="AD27" s="1">
        <v>5.8259268998159346</v>
      </c>
      <c r="AE27">
        <v>4</v>
      </c>
      <c r="AF27">
        <f>COUNTIFS(tblStock[sku],tblSKU[[#This Row],[sku]])</f>
        <v>4</v>
      </c>
      <c r="AG27" cm="1">
        <f t="array" ref="AG27">SUM(SUMIFS(tblStock[qty_units],tblStock[sku],tblSKU[[#This Row],[sku]],tblStock[stock_type],{"Saleable","FOC"}))</f>
        <v>5539</v>
      </c>
      <c r="AH27" s="3">
        <f>SUMIFS(tblStock[value_nzd],tblStock[sku],tblSKU[[#This Row],[sku]])</f>
        <v>54286.889999999992</v>
      </c>
      <c r="AI27" s="4">
        <f>SUMIFS(tblStock[cbm],tblStock[sku],tblSKU[[#This Row],[sku]])</f>
        <v>0.86523850000000002</v>
      </c>
      <c r="AJ27" s="1">
        <f>SUMIFS(tblStock[positions],tblStock[sku],tblSKU[[#This Row],[sku]])</f>
        <v>2</v>
      </c>
      <c r="AK27" s="3">
        <f>SUMIFS(tblStock[value_nzd],tblStock[sku],tblSKU[[#This Row],[sku]],tblStock[stock_type],"Expired")</f>
        <v>0</v>
      </c>
      <c r="AL27" s="3" cm="1">
        <f t="array" ref="AL27">SUM(SUMIFS(tblStock[value_nzd],tblStock[sku],tblSKU[[#This Row],[sku]],tblStock[stock_type],{"Saleable","FOC"},tblStock[expiry_date],"&lt;"&amp;EDATE(SnapshotDate,6)))</f>
        <v>18662.62</v>
      </c>
    </row>
    <row r="28" spans="1:38">
      <c r="A28" s="1" t="s">
        <v>101</v>
      </c>
      <c r="B28" s="1" t="s">
        <v>102</v>
      </c>
      <c r="C28" s="1" t="s">
        <v>43</v>
      </c>
      <c r="D28" s="1" t="s">
        <v>37</v>
      </c>
      <c r="E28" s="1" t="s">
        <v>38</v>
      </c>
      <c r="F28" s="1" t="s">
        <v>39</v>
      </c>
      <c r="G28">
        <v>100</v>
      </c>
      <c r="H28">
        <v>33.9</v>
      </c>
      <c r="I28">
        <v>42.9</v>
      </c>
      <c r="J28">
        <v>29.6</v>
      </c>
      <c r="K28">
        <v>4.3049999999999998E-2</v>
      </c>
      <c r="L28">
        <v>11.9</v>
      </c>
      <c r="M28">
        <v>15.11</v>
      </c>
      <c r="N28">
        <v>6</v>
      </c>
      <c r="O28">
        <v>3</v>
      </c>
      <c r="P28">
        <v>18</v>
      </c>
      <c r="Q28">
        <v>103.80000000000001</v>
      </c>
      <c r="R28">
        <v>239.20000000000002</v>
      </c>
      <c r="S28">
        <v>0.77489999999999992</v>
      </c>
      <c r="T28">
        <v>5</v>
      </c>
      <c r="U28">
        <v>274</v>
      </c>
      <c r="V28">
        <v>4140.1399999999994</v>
      </c>
      <c r="W28" s="1" t="s">
        <v>1262</v>
      </c>
      <c r="X28" s="1" t="s">
        <v>1262</v>
      </c>
      <c r="Y28">
        <v>5.8823529411764705E-2</v>
      </c>
      <c r="Z28">
        <v>8.954248366013072E-3</v>
      </c>
      <c r="AA28" s="1" t="s">
        <v>1263</v>
      </c>
      <c r="AB28">
        <v>0</v>
      </c>
      <c r="AC28">
        <v>0</v>
      </c>
      <c r="AD28" s="1">
        <v>8.540145985401459</v>
      </c>
      <c r="AE28">
        <v>2</v>
      </c>
      <c r="AF28">
        <f>COUNTIFS(tblStock[sku],tblSKU[[#This Row],[sku]])</f>
        <v>2</v>
      </c>
      <c r="AG28" cm="1">
        <f t="array" ref="AG28">SUM(SUMIFS(tblStock[qty_units],tblStock[sku],tblSKU[[#This Row],[sku]],tblStock[stock_type],{"Saleable","FOC"}))</f>
        <v>585</v>
      </c>
      <c r="AH28" s="3">
        <f>SUMIFS(tblStock[value_nzd],tblStock[sku],tblSKU[[#This Row],[sku]])</f>
        <v>8839.3499999999985</v>
      </c>
      <c r="AI28" s="4">
        <f>SUMIFS(tblStock[cbm],tblStock[sku],tblSKU[[#This Row],[sku]])</f>
        <v>0.25184249999999997</v>
      </c>
      <c r="AJ28" s="1">
        <f>SUMIFS(tblStock[positions],tblStock[sku],tblSKU[[#This Row],[sku]])</f>
        <v>0</v>
      </c>
      <c r="AK28" s="3">
        <f>SUMIFS(tblStock[value_nzd],tblStock[sku],tblSKU[[#This Row],[sku]],tblStock[stock_type],"Expired")</f>
        <v>0</v>
      </c>
      <c r="AL28" s="3" cm="1">
        <f t="array" ref="AL28">SUM(SUMIFS(tblStock[value_nzd],tblStock[sku],tblSKU[[#This Row],[sku]],tblStock[stock_type],{"Saleable","FOC"},tblStock[expiry_date],"&lt;"&amp;EDATE(SnapshotDate,6)))</f>
        <v>0</v>
      </c>
    </row>
    <row r="29" spans="1:38">
      <c r="A29" s="1" t="s">
        <v>103</v>
      </c>
      <c r="B29" s="1" t="s">
        <v>104</v>
      </c>
      <c r="C29" s="1" t="s">
        <v>43</v>
      </c>
      <c r="D29" s="1" t="s">
        <v>37</v>
      </c>
      <c r="E29" s="1" t="s">
        <v>38</v>
      </c>
      <c r="F29" s="1" t="s">
        <v>39</v>
      </c>
      <c r="G29">
        <v>100</v>
      </c>
      <c r="H29">
        <v>57.9</v>
      </c>
      <c r="I29">
        <v>35.299999999999997</v>
      </c>
      <c r="J29">
        <v>19.600000000000001</v>
      </c>
      <c r="K29">
        <v>4.0059999999999998E-2</v>
      </c>
      <c r="L29">
        <v>6.03</v>
      </c>
      <c r="M29">
        <v>11.09</v>
      </c>
      <c r="N29">
        <v>4</v>
      </c>
      <c r="O29">
        <v>4</v>
      </c>
      <c r="P29">
        <v>16</v>
      </c>
      <c r="Q29">
        <v>93.4</v>
      </c>
      <c r="R29">
        <v>121.48</v>
      </c>
      <c r="S29">
        <v>0.64095999999999997</v>
      </c>
      <c r="T29">
        <v>7</v>
      </c>
      <c r="U29">
        <v>405</v>
      </c>
      <c r="V29">
        <v>4491.45</v>
      </c>
      <c r="W29" s="1" t="s">
        <v>1262</v>
      </c>
      <c r="X29" s="1" t="s">
        <v>1262</v>
      </c>
      <c r="Y29">
        <v>8.2352941176470587E-2</v>
      </c>
      <c r="Z29">
        <v>1.488970588235294E-2</v>
      </c>
      <c r="AA29" s="1" t="s">
        <v>1263</v>
      </c>
      <c r="AB29">
        <v>0</v>
      </c>
      <c r="AC29">
        <v>0</v>
      </c>
      <c r="AD29" s="1">
        <v>3.7530864197530862</v>
      </c>
      <c r="AE29">
        <v>2</v>
      </c>
      <c r="AF29">
        <f>COUNTIFS(tblStock[sku],tblSKU[[#This Row],[sku]])</f>
        <v>4</v>
      </c>
      <c r="AG29" cm="1">
        <f t="array" ref="AG29">SUM(SUMIFS(tblStock[qty_units],tblStock[sku],tblSKU[[#This Row],[sku]],tblStock[stock_type],{"Saleable","FOC"}))</f>
        <v>380</v>
      </c>
      <c r="AH29" s="3">
        <f>SUMIFS(tblStock[value_nzd],tblStock[sku],tblSKU[[#This Row],[sku]])</f>
        <v>4214.2</v>
      </c>
      <c r="AI29" s="4">
        <f>SUMIFS(tblStock[cbm],tblStock[sku],tblSKU[[#This Row],[sku]])</f>
        <v>0.152228</v>
      </c>
      <c r="AJ29" s="1">
        <f>SUMIFS(tblStock[positions],tblStock[sku],tblSKU[[#This Row],[sku]])</f>
        <v>0</v>
      </c>
      <c r="AK29" s="3">
        <f>SUMIFS(tblStock[value_nzd],tblStock[sku],tblSKU[[#This Row],[sku]],tblStock[stock_type],"Expired")</f>
        <v>0</v>
      </c>
      <c r="AL29" s="3" cm="1">
        <f t="array" ref="AL29">SUM(SUMIFS(tblStock[value_nzd],tblStock[sku],tblSKU[[#This Row],[sku]],tblStock[stock_type],{"Saleable","FOC"},tblStock[expiry_date],"&lt;"&amp;EDATE(SnapshotDate,6)))</f>
        <v>0</v>
      </c>
    </row>
    <row r="30" spans="1:38">
      <c r="A30" s="1" t="s">
        <v>105</v>
      </c>
      <c r="B30" s="1" t="s">
        <v>106</v>
      </c>
      <c r="C30" s="1" t="s">
        <v>52</v>
      </c>
      <c r="D30" s="1" t="s">
        <v>37</v>
      </c>
      <c r="E30" s="1" t="s">
        <v>38</v>
      </c>
      <c r="F30" s="1" t="s">
        <v>39</v>
      </c>
      <c r="G30">
        <v>180</v>
      </c>
      <c r="H30">
        <v>42.1</v>
      </c>
      <c r="I30">
        <v>38.4</v>
      </c>
      <c r="J30">
        <v>18.899999999999999</v>
      </c>
      <c r="K30">
        <v>3.0550000000000001E-2</v>
      </c>
      <c r="L30">
        <v>8.3699999999999992</v>
      </c>
      <c r="M30">
        <v>21.04</v>
      </c>
      <c r="N30">
        <v>5</v>
      </c>
      <c r="O30">
        <v>4</v>
      </c>
      <c r="P30">
        <v>20</v>
      </c>
      <c r="Q30">
        <v>90.6</v>
      </c>
      <c r="R30">
        <v>192.39999999999998</v>
      </c>
      <c r="S30">
        <v>0.61099999999999999</v>
      </c>
      <c r="T30">
        <v>16</v>
      </c>
      <c r="U30">
        <v>922</v>
      </c>
      <c r="V30">
        <v>19398.88</v>
      </c>
      <c r="W30" s="1" t="s">
        <v>1262</v>
      </c>
      <c r="X30" s="1" t="s">
        <v>1262</v>
      </c>
      <c r="Y30">
        <v>0.18823529411764706</v>
      </c>
      <c r="Z30">
        <v>1.5065359477124183E-2</v>
      </c>
      <c r="AA30" s="1" t="s">
        <v>1263</v>
      </c>
      <c r="AB30">
        <v>0</v>
      </c>
      <c r="AC30">
        <v>0</v>
      </c>
      <c r="AD30" s="1">
        <v>6.8026030368763557</v>
      </c>
      <c r="AE30">
        <v>2</v>
      </c>
      <c r="AF30">
        <f>COUNTIFS(tblStock[sku],tblSKU[[#This Row],[sku]])</f>
        <v>1</v>
      </c>
      <c r="AG30" cm="1">
        <f t="array" ref="AG30">SUM(SUMIFS(tblStock[qty_units],tblStock[sku],tblSKU[[#This Row],[sku]],tblStock[stock_type],{"Saleable","FOC"}))</f>
        <v>1568</v>
      </c>
      <c r="AH30" s="3">
        <f>SUMIFS(tblStock[value_nzd],tblStock[sku],tblSKU[[#This Row],[sku]])</f>
        <v>32990.720000000001</v>
      </c>
      <c r="AI30" s="4">
        <f>SUMIFS(tblStock[cbm],tblStock[sku],tblSKU[[#This Row],[sku]])</f>
        <v>0.26612444444444444</v>
      </c>
      <c r="AJ30" s="1">
        <f>SUMIFS(tblStock[positions],tblStock[sku],tblSKU[[#This Row],[sku]])</f>
        <v>1</v>
      </c>
      <c r="AK30" s="3">
        <f>SUMIFS(tblStock[value_nzd],tblStock[sku],tblSKU[[#This Row],[sku]],tblStock[stock_type],"Expired")</f>
        <v>0</v>
      </c>
      <c r="AL30" s="3" cm="1">
        <f t="array" ref="AL30">SUM(SUMIFS(tblStock[value_nzd],tblStock[sku],tblSKU[[#This Row],[sku]],tblStock[stock_type],{"Saleable","FOC"},tblStock[expiry_date],"&lt;"&amp;EDATE(SnapshotDate,6)))</f>
        <v>0</v>
      </c>
    </row>
    <row r="31" spans="1:38">
      <c r="A31" s="1" t="s">
        <v>107</v>
      </c>
      <c r="B31" s="1" t="s">
        <v>108</v>
      </c>
      <c r="C31" s="1" t="s">
        <v>43</v>
      </c>
      <c r="D31" s="1" t="s">
        <v>37</v>
      </c>
      <c r="E31" s="1" t="s">
        <v>38</v>
      </c>
      <c r="F31" s="1" t="s">
        <v>39</v>
      </c>
      <c r="G31">
        <v>60</v>
      </c>
      <c r="H31">
        <v>56.5</v>
      </c>
      <c r="I31">
        <v>30.2</v>
      </c>
      <c r="J31">
        <v>31.8</v>
      </c>
      <c r="K31">
        <v>5.4260000000000003E-2</v>
      </c>
      <c r="L31">
        <v>12.08</v>
      </c>
      <c r="M31">
        <v>3.73</v>
      </c>
      <c r="N31">
        <v>6</v>
      </c>
      <c r="O31">
        <v>2</v>
      </c>
      <c r="P31">
        <v>12</v>
      </c>
      <c r="Q31">
        <v>78.599999999999994</v>
      </c>
      <c r="R31">
        <v>169.96</v>
      </c>
      <c r="S31">
        <v>0.65112000000000003</v>
      </c>
      <c r="T31">
        <v>5</v>
      </c>
      <c r="U31">
        <v>243</v>
      </c>
      <c r="V31">
        <v>906.39</v>
      </c>
      <c r="W31" s="1" t="s">
        <v>1262</v>
      </c>
      <c r="X31" s="1" t="s">
        <v>1262</v>
      </c>
      <c r="Y31">
        <v>5.8823529411764705E-2</v>
      </c>
      <c r="Z31">
        <v>1.9852941176470587E-2</v>
      </c>
      <c r="AA31" s="1" t="s">
        <v>1263</v>
      </c>
      <c r="AB31">
        <v>0</v>
      </c>
      <c r="AC31">
        <v>0</v>
      </c>
      <c r="AD31" s="1">
        <v>5.810699588477366</v>
      </c>
      <c r="AE31">
        <v>2</v>
      </c>
      <c r="AF31">
        <f>COUNTIFS(tblStock[sku],tblSKU[[#This Row],[sku]])</f>
        <v>2</v>
      </c>
      <c r="AG31" cm="1">
        <f t="array" ref="AG31">SUM(SUMIFS(tblStock[qty_units],tblStock[sku],tblSKU[[#This Row],[sku]],tblStock[stock_type],{"Saleable","FOC"}))</f>
        <v>353</v>
      </c>
      <c r="AH31" s="3">
        <f>SUMIFS(tblStock[value_nzd],tblStock[sku],tblSKU[[#This Row],[sku]])</f>
        <v>1316.69</v>
      </c>
      <c r="AI31" s="4">
        <f>SUMIFS(tblStock[cbm],tblStock[sku],tblSKU[[#This Row],[sku]])</f>
        <v>0.31922966666666669</v>
      </c>
      <c r="AJ31" s="1">
        <f>SUMIFS(tblStock[positions],tblStock[sku],tblSKU[[#This Row],[sku]])</f>
        <v>0</v>
      </c>
      <c r="AK31" s="3">
        <f>SUMIFS(tblStock[value_nzd],tblStock[sku],tblSKU[[#This Row],[sku]],tblStock[stock_type],"Expired")</f>
        <v>0</v>
      </c>
      <c r="AL31" s="3" cm="1">
        <f t="array" ref="AL31">SUM(SUMIFS(tblStock[value_nzd],tblStock[sku],tblSKU[[#This Row],[sku]],tblStock[stock_type],{"Saleable","FOC"},tblStock[expiry_date],"&lt;"&amp;EDATE(SnapshotDate,6)))</f>
        <v>0</v>
      </c>
    </row>
    <row r="32" spans="1:38">
      <c r="A32" s="1" t="s">
        <v>109</v>
      </c>
      <c r="B32" s="1" t="s">
        <v>110</v>
      </c>
      <c r="C32" s="1" t="s">
        <v>36</v>
      </c>
      <c r="D32" s="1" t="s">
        <v>37</v>
      </c>
      <c r="E32" s="1" t="s">
        <v>38</v>
      </c>
      <c r="F32" s="1" t="s">
        <v>39</v>
      </c>
      <c r="G32">
        <v>100</v>
      </c>
      <c r="H32">
        <v>52.7</v>
      </c>
      <c r="I32">
        <v>39</v>
      </c>
      <c r="J32">
        <v>31.5</v>
      </c>
      <c r="K32">
        <v>6.4740000000000006E-2</v>
      </c>
      <c r="L32">
        <v>10.75</v>
      </c>
      <c r="M32">
        <v>5.77</v>
      </c>
      <c r="N32">
        <v>4</v>
      </c>
      <c r="O32">
        <v>4</v>
      </c>
      <c r="P32">
        <v>16</v>
      </c>
      <c r="Q32">
        <v>141</v>
      </c>
      <c r="R32">
        <v>197</v>
      </c>
      <c r="S32">
        <v>1.0358400000000001</v>
      </c>
      <c r="T32">
        <v>251</v>
      </c>
      <c r="U32">
        <v>17501</v>
      </c>
      <c r="V32">
        <v>100980.76999999999</v>
      </c>
      <c r="W32" s="1" t="s">
        <v>1264</v>
      </c>
      <c r="X32" s="1" t="s">
        <v>1264</v>
      </c>
      <c r="Y32">
        <v>2.9529411764705884</v>
      </c>
      <c r="Z32">
        <v>0.64341911764705884</v>
      </c>
      <c r="AA32" s="1" t="s">
        <v>1265</v>
      </c>
      <c r="AB32">
        <v>1</v>
      </c>
      <c r="AC32">
        <v>0</v>
      </c>
      <c r="AD32" s="1">
        <v>9.1965030569681741</v>
      </c>
      <c r="AE32">
        <v>12</v>
      </c>
      <c r="AF32">
        <f>COUNTIFS(tblStock[sku],tblSKU[[#This Row],[sku]])</f>
        <v>2</v>
      </c>
      <c r="AG32" cm="1">
        <f t="array" ref="AG32">SUM(SUMIFS(tblStock[qty_units],tblStock[sku],tblSKU[[#This Row],[sku]],tblStock[stock_type],{"Saleable","FOC"}))</f>
        <v>40237</v>
      </c>
      <c r="AH32" s="3">
        <f>SUMIFS(tblStock[value_nzd],tblStock[sku],tblSKU[[#This Row],[sku]])</f>
        <v>232167.48999999996</v>
      </c>
      <c r="AI32" s="4">
        <f>SUMIFS(tblStock[cbm],tblStock[sku],tblSKU[[#This Row],[sku]])</f>
        <v>26.049433800000003</v>
      </c>
      <c r="AJ32" s="1">
        <f>SUMIFS(tblStock[positions],tblStock[sku],tblSKU[[#This Row],[sku]])</f>
        <v>26</v>
      </c>
      <c r="AK32" s="3">
        <f>SUMIFS(tblStock[value_nzd],tblStock[sku],tblSKU[[#This Row],[sku]],tblStock[stock_type],"Expired")</f>
        <v>0</v>
      </c>
      <c r="AL32" s="3" cm="1">
        <f t="array" ref="AL32">SUM(SUMIFS(tblStock[value_nzd],tblStock[sku],tblSKU[[#This Row],[sku]],tblStock[stock_type],{"Saleable","FOC"},tblStock[expiry_date],"&lt;"&amp;EDATE(SnapshotDate,6)))</f>
        <v>0</v>
      </c>
    </row>
    <row r="33" spans="1:38">
      <c r="A33" s="1" t="s">
        <v>111</v>
      </c>
      <c r="B33" s="1" t="s">
        <v>112</v>
      </c>
      <c r="C33" s="1" t="s">
        <v>48</v>
      </c>
      <c r="D33" s="1" t="s">
        <v>37</v>
      </c>
      <c r="E33" s="1" t="s">
        <v>38</v>
      </c>
      <c r="F33" s="1" t="s">
        <v>39</v>
      </c>
      <c r="G33">
        <v>100</v>
      </c>
      <c r="H33">
        <v>56.1</v>
      </c>
      <c r="I33">
        <v>30.3</v>
      </c>
      <c r="J33">
        <v>32.9</v>
      </c>
      <c r="K33">
        <v>5.5919999999999997E-2</v>
      </c>
      <c r="L33">
        <v>10.82</v>
      </c>
      <c r="M33">
        <v>10.85</v>
      </c>
      <c r="N33">
        <v>6</v>
      </c>
      <c r="O33">
        <v>3</v>
      </c>
      <c r="P33">
        <v>18</v>
      </c>
      <c r="Q33">
        <v>113.69999999999999</v>
      </c>
      <c r="R33">
        <v>219.76</v>
      </c>
      <c r="S33">
        <v>1.0065599999999999</v>
      </c>
      <c r="T33">
        <v>12</v>
      </c>
      <c r="U33">
        <v>354</v>
      </c>
      <c r="V33">
        <v>3840.9</v>
      </c>
      <c r="W33" s="1" t="s">
        <v>1262</v>
      </c>
      <c r="X33" s="1" t="s">
        <v>1262</v>
      </c>
      <c r="Y33">
        <v>0.14117647058823529</v>
      </c>
      <c r="Z33">
        <v>1.1568627450980393E-2</v>
      </c>
      <c r="AA33" s="1" t="s">
        <v>1263</v>
      </c>
      <c r="AB33">
        <v>0</v>
      </c>
      <c r="AC33">
        <v>0</v>
      </c>
      <c r="AD33" s="1">
        <v>6.4971751412429377</v>
      </c>
      <c r="AE33">
        <v>2</v>
      </c>
      <c r="AF33">
        <f>COUNTIFS(tblStock[sku],tblSKU[[#This Row],[sku]])</f>
        <v>1</v>
      </c>
      <c r="AG33" cm="1">
        <f t="array" ref="AG33">SUM(SUMIFS(tblStock[qty_units],tblStock[sku],tblSKU[[#This Row],[sku]],tblStock[stock_type],{"Saleable","FOC"}))</f>
        <v>575</v>
      </c>
      <c r="AH33" s="3">
        <f>SUMIFS(tblStock[value_nzd],tblStock[sku],tblSKU[[#This Row],[sku]])</f>
        <v>6238.75</v>
      </c>
      <c r="AI33" s="4">
        <f>SUMIFS(tblStock[cbm],tblStock[sku],tblSKU[[#This Row],[sku]])</f>
        <v>0.32153999999999999</v>
      </c>
      <c r="AJ33" s="1">
        <f>SUMIFS(tblStock[positions],tblStock[sku],tblSKU[[#This Row],[sku]])</f>
        <v>1</v>
      </c>
      <c r="AK33" s="3">
        <f>SUMIFS(tblStock[value_nzd],tblStock[sku],tblSKU[[#This Row],[sku]],tblStock[stock_type],"Expired")</f>
        <v>0</v>
      </c>
      <c r="AL33" s="3" cm="1">
        <f t="array" ref="AL33">SUM(SUMIFS(tblStock[value_nzd],tblStock[sku],tblSKU[[#This Row],[sku]],tblStock[stock_type],{"Saleable","FOC"},tblStock[expiry_date],"&lt;"&amp;EDATE(SnapshotDate,6)))</f>
        <v>0</v>
      </c>
    </row>
    <row r="34" spans="1:38">
      <c r="A34" s="1" t="s">
        <v>113</v>
      </c>
      <c r="B34" s="1" t="s">
        <v>114</v>
      </c>
      <c r="C34" s="1" t="s">
        <v>48</v>
      </c>
      <c r="D34" s="1" t="s">
        <v>37</v>
      </c>
      <c r="E34" s="1" t="s">
        <v>38</v>
      </c>
      <c r="F34" s="1" t="s">
        <v>39</v>
      </c>
      <c r="G34">
        <v>60</v>
      </c>
      <c r="H34">
        <v>33.1</v>
      </c>
      <c r="I34">
        <v>33.6</v>
      </c>
      <c r="J34">
        <v>31</v>
      </c>
      <c r="K34">
        <v>3.4479999999999997E-2</v>
      </c>
      <c r="L34">
        <v>6.29</v>
      </c>
      <c r="M34">
        <v>14.51</v>
      </c>
      <c r="N34">
        <v>9</v>
      </c>
      <c r="O34">
        <v>2</v>
      </c>
      <c r="P34">
        <v>18</v>
      </c>
      <c r="Q34">
        <v>77</v>
      </c>
      <c r="R34">
        <v>138.22</v>
      </c>
      <c r="S34">
        <v>0.62063999999999997</v>
      </c>
      <c r="T34">
        <v>69</v>
      </c>
      <c r="U34">
        <v>1745</v>
      </c>
      <c r="V34">
        <v>25319.95</v>
      </c>
      <c r="W34" s="1" t="s">
        <v>1258</v>
      </c>
      <c r="X34" s="1" t="s">
        <v>1262</v>
      </c>
      <c r="Y34">
        <v>0.81176470588235294</v>
      </c>
      <c r="Z34">
        <v>9.5043572984749469E-2</v>
      </c>
      <c r="AA34" s="1" t="s">
        <v>1259</v>
      </c>
      <c r="AB34">
        <v>0</v>
      </c>
      <c r="AC34">
        <v>1</v>
      </c>
      <c r="AD34" s="1">
        <v>3.0808022922636105</v>
      </c>
      <c r="AE34">
        <v>2</v>
      </c>
      <c r="AF34">
        <f>COUNTIFS(tblStock[sku],tblSKU[[#This Row],[sku]])</f>
        <v>2</v>
      </c>
      <c r="AG34" cm="1">
        <f t="array" ref="AG34">SUM(SUMIFS(tblStock[qty_units],tblStock[sku],tblSKU[[#This Row],[sku]],tblStock[stock_type],{"Saleable","FOC"}))</f>
        <v>1344</v>
      </c>
      <c r="AH34" s="3">
        <f>SUMIFS(tblStock[value_nzd],tblStock[sku],tblSKU[[#This Row],[sku]])</f>
        <v>19501.439999999999</v>
      </c>
      <c r="AI34" s="4">
        <f>SUMIFS(tblStock[cbm],tblStock[sku],tblSKU[[#This Row],[sku]])</f>
        <v>0.77235199999999993</v>
      </c>
      <c r="AJ34" s="1">
        <f>SUMIFS(tblStock[positions],tblStock[sku],tblSKU[[#This Row],[sku]])</f>
        <v>2</v>
      </c>
      <c r="AK34" s="3">
        <f>SUMIFS(tblStock[value_nzd],tblStock[sku],tblSKU[[#This Row],[sku]],tblStock[stock_type],"Expired")</f>
        <v>0</v>
      </c>
      <c r="AL34" s="3" cm="1">
        <f t="array" ref="AL34">SUM(SUMIFS(tblStock[value_nzd],tblStock[sku],tblSKU[[#This Row],[sku]],tblStock[stock_type],{"Saleable","FOC"},tblStock[expiry_date],"&lt;"&amp;EDATE(SnapshotDate,6)))</f>
        <v>0</v>
      </c>
    </row>
    <row r="35" spans="1:38">
      <c r="A35" s="1" t="s">
        <v>115</v>
      </c>
      <c r="B35" s="1" t="s">
        <v>116</v>
      </c>
      <c r="C35" s="1" t="s">
        <v>70</v>
      </c>
      <c r="D35" s="1" t="s">
        <v>37</v>
      </c>
      <c r="E35" s="1" t="s">
        <v>38</v>
      </c>
      <c r="F35" s="1" t="s">
        <v>39</v>
      </c>
      <c r="G35">
        <v>240</v>
      </c>
      <c r="H35">
        <v>59.6</v>
      </c>
      <c r="I35">
        <v>34.9</v>
      </c>
      <c r="J35">
        <v>26.8</v>
      </c>
      <c r="K35">
        <v>5.5750000000000001E-2</v>
      </c>
      <c r="L35">
        <v>14.35</v>
      </c>
      <c r="M35">
        <v>22.98</v>
      </c>
      <c r="N35">
        <v>2</v>
      </c>
      <c r="O35">
        <v>2</v>
      </c>
      <c r="P35">
        <v>4</v>
      </c>
      <c r="Q35">
        <v>68.599999999999994</v>
      </c>
      <c r="R35">
        <v>82.4</v>
      </c>
      <c r="S35">
        <v>0.223</v>
      </c>
      <c r="T35">
        <v>466</v>
      </c>
      <c r="U35">
        <v>57516</v>
      </c>
      <c r="V35">
        <v>1321717.68</v>
      </c>
      <c r="W35" s="1" t="s">
        <v>1264</v>
      </c>
      <c r="X35" s="1" t="s">
        <v>1264</v>
      </c>
      <c r="Y35">
        <v>5.4823529411764707</v>
      </c>
      <c r="Z35">
        <v>3.5242647058823531</v>
      </c>
      <c r="AA35" s="1" t="s">
        <v>1265</v>
      </c>
      <c r="AB35">
        <v>1</v>
      </c>
      <c r="AC35">
        <v>0</v>
      </c>
      <c r="AD35" s="1">
        <v>3.6203491202448013</v>
      </c>
      <c r="AE35">
        <v>12</v>
      </c>
      <c r="AF35">
        <f>COUNTIFS(tblStock[sku],tblSKU[[#This Row],[sku]])</f>
        <v>1</v>
      </c>
      <c r="AG35" cm="1">
        <f t="array" ref="AG35">SUM(SUMIFS(tblStock[qty_units],tblStock[sku],tblSKU[[#This Row],[sku]],tblStock[stock_type],{"Saleable","FOC"}))</f>
        <v>52057</v>
      </c>
      <c r="AH35" s="3">
        <f>SUMIFS(tblStock[value_nzd],tblStock[sku],tblSKU[[#This Row],[sku]])</f>
        <v>1196269.8600000001</v>
      </c>
      <c r="AI35" s="4">
        <f>SUMIFS(tblStock[cbm],tblStock[sku],tblSKU[[#This Row],[sku]])</f>
        <v>12.092407291666667</v>
      </c>
      <c r="AJ35" s="1">
        <f>SUMIFS(tblStock[positions],tblStock[sku],tblSKU[[#This Row],[sku]])</f>
        <v>55</v>
      </c>
      <c r="AK35" s="3">
        <f>SUMIFS(tblStock[value_nzd],tblStock[sku],tblSKU[[#This Row],[sku]],tblStock[stock_type],"Expired")</f>
        <v>0</v>
      </c>
      <c r="AL35" s="3" cm="1">
        <f t="array" ref="AL35">SUM(SUMIFS(tblStock[value_nzd],tblStock[sku],tblSKU[[#This Row],[sku]],tblStock[stock_type],{"Saleable","FOC"},tblStock[expiry_date],"&lt;"&amp;EDATE(SnapshotDate,6)))</f>
        <v>0</v>
      </c>
    </row>
    <row r="36" spans="1:38">
      <c r="A36" s="1" t="s">
        <v>117</v>
      </c>
      <c r="B36" s="1" t="s">
        <v>118</v>
      </c>
      <c r="C36" s="1" t="s">
        <v>36</v>
      </c>
      <c r="D36" s="1" t="s">
        <v>37</v>
      </c>
      <c r="E36" s="1" t="s">
        <v>38</v>
      </c>
      <c r="F36" s="1" t="s">
        <v>39</v>
      </c>
      <c r="G36">
        <v>100</v>
      </c>
      <c r="H36">
        <v>57.8</v>
      </c>
      <c r="I36">
        <v>36.700000000000003</v>
      </c>
      <c r="J36">
        <v>22.1</v>
      </c>
      <c r="K36">
        <v>4.6879999999999998E-2</v>
      </c>
      <c r="L36">
        <v>9.02</v>
      </c>
      <c r="M36">
        <v>23.52</v>
      </c>
      <c r="N36">
        <v>4</v>
      </c>
      <c r="O36">
        <v>3</v>
      </c>
      <c r="P36">
        <v>12</v>
      </c>
      <c r="Q36">
        <v>81.300000000000011</v>
      </c>
      <c r="R36">
        <v>133.24</v>
      </c>
      <c r="S36">
        <v>0.56255999999999995</v>
      </c>
      <c r="T36">
        <v>40</v>
      </c>
      <c r="U36">
        <v>2950</v>
      </c>
      <c r="V36">
        <v>69384</v>
      </c>
      <c r="W36" s="1" t="s">
        <v>1258</v>
      </c>
      <c r="X36" s="1" t="s">
        <v>1258</v>
      </c>
      <c r="Y36">
        <v>0.47058823529411764</v>
      </c>
      <c r="Z36">
        <v>0.14460784313725492</v>
      </c>
      <c r="AA36" s="1" t="s">
        <v>1259</v>
      </c>
      <c r="AB36">
        <v>0</v>
      </c>
      <c r="AC36">
        <v>1</v>
      </c>
      <c r="AD36" s="1">
        <v>5.5430508474576268</v>
      </c>
      <c r="AE36">
        <v>4</v>
      </c>
      <c r="AF36">
        <f>COUNTIFS(tblStock[sku],tblSKU[[#This Row],[sku]])</f>
        <v>1</v>
      </c>
      <c r="AG36" cm="1">
        <f t="array" ref="AG36">SUM(SUMIFS(tblStock[qty_units],tblStock[sku],tblSKU[[#This Row],[sku]],tblStock[stock_type],{"Saleable","FOC"}))</f>
        <v>4088</v>
      </c>
      <c r="AH36" s="3">
        <f>SUMIFS(tblStock[value_nzd],tblStock[sku],tblSKU[[#This Row],[sku]])</f>
        <v>96149.759999999995</v>
      </c>
      <c r="AI36" s="4">
        <f>SUMIFS(tblStock[cbm],tblStock[sku],tblSKU[[#This Row],[sku]])</f>
        <v>1.9164544000000001</v>
      </c>
      <c r="AJ36" s="1">
        <f>SUMIFS(tblStock[positions],tblStock[sku],tblSKU[[#This Row],[sku]])</f>
        <v>4</v>
      </c>
      <c r="AK36" s="3">
        <f>SUMIFS(tblStock[value_nzd],tblStock[sku],tblSKU[[#This Row],[sku]],tblStock[stock_type],"Expired")</f>
        <v>0</v>
      </c>
      <c r="AL36" s="3" cm="1">
        <f t="array" ref="AL36">SUM(SUMIFS(tblStock[value_nzd],tblStock[sku],tblSKU[[#This Row],[sku]],tblStock[stock_type],{"Saleable","FOC"},tblStock[expiry_date],"&lt;"&amp;EDATE(SnapshotDate,6)))</f>
        <v>0</v>
      </c>
    </row>
    <row r="37" spans="1:38">
      <c r="A37" s="1" t="s">
        <v>119</v>
      </c>
      <c r="B37" s="1" t="s">
        <v>120</v>
      </c>
      <c r="C37" s="1" t="s">
        <v>67</v>
      </c>
      <c r="D37" s="1" t="s">
        <v>37</v>
      </c>
      <c r="E37" s="1" t="s">
        <v>38</v>
      </c>
      <c r="F37" s="1" t="s">
        <v>39</v>
      </c>
      <c r="G37">
        <v>240</v>
      </c>
      <c r="H37">
        <v>51.9</v>
      </c>
      <c r="I37">
        <v>42.4</v>
      </c>
      <c r="J37">
        <v>18.3</v>
      </c>
      <c r="K37">
        <v>4.027E-2</v>
      </c>
      <c r="L37">
        <v>7.05</v>
      </c>
      <c r="M37">
        <v>14.42</v>
      </c>
      <c r="N37">
        <v>4</v>
      </c>
      <c r="O37">
        <v>4</v>
      </c>
      <c r="P37">
        <v>16</v>
      </c>
      <c r="Q37">
        <v>88.2</v>
      </c>
      <c r="R37">
        <v>137.80000000000001</v>
      </c>
      <c r="S37">
        <v>0.64432</v>
      </c>
      <c r="T37">
        <v>18</v>
      </c>
      <c r="U37">
        <v>1590</v>
      </c>
      <c r="V37">
        <v>22927.8</v>
      </c>
      <c r="W37" s="1" t="s">
        <v>1262</v>
      </c>
      <c r="X37" s="1" t="s">
        <v>1262</v>
      </c>
      <c r="Y37">
        <v>0.21176470588235294</v>
      </c>
      <c r="Z37">
        <v>2.4356617647058824E-2</v>
      </c>
      <c r="AA37" s="1" t="s">
        <v>1263</v>
      </c>
      <c r="AB37">
        <v>0</v>
      </c>
      <c r="AC37">
        <v>0</v>
      </c>
      <c r="AD37" s="1">
        <v>7.313207547169811</v>
      </c>
      <c r="AE37">
        <v>2</v>
      </c>
      <c r="AF37">
        <f>COUNTIFS(tblStock[sku],tblSKU[[#This Row],[sku]])</f>
        <v>2</v>
      </c>
      <c r="AG37" cm="1">
        <f t="array" ref="AG37">SUM(SUMIFS(tblStock[qty_units],tblStock[sku],tblSKU[[#This Row],[sku]],tblStock[stock_type],{"Saleable","FOC"}))</f>
        <v>2907</v>
      </c>
      <c r="AH37" s="3">
        <f>SUMIFS(tblStock[value_nzd],tblStock[sku],tblSKU[[#This Row],[sku]])</f>
        <v>42755.3</v>
      </c>
      <c r="AI37" s="4">
        <f>SUMIFS(tblStock[cbm],tblStock[sku],tblSKU[[#This Row],[sku]])</f>
        <v>0.49750229166666671</v>
      </c>
      <c r="AJ37" s="1">
        <f>SUMIFS(tblStock[positions],tblStock[sku],tblSKU[[#This Row],[sku]])</f>
        <v>1</v>
      </c>
      <c r="AK37" s="3">
        <f>SUMIFS(tblStock[value_nzd],tblStock[sku],tblSKU[[#This Row],[sku]],tblStock[stock_type],"Expired")</f>
        <v>0</v>
      </c>
      <c r="AL37" s="3" cm="1">
        <f t="array" ref="AL37">SUM(SUMIFS(tblStock[value_nzd],tblStock[sku],tblSKU[[#This Row],[sku]],tblStock[stock_type],{"Saleable","FOC"},tblStock[expiry_date],"&lt;"&amp;EDATE(SnapshotDate,6)))</f>
        <v>0</v>
      </c>
    </row>
    <row r="38" spans="1:38">
      <c r="A38" s="1" t="s">
        <v>121</v>
      </c>
      <c r="B38" s="1" t="s">
        <v>122</v>
      </c>
      <c r="C38" s="1" t="s">
        <v>70</v>
      </c>
      <c r="D38" s="1" t="s">
        <v>37</v>
      </c>
      <c r="E38" s="1" t="s">
        <v>38</v>
      </c>
      <c r="F38" s="1" t="s">
        <v>39</v>
      </c>
      <c r="G38">
        <v>60</v>
      </c>
      <c r="H38">
        <v>33.299999999999997</v>
      </c>
      <c r="I38">
        <v>39.5</v>
      </c>
      <c r="J38">
        <v>26.9</v>
      </c>
      <c r="K38">
        <v>3.5380000000000002E-2</v>
      </c>
      <c r="L38">
        <v>5.79</v>
      </c>
      <c r="M38">
        <v>19.53</v>
      </c>
      <c r="N38">
        <v>9</v>
      </c>
      <c r="O38">
        <v>5</v>
      </c>
      <c r="P38">
        <v>45</v>
      </c>
      <c r="Q38">
        <v>149.5</v>
      </c>
      <c r="R38">
        <v>285.55</v>
      </c>
      <c r="S38">
        <v>1.5921000000000001</v>
      </c>
      <c r="T38">
        <v>56</v>
      </c>
      <c r="U38">
        <v>3303</v>
      </c>
      <c r="V38">
        <v>64507.590000000004</v>
      </c>
      <c r="W38" s="1" t="s">
        <v>1258</v>
      </c>
      <c r="X38" s="1" t="s">
        <v>1258</v>
      </c>
      <c r="Y38">
        <v>0.6588235294117647</v>
      </c>
      <c r="Z38">
        <v>7.1960784313725476E-2</v>
      </c>
      <c r="AA38" s="1" t="s">
        <v>1259</v>
      </c>
      <c r="AB38">
        <v>0</v>
      </c>
      <c r="AC38">
        <v>1</v>
      </c>
      <c r="AD38" s="1">
        <v>5.4713896457765667</v>
      </c>
      <c r="AE38">
        <v>4</v>
      </c>
      <c r="AF38">
        <f>COUNTIFS(tblStock[sku],tblSKU[[#This Row],[sku]])</f>
        <v>1</v>
      </c>
      <c r="AG38" cm="1">
        <f t="array" ref="AG38">SUM(SUMIFS(tblStock[qty_units],tblStock[sku],tblSKU[[#This Row],[sku]],tblStock[stock_type],{"Saleable","FOC"}))</f>
        <v>4518</v>
      </c>
      <c r="AH38" s="3">
        <f>SUMIFS(tblStock[value_nzd],tblStock[sku],tblSKU[[#This Row],[sku]])</f>
        <v>88236.540000000008</v>
      </c>
      <c r="AI38" s="4">
        <f>SUMIFS(tblStock[cbm],tblStock[sku],tblSKU[[#This Row],[sku]])</f>
        <v>2.6641140000000001</v>
      </c>
      <c r="AJ38" s="1">
        <f>SUMIFS(tblStock[positions],tblStock[sku],tblSKU[[#This Row],[sku]])</f>
        <v>2</v>
      </c>
      <c r="AK38" s="3">
        <f>SUMIFS(tblStock[value_nzd],tblStock[sku],tblSKU[[#This Row],[sku]],tblStock[stock_type],"Expired")</f>
        <v>0</v>
      </c>
      <c r="AL38" s="3" cm="1">
        <f t="array" ref="AL38">SUM(SUMIFS(tblStock[value_nzd],tblStock[sku],tblSKU[[#This Row],[sku]],tblStock[stock_type],{"Saleable","FOC"},tblStock[expiry_date],"&lt;"&amp;EDATE(SnapshotDate,6)))</f>
        <v>0</v>
      </c>
    </row>
    <row r="39" spans="1:38">
      <c r="A39" s="1" t="s">
        <v>123</v>
      </c>
      <c r="B39" s="1" t="s">
        <v>124</v>
      </c>
      <c r="C39" s="1" t="s">
        <v>70</v>
      </c>
      <c r="D39" s="1" t="s">
        <v>37</v>
      </c>
      <c r="E39" s="1" t="s">
        <v>38</v>
      </c>
      <c r="F39" s="1" t="s">
        <v>39</v>
      </c>
      <c r="G39">
        <v>180</v>
      </c>
      <c r="H39">
        <v>46.2</v>
      </c>
      <c r="I39">
        <v>28.8</v>
      </c>
      <c r="J39">
        <v>21.9</v>
      </c>
      <c r="K39">
        <v>2.9139999999999999E-2</v>
      </c>
      <c r="L39">
        <v>8.23</v>
      </c>
      <c r="M39">
        <v>4.3499999999999996</v>
      </c>
      <c r="N39">
        <v>8</v>
      </c>
      <c r="O39">
        <v>3</v>
      </c>
      <c r="P39">
        <v>24</v>
      </c>
      <c r="Q39">
        <v>80.699999999999989</v>
      </c>
      <c r="R39">
        <v>222.52</v>
      </c>
      <c r="S39">
        <v>0.69935999999999998</v>
      </c>
      <c r="T39">
        <v>1</v>
      </c>
      <c r="U39">
        <v>17</v>
      </c>
      <c r="V39">
        <v>73.949999999999989</v>
      </c>
      <c r="W39" s="1" t="s">
        <v>1262</v>
      </c>
      <c r="X39" s="1" t="s">
        <v>1262</v>
      </c>
      <c r="Y39">
        <v>1.1764705882352941E-2</v>
      </c>
      <c r="Z39">
        <v>2.3148148148148149E-4</v>
      </c>
      <c r="AA39" s="1" t="s">
        <v>1263</v>
      </c>
      <c r="AB39">
        <v>0</v>
      </c>
      <c r="AC39">
        <v>0</v>
      </c>
      <c r="AD39" s="1">
        <v>12.470588235294118</v>
      </c>
      <c r="AE39">
        <v>2</v>
      </c>
      <c r="AF39">
        <f>COUNTIFS(tblStock[sku],tblSKU[[#This Row],[sku]])</f>
        <v>3</v>
      </c>
      <c r="AG39" cm="1">
        <f t="array" ref="AG39">SUM(SUMIFS(tblStock[qty_units],tblStock[sku],tblSKU[[#This Row],[sku]],tblStock[stock_type],{"Saleable","FOC"}))</f>
        <v>53</v>
      </c>
      <c r="AH39" s="3">
        <f>SUMIFS(tblStock[value_nzd],tblStock[sku],tblSKU[[#This Row],[sku]])</f>
        <v>230.55</v>
      </c>
      <c r="AI39" s="4">
        <f>SUMIFS(tblStock[cbm],tblStock[sku],tblSKU[[#This Row],[sku]])</f>
        <v>8.5801111111111113E-3</v>
      </c>
      <c r="AJ39" s="1">
        <f>SUMIFS(tblStock[positions],tblStock[sku],tblSKU[[#This Row],[sku]])</f>
        <v>0</v>
      </c>
      <c r="AK39" s="3">
        <f>SUMIFS(tblStock[value_nzd],tblStock[sku],tblSKU[[#This Row],[sku]],tblStock[stock_type],"Expired")</f>
        <v>0</v>
      </c>
      <c r="AL39" s="3" cm="1">
        <f t="array" ref="AL39">SUM(SUMIFS(tblStock[value_nzd],tblStock[sku],tblSKU[[#This Row],[sku]],tblStock[stock_type],{"Saleable","FOC"},tblStock[expiry_date],"&lt;"&amp;EDATE(SnapshotDate,6)))</f>
        <v>0</v>
      </c>
    </row>
    <row r="40" spans="1:38">
      <c r="A40" s="1" t="s">
        <v>125</v>
      </c>
      <c r="B40" s="1" t="s">
        <v>126</v>
      </c>
      <c r="C40" s="1" t="s">
        <v>52</v>
      </c>
      <c r="D40" s="1" t="s">
        <v>37</v>
      </c>
      <c r="E40" s="1" t="s">
        <v>38</v>
      </c>
      <c r="F40" s="1" t="s">
        <v>39</v>
      </c>
      <c r="G40">
        <v>100</v>
      </c>
      <c r="H40">
        <v>43.3</v>
      </c>
      <c r="I40">
        <v>41.9</v>
      </c>
      <c r="J40">
        <v>27</v>
      </c>
      <c r="K40">
        <v>4.8989999999999999E-2</v>
      </c>
      <c r="L40">
        <v>11.04</v>
      </c>
      <c r="M40">
        <v>13.85</v>
      </c>
      <c r="N40">
        <v>4</v>
      </c>
      <c r="O40">
        <v>3</v>
      </c>
      <c r="P40">
        <v>12</v>
      </c>
      <c r="Q40">
        <v>96</v>
      </c>
      <c r="R40">
        <v>157.47999999999999</v>
      </c>
      <c r="S40">
        <v>0.58787999999999996</v>
      </c>
      <c r="T40">
        <v>8</v>
      </c>
      <c r="U40">
        <v>664</v>
      </c>
      <c r="V40">
        <v>9196.4</v>
      </c>
      <c r="W40" s="1" t="s">
        <v>1262</v>
      </c>
      <c r="X40" s="1" t="s">
        <v>1262</v>
      </c>
      <c r="Y40">
        <v>9.4117647058823528E-2</v>
      </c>
      <c r="Z40">
        <v>3.2549019607843135E-2</v>
      </c>
      <c r="AA40" s="1" t="s">
        <v>1263</v>
      </c>
      <c r="AB40">
        <v>0</v>
      </c>
      <c r="AC40">
        <v>0</v>
      </c>
      <c r="AD40" s="1">
        <v>19.060240963855421</v>
      </c>
      <c r="AE40">
        <v>2</v>
      </c>
      <c r="AF40">
        <f>COUNTIFS(tblStock[sku],tblSKU[[#This Row],[sku]])</f>
        <v>4</v>
      </c>
      <c r="AG40" cm="1">
        <f t="array" ref="AG40">SUM(SUMIFS(tblStock[qty_units],tblStock[sku],tblSKU[[#This Row],[sku]],tblStock[stock_type],{"Saleable","FOC"}))</f>
        <v>3164</v>
      </c>
      <c r="AH40" s="3">
        <f>SUMIFS(tblStock[value_nzd],tblStock[sku],tblSKU[[#This Row],[sku]])</f>
        <v>43821.4</v>
      </c>
      <c r="AI40" s="4">
        <f>SUMIFS(tblStock[cbm],tblStock[sku],tblSKU[[#This Row],[sku]])</f>
        <v>1.5500436</v>
      </c>
      <c r="AJ40" s="1">
        <f>SUMIFS(tblStock[positions],tblStock[sku],tblSKU[[#This Row],[sku]])</f>
        <v>4</v>
      </c>
      <c r="AK40" s="3">
        <f>SUMIFS(tblStock[value_nzd],tblStock[sku],tblSKU[[#This Row],[sku]],tblStock[stock_type],"Expired")</f>
        <v>0</v>
      </c>
      <c r="AL40" s="3" cm="1">
        <f t="array" ref="AL40">SUM(SUMIFS(tblStock[value_nzd],tblStock[sku],tblSKU[[#This Row],[sku]],tblStock[stock_type],{"Saleable","FOC"},tblStock[expiry_date],"&lt;"&amp;EDATE(SnapshotDate,6)))</f>
        <v>16993.95</v>
      </c>
    </row>
    <row r="41" spans="1:38">
      <c r="A41" s="1" t="s">
        <v>127</v>
      </c>
      <c r="B41" s="1" t="s">
        <v>128</v>
      </c>
      <c r="C41" s="1" t="s">
        <v>36</v>
      </c>
      <c r="D41" s="1" t="s">
        <v>37</v>
      </c>
      <c r="E41" s="1" t="s">
        <v>38</v>
      </c>
      <c r="F41" s="1" t="s">
        <v>39</v>
      </c>
      <c r="G41">
        <v>100</v>
      </c>
      <c r="H41">
        <v>56.8</v>
      </c>
      <c r="I41">
        <v>32.1</v>
      </c>
      <c r="J41">
        <v>19.7</v>
      </c>
      <c r="K41">
        <v>3.5920000000000001E-2</v>
      </c>
      <c r="L41">
        <v>8</v>
      </c>
      <c r="M41">
        <v>24.46</v>
      </c>
      <c r="N41">
        <v>6</v>
      </c>
      <c r="O41">
        <v>6</v>
      </c>
      <c r="P41">
        <v>36</v>
      </c>
      <c r="Q41">
        <v>133.19999999999999</v>
      </c>
      <c r="R41">
        <v>313</v>
      </c>
      <c r="S41">
        <v>1.29312</v>
      </c>
      <c r="T41">
        <v>46</v>
      </c>
      <c r="U41">
        <v>2615</v>
      </c>
      <c r="V41">
        <v>63962.9</v>
      </c>
      <c r="W41" s="1" t="s">
        <v>1258</v>
      </c>
      <c r="X41" s="1" t="s">
        <v>1258</v>
      </c>
      <c r="Y41">
        <v>0.54117647058823526</v>
      </c>
      <c r="Z41">
        <v>4.2728758169934634E-2</v>
      </c>
      <c r="AA41" s="1" t="s">
        <v>1259</v>
      </c>
      <c r="AB41">
        <v>0</v>
      </c>
      <c r="AC41">
        <v>1</v>
      </c>
      <c r="AD41" s="1">
        <v>4.6745697896749521</v>
      </c>
      <c r="AE41">
        <v>4</v>
      </c>
      <c r="AF41">
        <f>COUNTIFS(tblStock[sku],tblSKU[[#This Row],[sku]])</f>
        <v>1</v>
      </c>
      <c r="AG41" cm="1">
        <f t="array" ref="AG41">SUM(SUMIFS(tblStock[qty_units],tblStock[sku],tblSKU[[#This Row],[sku]],tblStock[stock_type],{"Saleable","FOC"}))</f>
        <v>3056</v>
      </c>
      <c r="AH41" s="3">
        <f>SUMIFS(tblStock[value_nzd],tblStock[sku],tblSKU[[#This Row],[sku]])</f>
        <v>74749.760000000009</v>
      </c>
      <c r="AI41" s="4">
        <f>SUMIFS(tblStock[cbm],tblStock[sku],tblSKU[[#This Row],[sku]])</f>
        <v>1.0977151999999999</v>
      </c>
      <c r="AJ41" s="1">
        <f>SUMIFS(tblStock[positions],tblStock[sku],tblSKU[[#This Row],[sku]])</f>
        <v>1</v>
      </c>
      <c r="AK41" s="3">
        <f>SUMIFS(tblStock[value_nzd],tblStock[sku],tblSKU[[#This Row],[sku]],tblStock[stock_type],"Expired")</f>
        <v>0</v>
      </c>
      <c r="AL41" s="3" cm="1">
        <f t="array" ref="AL41">SUM(SUMIFS(tblStock[value_nzd],tblStock[sku],tblSKU[[#This Row],[sku]],tblStock[stock_type],{"Saleable","FOC"},tblStock[expiry_date],"&lt;"&amp;EDATE(SnapshotDate,6)))</f>
        <v>0</v>
      </c>
    </row>
    <row r="42" spans="1:38">
      <c r="A42" s="1" t="s">
        <v>129</v>
      </c>
      <c r="B42" s="1" t="s">
        <v>130</v>
      </c>
      <c r="C42" s="1" t="s">
        <v>36</v>
      </c>
      <c r="D42" s="1" t="s">
        <v>37</v>
      </c>
      <c r="E42" s="1" t="s">
        <v>38</v>
      </c>
      <c r="F42" s="1" t="s">
        <v>39</v>
      </c>
      <c r="G42">
        <v>180</v>
      </c>
      <c r="H42">
        <v>50.2</v>
      </c>
      <c r="I42">
        <v>38.4</v>
      </c>
      <c r="J42">
        <v>33.700000000000003</v>
      </c>
      <c r="K42">
        <v>6.4960000000000004E-2</v>
      </c>
      <c r="L42">
        <v>15.47</v>
      </c>
      <c r="M42">
        <v>8.5399999999999991</v>
      </c>
      <c r="N42">
        <v>2</v>
      </c>
      <c r="O42">
        <v>4</v>
      </c>
      <c r="P42">
        <v>8</v>
      </c>
      <c r="Q42">
        <v>149.80000000000001</v>
      </c>
      <c r="R42">
        <v>148.76</v>
      </c>
      <c r="S42">
        <v>0.51968000000000003</v>
      </c>
      <c r="T42">
        <v>1</v>
      </c>
      <c r="U42">
        <v>178</v>
      </c>
      <c r="V42">
        <v>1520.12</v>
      </c>
      <c r="W42" s="1" t="s">
        <v>1262</v>
      </c>
      <c r="X42" s="1" t="s">
        <v>1262</v>
      </c>
      <c r="Y42">
        <v>1.1764705882352941E-2</v>
      </c>
      <c r="Z42">
        <v>7.2712418300653597E-3</v>
      </c>
      <c r="AA42" s="1" t="s">
        <v>1263</v>
      </c>
      <c r="AB42">
        <v>0</v>
      </c>
      <c r="AC42">
        <v>0</v>
      </c>
      <c r="AD42" s="1">
        <v>4.6741573033707864</v>
      </c>
      <c r="AE42">
        <v>2</v>
      </c>
      <c r="AF42">
        <f>COUNTIFS(tblStock[sku],tblSKU[[#This Row],[sku]])</f>
        <v>1</v>
      </c>
      <c r="AG42" cm="1">
        <f t="array" ref="AG42">SUM(SUMIFS(tblStock[qty_units],tblStock[sku],tblSKU[[#This Row],[sku]],tblStock[stock_type],{"Saleable","FOC"}))</f>
        <v>208</v>
      </c>
      <c r="AH42" s="3">
        <f>SUMIFS(tblStock[value_nzd],tblStock[sku],tblSKU[[#This Row],[sku]])</f>
        <v>1776.3199999999997</v>
      </c>
      <c r="AI42" s="4">
        <f>SUMIFS(tblStock[cbm],tblStock[sku],tblSKU[[#This Row],[sku]])</f>
        <v>7.5064888888888889E-2</v>
      </c>
      <c r="AJ42" s="1">
        <f>SUMIFS(tblStock[positions],tblStock[sku],tblSKU[[#This Row],[sku]])</f>
        <v>0</v>
      </c>
      <c r="AK42" s="3">
        <f>SUMIFS(tblStock[value_nzd],tblStock[sku],tblSKU[[#This Row],[sku]],tblStock[stock_type],"Expired")</f>
        <v>0</v>
      </c>
      <c r="AL42" s="3" cm="1">
        <f t="array" ref="AL42">SUM(SUMIFS(tblStock[value_nzd],tblStock[sku],tblSKU[[#This Row],[sku]],tblStock[stock_type],{"Saleable","FOC"},tblStock[expiry_date],"&lt;"&amp;EDATE(SnapshotDate,6)))</f>
        <v>0</v>
      </c>
    </row>
    <row r="43" spans="1:38">
      <c r="A43" s="1" t="s">
        <v>131</v>
      </c>
      <c r="B43" s="1" t="s">
        <v>132</v>
      </c>
      <c r="C43" s="1" t="s">
        <v>43</v>
      </c>
      <c r="D43" s="1" t="s">
        <v>37</v>
      </c>
      <c r="E43" s="1" t="s">
        <v>38</v>
      </c>
      <c r="F43" s="1" t="s">
        <v>39</v>
      </c>
      <c r="G43">
        <v>180</v>
      </c>
      <c r="H43">
        <v>36.9</v>
      </c>
      <c r="I43">
        <v>35.6</v>
      </c>
      <c r="J43">
        <v>16.2</v>
      </c>
      <c r="K43">
        <v>2.128E-2</v>
      </c>
      <c r="L43">
        <v>5.36</v>
      </c>
      <c r="M43">
        <v>2.65</v>
      </c>
      <c r="N43">
        <v>5</v>
      </c>
      <c r="O43">
        <v>9</v>
      </c>
      <c r="P43">
        <v>45</v>
      </c>
      <c r="Q43">
        <v>160.79999999999998</v>
      </c>
      <c r="R43">
        <v>266.20000000000005</v>
      </c>
      <c r="S43">
        <v>0.95760000000000001</v>
      </c>
      <c r="T43">
        <v>242</v>
      </c>
      <c r="U43">
        <v>24592</v>
      </c>
      <c r="V43">
        <v>65168.799999999996</v>
      </c>
      <c r="W43" s="1" t="s">
        <v>1264</v>
      </c>
      <c r="X43" s="1" t="s">
        <v>1258</v>
      </c>
      <c r="Y43">
        <v>2.8470588235294119</v>
      </c>
      <c r="Z43">
        <v>0.17859114015976765</v>
      </c>
      <c r="AA43" s="1" t="s">
        <v>1265</v>
      </c>
      <c r="AB43">
        <v>1</v>
      </c>
      <c r="AC43">
        <v>0</v>
      </c>
      <c r="AD43" s="1">
        <v>4.573194534808068</v>
      </c>
      <c r="AE43">
        <v>4</v>
      </c>
      <c r="AF43">
        <f>COUNTIFS(tblStock[sku],tblSKU[[#This Row],[sku]])</f>
        <v>2</v>
      </c>
      <c r="AG43" cm="1">
        <f t="array" ref="AG43">SUM(SUMIFS(tblStock[qty_units],tblStock[sku],tblSKU[[#This Row],[sku]],tblStock[stock_type],{"Saleable","FOC"}))</f>
        <v>28116</v>
      </c>
      <c r="AH43" s="3">
        <f>SUMIFS(tblStock[value_nzd],tblStock[sku],tblSKU[[#This Row],[sku]])</f>
        <v>74507.399999999994</v>
      </c>
      <c r="AI43" s="4">
        <f>SUMIFS(tblStock[cbm],tblStock[sku],tblSKU[[#This Row],[sku]])</f>
        <v>3.3239359999999998</v>
      </c>
      <c r="AJ43" s="1">
        <f>SUMIFS(tblStock[positions],tblStock[sku],tblSKU[[#This Row],[sku]])</f>
        <v>4</v>
      </c>
      <c r="AK43" s="3">
        <f>SUMIFS(tblStock[value_nzd],tblStock[sku],tblSKU[[#This Row],[sku]],tblStock[stock_type],"Expired")</f>
        <v>0</v>
      </c>
      <c r="AL43" s="3" cm="1">
        <f t="array" ref="AL43">SUM(SUMIFS(tblStock[value_nzd],tblStock[sku],tblSKU[[#This Row],[sku]],tblStock[stock_type],{"Saleable","FOC"},tblStock[expiry_date],"&lt;"&amp;EDATE(SnapshotDate,6)))</f>
        <v>0</v>
      </c>
    </row>
    <row r="44" spans="1:38">
      <c r="A44" s="1" t="s">
        <v>133</v>
      </c>
      <c r="B44" s="1" t="s">
        <v>134</v>
      </c>
      <c r="C44" s="1" t="s">
        <v>43</v>
      </c>
      <c r="D44" s="1" t="s">
        <v>37</v>
      </c>
      <c r="E44" s="1" t="s">
        <v>38</v>
      </c>
      <c r="F44" s="1" t="s">
        <v>39</v>
      </c>
      <c r="G44">
        <v>240</v>
      </c>
      <c r="H44">
        <v>43.5</v>
      </c>
      <c r="I44">
        <v>36.9</v>
      </c>
      <c r="J44">
        <v>34.6</v>
      </c>
      <c r="K44">
        <v>5.5539999999999999E-2</v>
      </c>
      <c r="L44">
        <v>9.5399999999999991</v>
      </c>
      <c r="M44">
        <v>19.82</v>
      </c>
      <c r="N44">
        <v>6</v>
      </c>
      <c r="O44">
        <v>3</v>
      </c>
      <c r="P44">
        <v>18</v>
      </c>
      <c r="Q44">
        <v>118.80000000000001</v>
      </c>
      <c r="R44">
        <v>196.71999999999997</v>
      </c>
      <c r="S44">
        <v>0.99971999999999994</v>
      </c>
      <c r="T44">
        <v>222</v>
      </c>
      <c r="U44">
        <v>25468</v>
      </c>
      <c r="V44">
        <v>504775.76</v>
      </c>
      <c r="W44" s="1" t="s">
        <v>1264</v>
      </c>
      <c r="X44" s="1" t="s">
        <v>1264</v>
      </c>
      <c r="Y44">
        <v>2.611764705882353</v>
      </c>
      <c r="Z44">
        <v>0.34678649237472764</v>
      </c>
      <c r="AA44" s="1" t="s">
        <v>1265</v>
      </c>
      <c r="AB44">
        <v>1</v>
      </c>
      <c r="AC44">
        <v>0</v>
      </c>
      <c r="AD44" s="1">
        <v>3.926653054813884</v>
      </c>
      <c r="AE44">
        <v>12</v>
      </c>
      <c r="AF44">
        <f>COUNTIFS(tblStock[sku],tblSKU[[#This Row],[sku]])</f>
        <v>4</v>
      </c>
      <c r="AG44" cm="1">
        <f t="array" ref="AG44">SUM(SUMIFS(tblStock[qty_units],tblStock[sku],tblSKU[[#This Row],[sku]],tblStock[stock_type],{"Saleable","FOC"}))</f>
        <v>25001</v>
      </c>
      <c r="AH44" s="3">
        <f>SUMIFS(tblStock[value_nzd],tblStock[sku],tblSKU[[#This Row],[sku]])</f>
        <v>495519.82</v>
      </c>
      <c r="AI44" s="4">
        <f>SUMIFS(tblStock[cbm],tblStock[sku],tblSKU[[#This Row],[sku]])</f>
        <v>5.7856480833333332</v>
      </c>
      <c r="AJ44" s="1">
        <f>SUMIFS(tblStock[positions],tblStock[sku],tblSKU[[#This Row],[sku]])</f>
        <v>8</v>
      </c>
      <c r="AK44" s="3">
        <f>SUMIFS(tblStock[value_nzd],tblStock[sku],tblSKU[[#This Row],[sku]],tblStock[stock_type],"Expired")</f>
        <v>0</v>
      </c>
      <c r="AL44" s="3" cm="1">
        <f t="array" ref="AL44">SUM(SUMIFS(tblStock[value_nzd],tblStock[sku],tblSKU[[#This Row],[sku]],tblStock[stock_type],{"Saleable","FOC"},tblStock[expiry_date],"&lt;"&amp;EDATE(SnapshotDate,6)))</f>
        <v>0</v>
      </c>
    </row>
    <row r="45" spans="1:38">
      <c r="A45" s="1" t="s">
        <v>135</v>
      </c>
      <c r="B45" s="1" t="s">
        <v>136</v>
      </c>
      <c r="C45" s="1" t="s">
        <v>70</v>
      </c>
      <c r="D45" s="1" t="s">
        <v>37</v>
      </c>
      <c r="E45" s="1" t="s">
        <v>38</v>
      </c>
      <c r="F45" s="1" t="s">
        <v>39</v>
      </c>
      <c r="G45">
        <v>120</v>
      </c>
      <c r="H45">
        <v>41.5</v>
      </c>
      <c r="I45">
        <v>43.5</v>
      </c>
      <c r="J45">
        <v>16.3</v>
      </c>
      <c r="K45">
        <v>2.9430000000000001E-2</v>
      </c>
      <c r="L45">
        <v>6.21</v>
      </c>
      <c r="M45">
        <v>20.66</v>
      </c>
      <c r="N45">
        <v>2</v>
      </c>
      <c r="O45">
        <v>7</v>
      </c>
      <c r="P45">
        <v>14</v>
      </c>
      <c r="Q45">
        <v>129.10000000000002</v>
      </c>
      <c r="R45">
        <v>111.94</v>
      </c>
      <c r="S45">
        <v>0.41202</v>
      </c>
      <c r="T45">
        <v>16</v>
      </c>
      <c r="U45">
        <v>438</v>
      </c>
      <c r="V45">
        <v>9049.08</v>
      </c>
      <c r="W45" s="1" t="s">
        <v>1262</v>
      </c>
      <c r="X45" s="1" t="s">
        <v>1262</v>
      </c>
      <c r="Y45">
        <v>0.18823529411764706</v>
      </c>
      <c r="Z45">
        <v>1.5336134453781512E-2</v>
      </c>
      <c r="AA45" s="1" t="s">
        <v>1263</v>
      </c>
      <c r="AB45">
        <v>0</v>
      </c>
      <c r="AC45">
        <v>0</v>
      </c>
      <c r="AD45" s="1">
        <v>7.4246575342465757</v>
      </c>
      <c r="AE45">
        <v>2</v>
      </c>
      <c r="AF45">
        <f>COUNTIFS(tblStock[sku],tblSKU[[#This Row],[sku]])</f>
        <v>3</v>
      </c>
      <c r="AG45" cm="1">
        <f t="array" ref="AG45">SUM(SUMIFS(tblStock[qty_units],tblStock[sku],tblSKU[[#This Row],[sku]],tblStock[stock_type],{"Saleable","FOC"}))</f>
        <v>813</v>
      </c>
      <c r="AH45" s="3">
        <f>SUMIFS(tblStock[value_nzd],tblStock[sku],tblSKU[[#This Row],[sku]])</f>
        <v>17127.140000000003</v>
      </c>
      <c r="AI45" s="4">
        <f>SUMIFS(tblStock[cbm],tblStock[sku],tblSKU[[#This Row],[sku]])</f>
        <v>0.20331225000000003</v>
      </c>
      <c r="AJ45" s="1">
        <f>SUMIFS(tblStock[positions],tblStock[sku],tblSKU[[#This Row],[sku]])</f>
        <v>0</v>
      </c>
      <c r="AK45" s="3">
        <f>SUMIFS(tblStock[value_nzd],tblStock[sku],tblSKU[[#This Row],[sku]],tblStock[stock_type],"Expired")</f>
        <v>0</v>
      </c>
      <c r="AL45" s="3" cm="1">
        <f t="array" ref="AL45">SUM(SUMIFS(tblStock[value_nzd],tblStock[sku],tblSKU[[#This Row],[sku]],tblStock[stock_type],{"Saleable","FOC"},tblStock[expiry_date],"&lt;"&amp;EDATE(SnapshotDate,6)))</f>
        <v>0</v>
      </c>
    </row>
    <row r="46" spans="1:38">
      <c r="A46" s="1" t="s">
        <v>137</v>
      </c>
      <c r="B46" s="1" t="s">
        <v>138</v>
      </c>
      <c r="C46" s="1" t="s">
        <v>70</v>
      </c>
      <c r="D46" s="1" t="s">
        <v>37</v>
      </c>
      <c r="E46" s="1" t="s">
        <v>38</v>
      </c>
      <c r="F46" s="1" t="s">
        <v>39</v>
      </c>
      <c r="G46">
        <v>120</v>
      </c>
      <c r="H46">
        <v>45.3</v>
      </c>
      <c r="I46">
        <v>43.1</v>
      </c>
      <c r="J46">
        <v>19.8</v>
      </c>
      <c r="K46">
        <v>3.866E-2</v>
      </c>
      <c r="L46">
        <v>11.06</v>
      </c>
      <c r="M46">
        <v>4.1399999999999997</v>
      </c>
      <c r="N46">
        <v>4</v>
      </c>
      <c r="O46">
        <v>7</v>
      </c>
      <c r="P46">
        <v>28</v>
      </c>
      <c r="Q46">
        <v>153.6</v>
      </c>
      <c r="R46">
        <v>334.68</v>
      </c>
      <c r="S46">
        <v>1.0824799999999999</v>
      </c>
      <c r="T46">
        <v>25</v>
      </c>
      <c r="U46">
        <v>746</v>
      </c>
      <c r="V46">
        <v>3088.4399999999996</v>
      </c>
      <c r="W46" s="1" t="s">
        <v>1258</v>
      </c>
      <c r="X46" s="1" t="s">
        <v>1262</v>
      </c>
      <c r="Y46">
        <v>0.29411764705882354</v>
      </c>
      <c r="Z46">
        <v>1.3060224089635853E-2</v>
      </c>
      <c r="AA46" s="1" t="s">
        <v>1259</v>
      </c>
      <c r="AB46">
        <v>0</v>
      </c>
      <c r="AC46">
        <v>1</v>
      </c>
      <c r="AD46" s="1">
        <v>4.3056300268096512</v>
      </c>
      <c r="AE46">
        <v>2</v>
      </c>
      <c r="AF46">
        <f>COUNTIFS(tblStock[sku],tblSKU[[#This Row],[sku]])</f>
        <v>3</v>
      </c>
      <c r="AG46" cm="1">
        <f t="array" ref="AG46">SUM(SUMIFS(tblStock[qty_units],tblStock[sku],tblSKU[[#This Row],[sku]],tblStock[stock_type],{"Saleable","FOC"}))</f>
        <v>803</v>
      </c>
      <c r="AH46" s="3">
        <f>SUMIFS(tblStock[value_nzd],tblStock[sku],tblSKU[[#This Row],[sku]])</f>
        <v>3324.42</v>
      </c>
      <c r="AI46" s="4">
        <f>SUMIFS(tblStock[cbm],tblStock[sku],tblSKU[[#This Row],[sku]])</f>
        <v>0.25869983333333335</v>
      </c>
      <c r="AJ46" s="1">
        <f>SUMIFS(tblStock[positions],tblStock[sku],tblSKU[[#This Row],[sku]])</f>
        <v>0</v>
      </c>
      <c r="AK46" s="3">
        <f>SUMIFS(tblStock[value_nzd],tblStock[sku],tblSKU[[#This Row],[sku]],tblStock[stock_type],"Expired")</f>
        <v>0</v>
      </c>
      <c r="AL46" s="3" cm="1">
        <f t="array" ref="AL46">SUM(SUMIFS(tblStock[value_nzd],tblStock[sku],tblSKU[[#This Row],[sku]],tblStock[stock_type],{"Saleable","FOC"},tblStock[expiry_date],"&lt;"&amp;EDATE(SnapshotDate,6)))</f>
        <v>596.16</v>
      </c>
    </row>
    <row r="47" spans="1:38">
      <c r="A47" s="1" t="s">
        <v>139</v>
      </c>
      <c r="B47" s="1" t="s">
        <v>140</v>
      </c>
      <c r="C47" s="1" t="s">
        <v>70</v>
      </c>
      <c r="D47" s="1" t="s">
        <v>37</v>
      </c>
      <c r="E47" s="1" t="s">
        <v>38</v>
      </c>
      <c r="F47" s="1" t="s">
        <v>39</v>
      </c>
      <c r="G47">
        <v>180</v>
      </c>
      <c r="H47">
        <v>54.2</v>
      </c>
      <c r="I47">
        <v>38.700000000000003</v>
      </c>
      <c r="J47">
        <v>32.200000000000003</v>
      </c>
      <c r="K47">
        <v>6.7540000000000003E-2</v>
      </c>
      <c r="L47">
        <v>13.01</v>
      </c>
      <c r="M47">
        <v>3.27</v>
      </c>
      <c r="N47">
        <v>4</v>
      </c>
      <c r="O47">
        <v>4</v>
      </c>
      <c r="P47">
        <v>16</v>
      </c>
      <c r="Q47">
        <v>143.80000000000001</v>
      </c>
      <c r="R47">
        <v>233.16</v>
      </c>
      <c r="S47">
        <v>1.08064</v>
      </c>
      <c r="T47">
        <v>140</v>
      </c>
      <c r="U47">
        <v>13323</v>
      </c>
      <c r="V47">
        <v>43566.21</v>
      </c>
      <c r="W47" s="1" t="s">
        <v>1264</v>
      </c>
      <c r="X47" s="1" t="s">
        <v>1258</v>
      </c>
      <c r="Y47">
        <v>1.6470588235294117</v>
      </c>
      <c r="Z47">
        <v>0.27212009803921566</v>
      </c>
      <c r="AA47" s="1" t="s">
        <v>1265</v>
      </c>
      <c r="AB47">
        <v>1</v>
      </c>
      <c r="AC47">
        <v>0</v>
      </c>
      <c r="AD47" s="1">
        <v>4.3882008556631389</v>
      </c>
      <c r="AE47">
        <v>4</v>
      </c>
      <c r="AF47">
        <f>COUNTIFS(tblStock[sku],tblSKU[[#This Row],[sku]])</f>
        <v>2</v>
      </c>
      <c r="AG47" cm="1">
        <f t="array" ref="AG47">SUM(SUMIFS(tblStock[qty_units],tblStock[sku],tblSKU[[#This Row],[sku]],tblStock[stock_type],{"Saleable","FOC"}))</f>
        <v>14616</v>
      </c>
      <c r="AH47" s="3">
        <f>SUMIFS(tblStock[value_nzd],tblStock[sku],tblSKU[[#This Row],[sku]])</f>
        <v>47794.32</v>
      </c>
      <c r="AI47" s="4">
        <f>SUMIFS(tblStock[cbm],tblStock[sku],tblSKU[[#This Row],[sku]])</f>
        <v>5.484248</v>
      </c>
      <c r="AJ47" s="1">
        <f>SUMIFS(tblStock[positions],tblStock[sku],tblSKU[[#This Row],[sku]])</f>
        <v>6</v>
      </c>
      <c r="AK47" s="3">
        <f>SUMIFS(tblStock[value_nzd],tblStock[sku],tblSKU[[#This Row],[sku]],tblStock[stock_type],"Expired")</f>
        <v>0</v>
      </c>
      <c r="AL47" s="3" cm="1">
        <f t="array" ref="AL47">SUM(SUMIFS(tblStock[value_nzd],tblStock[sku],tblSKU[[#This Row],[sku]],tblStock[stock_type],{"Saleable","FOC"},tblStock[expiry_date],"&lt;"&amp;EDATE(SnapshotDate,6)))</f>
        <v>18043.86</v>
      </c>
    </row>
    <row r="48" spans="1:38">
      <c r="A48" s="1" t="s">
        <v>141</v>
      </c>
      <c r="B48" s="1" t="s">
        <v>142</v>
      </c>
      <c r="C48" s="1" t="s">
        <v>48</v>
      </c>
      <c r="D48" s="1" t="s">
        <v>37</v>
      </c>
      <c r="E48" s="1" t="s">
        <v>38</v>
      </c>
      <c r="F48" s="1" t="s">
        <v>39</v>
      </c>
      <c r="G48">
        <v>180</v>
      </c>
      <c r="H48">
        <v>52.5</v>
      </c>
      <c r="I48">
        <v>41.2</v>
      </c>
      <c r="J48">
        <v>31.6</v>
      </c>
      <c r="K48">
        <v>6.8349999999999994E-2</v>
      </c>
      <c r="L48">
        <v>17.57</v>
      </c>
      <c r="M48">
        <v>8.64</v>
      </c>
      <c r="N48">
        <v>4</v>
      </c>
      <c r="O48">
        <v>2</v>
      </c>
      <c r="P48">
        <v>8</v>
      </c>
      <c r="Q48">
        <v>78.2</v>
      </c>
      <c r="R48">
        <v>165.56</v>
      </c>
      <c r="S48">
        <v>0.54679999999999995</v>
      </c>
      <c r="T48">
        <v>537</v>
      </c>
      <c r="U48">
        <v>44223</v>
      </c>
      <c r="V48">
        <v>382086.72000000003</v>
      </c>
      <c r="W48" s="1" t="s">
        <v>1264</v>
      </c>
      <c r="X48" s="1" t="s">
        <v>1264</v>
      </c>
      <c r="Y48">
        <v>6.3176470588235292</v>
      </c>
      <c r="Z48">
        <v>1.8064950980392158</v>
      </c>
      <c r="AA48" s="1" t="s">
        <v>1265</v>
      </c>
      <c r="AB48">
        <v>1</v>
      </c>
      <c r="AC48">
        <v>0</v>
      </c>
      <c r="AD48" s="1">
        <v>6.6965153879203125</v>
      </c>
      <c r="AE48">
        <v>12</v>
      </c>
      <c r="AF48">
        <f>COUNTIFS(tblStock[sku],tblSKU[[#This Row],[sku]])</f>
        <v>2</v>
      </c>
      <c r="AG48" cm="1">
        <f t="array" ref="AG48">SUM(SUMIFS(tblStock[qty_units],tblStock[sku],tblSKU[[#This Row],[sku]],tblStock[stock_type],{"Saleable","FOC"}))</f>
        <v>74035</v>
      </c>
      <c r="AH48" s="3">
        <f>SUMIFS(tblStock[value_nzd],tblStock[sku],tblSKU[[#This Row],[sku]])</f>
        <v>639662.4</v>
      </c>
      <c r="AI48" s="4">
        <f>SUMIFS(tblStock[cbm],tblStock[sku],tblSKU[[#This Row],[sku]])</f>
        <v>28.112734722222221</v>
      </c>
      <c r="AJ48" s="1">
        <f>SUMIFS(tblStock[positions],tblStock[sku],tblSKU[[#This Row],[sku]])</f>
        <v>52</v>
      </c>
      <c r="AK48" s="3">
        <f>SUMIFS(tblStock[value_nzd],tblStock[sku],tblSKU[[#This Row],[sku]],tblStock[stock_type],"Expired")</f>
        <v>0</v>
      </c>
      <c r="AL48" s="3" cm="1">
        <f t="array" ref="AL48">SUM(SUMIFS(tblStock[value_nzd],tblStock[sku],tblSKU[[#This Row],[sku]],tblStock[stock_type],{"Saleable","FOC"},tblStock[expiry_date],"&lt;"&amp;EDATE(SnapshotDate,6)))</f>
        <v>0</v>
      </c>
    </row>
    <row r="49" spans="1:38">
      <c r="A49" s="1" t="s">
        <v>143</v>
      </c>
      <c r="B49" s="1" t="s">
        <v>144</v>
      </c>
      <c r="C49" s="1" t="s">
        <v>43</v>
      </c>
      <c r="D49" s="1" t="s">
        <v>37</v>
      </c>
      <c r="E49" s="1" t="s">
        <v>38</v>
      </c>
      <c r="F49" s="1" t="s">
        <v>39</v>
      </c>
      <c r="G49">
        <v>240</v>
      </c>
      <c r="H49">
        <v>53</v>
      </c>
      <c r="I49">
        <v>44.3</v>
      </c>
      <c r="J49">
        <v>22</v>
      </c>
      <c r="K49">
        <v>5.1650000000000001E-2</v>
      </c>
      <c r="L49">
        <v>12.46</v>
      </c>
      <c r="M49">
        <v>24.31</v>
      </c>
      <c r="N49">
        <v>4</v>
      </c>
      <c r="O49">
        <v>5</v>
      </c>
      <c r="P49">
        <v>20</v>
      </c>
      <c r="Q49">
        <v>125</v>
      </c>
      <c r="R49">
        <v>274.20000000000005</v>
      </c>
      <c r="S49">
        <v>1.0329999999999999</v>
      </c>
      <c r="T49">
        <v>135</v>
      </c>
      <c r="U49">
        <v>18847</v>
      </c>
      <c r="V49">
        <v>458170.56999999995</v>
      </c>
      <c r="W49" s="1" t="s">
        <v>1264</v>
      </c>
      <c r="X49" s="1" t="s">
        <v>1264</v>
      </c>
      <c r="Y49">
        <v>1.588235294117647</v>
      </c>
      <c r="Z49">
        <v>0.23096813725490201</v>
      </c>
      <c r="AA49" s="1" t="s">
        <v>1265</v>
      </c>
      <c r="AB49">
        <v>1</v>
      </c>
      <c r="AC49">
        <v>0</v>
      </c>
      <c r="AD49" s="1">
        <v>5.0062078845439588</v>
      </c>
      <c r="AE49">
        <v>12</v>
      </c>
      <c r="AF49">
        <f>COUNTIFS(tblStock[sku],tblSKU[[#This Row],[sku]])</f>
        <v>4</v>
      </c>
      <c r="AG49" cm="1">
        <f t="array" ref="AG49">SUM(SUMIFS(tblStock[qty_units],tblStock[sku],tblSKU[[#This Row],[sku]],tblStock[stock_type],{"Saleable","FOC"}))</f>
        <v>23588</v>
      </c>
      <c r="AH49" s="3">
        <f>SUMIFS(tblStock[value_nzd],tblStock[sku],tblSKU[[#This Row],[sku]])</f>
        <v>619297.25</v>
      </c>
      <c r="AI49" s="4">
        <f>SUMIFS(tblStock[cbm],tblStock[sku],tblSKU[[#This Row],[sku]])</f>
        <v>5.482432291666667</v>
      </c>
      <c r="AJ49" s="1">
        <f>SUMIFS(tblStock[positions],tblStock[sku],tblSKU[[#This Row],[sku]])</f>
        <v>6</v>
      </c>
      <c r="AK49" s="3">
        <f>SUMIFS(tblStock[value_nzd],tblStock[sku],tblSKU[[#This Row],[sku]],tblStock[stock_type],"Expired")</f>
        <v>45872.97</v>
      </c>
      <c r="AL49" s="3" cm="1">
        <f t="array" ref="AL49">SUM(SUMIFS(tblStock[value_nzd],tblStock[sku],tblSKU[[#This Row],[sku]],tblStock[stock_type],{"Saleable","FOC"},tblStock[expiry_date],"&lt;"&amp;EDATE(SnapshotDate,6)))</f>
        <v>0</v>
      </c>
    </row>
    <row r="50" spans="1:38">
      <c r="A50" s="1" t="s">
        <v>145</v>
      </c>
      <c r="B50" s="1" t="s">
        <v>146</v>
      </c>
      <c r="C50" s="1" t="s">
        <v>43</v>
      </c>
      <c r="D50" s="1" t="s">
        <v>37</v>
      </c>
      <c r="E50" s="1" t="s">
        <v>38</v>
      </c>
      <c r="F50" s="1" t="s">
        <v>39</v>
      </c>
      <c r="G50">
        <v>240</v>
      </c>
      <c r="H50">
        <v>57.7</v>
      </c>
      <c r="I50">
        <v>39.200000000000003</v>
      </c>
      <c r="J50">
        <v>29.1</v>
      </c>
      <c r="K50">
        <v>6.5820000000000004E-2</v>
      </c>
      <c r="L50">
        <v>17.87</v>
      </c>
      <c r="M50">
        <v>11.21</v>
      </c>
      <c r="N50">
        <v>4</v>
      </c>
      <c r="O50">
        <v>4</v>
      </c>
      <c r="P50">
        <v>16</v>
      </c>
      <c r="Q50">
        <v>131.4</v>
      </c>
      <c r="R50">
        <v>310.92</v>
      </c>
      <c r="S50">
        <v>1.0531200000000001</v>
      </c>
      <c r="T50">
        <v>78</v>
      </c>
      <c r="U50">
        <v>7034</v>
      </c>
      <c r="V50">
        <v>78851.14</v>
      </c>
      <c r="W50" s="1" t="s">
        <v>1264</v>
      </c>
      <c r="X50" s="1" t="s">
        <v>1258</v>
      </c>
      <c r="Y50">
        <v>0.91764705882352937</v>
      </c>
      <c r="Z50">
        <v>0.10775122549019607</v>
      </c>
      <c r="AA50" s="1" t="s">
        <v>1265</v>
      </c>
      <c r="AB50">
        <v>1</v>
      </c>
      <c r="AC50">
        <v>0</v>
      </c>
      <c r="AD50" s="1">
        <v>4.4748365083878303</v>
      </c>
      <c r="AE50">
        <v>4</v>
      </c>
      <c r="AF50">
        <f>COUNTIFS(tblStock[sku],tblSKU[[#This Row],[sku]])</f>
        <v>2</v>
      </c>
      <c r="AG50" cm="1">
        <f t="array" ref="AG50">SUM(SUMIFS(tblStock[qty_units],tblStock[sku],tblSKU[[#This Row],[sku]],tblStock[stock_type],{"Saleable","FOC"}))</f>
        <v>7869</v>
      </c>
      <c r="AH50" s="3">
        <f>SUMIFS(tblStock[value_nzd],tblStock[sku],tblSKU[[#This Row],[sku]])</f>
        <v>89971.46</v>
      </c>
      <c r="AI50" s="4">
        <f>SUMIFS(tblStock[cbm],tblStock[sku],tblSKU[[#This Row],[sku]])</f>
        <v>2.2011305000000001</v>
      </c>
      <c r="AJ50" s="1">
        <f>SUMIFS(tblStock[positions],tblStock[sku],tblSKU[[#This Row],[sku]])</f>
        <v>3</v>
      </c>
      <c r="AK50" s="3">
        <f>SUMIFS(tblStock[value_nzd],tblStock[sku],tblSKU[[#This Row],[sku]],tblStock[stock_type],"Expired")</f>
        <v>0</v>
      </c>
      <c r="AL50" s="3" cm="1">
        <f t="array" ref="AL50">SUM(SUMIFS(tblStock[value_nzd],tblStock[sku],tblSKU[[#This Row],[sku]],tblStock[stock_type],{"Saleable","FOC"},tblStock[expiry_date],"&lt;"&amp;EDATE(SnapshotDate,6)))</f>
        <v>0</v>
      </c>
    </row>
    <row r="51" spans="1:38">
      <c r="A51" s="1" t="s">
        <v>147</v>
      </c>
      <c r="B51" s="1" t="s">
        <v>148</v>
      </c>
      <c r="C51" s="1" t="s">
        <v>48</v>
      </c>
      <c r="D51" s="1" t="s">
        <v>37</v>
      </c>
      <c r="E51" s="1" t="s">
        <v>38</v>
      </c>
      <c r="F51" s="1" t="s">
        <v>39</v>
      </c>
      <c r="G51">
        <v>100</v>
      </c>
      <c r="H51">
        <v>54.7</v>
      </c>
      <c r="I51">
        <v>43.6</v>
      </c>
      <c r="J51">
        <v>25.1</v>
      </c>
      <c r="K51">
        <v>5.9859999999999997E-2</v>
      </c>
      <c r="L51">
        <v>11.02</v>
      </c>
      <c r="M51">
        <v>23.17</v>
      </c>
      <c r="N51">
        <v>4</v>
      </c>
      <c r="O51">
        <v>3</v>
      </c>
      <c r="P51">
        <v>12</v>
      </c>
      <c r="Q51">
        <v>90.300000000000011</v>
      </c>
      <c r="R51">
        <v>157.24</v>
      </c>
      <c r="S51">
        <v>0.71831999999999996</v>
      </c>
      <c r="T51">
        <v>123</v>
      </c>
      <c r="U51">
        <v>9334</v>
      </c>
      <c r="V51">
        <v>216268.78000000003</v>
      </c>
      <c r="W51" s="1" t="s">
        <v>1264</v>
      </c>
      <c r="X51" s="1" t="s">
        <v>1264</v>
      </c>
      <c r="Y51">
        <v>1.4470588235294117</v>
      </c>
      <c r="Z51">
        <v>0.45754901960784317</v>
      </c>
      <c r="AA51" s="1" t="s">
        <v>1265</v>
      </c>
      <c r="AB51">
        <v>1</v>
      </c>
      <c r="AC51">
        <v>0</v>
      </c>
      <c r="AD51" s="1">
        <v>1.4351832011999144</v>
      </c>
      <c r="AE51">
        <v>12</v>
      </c>
      <c r="AF51">
        <f>COUNTIFS(tblStock[sku],tblSKU[[#This Row],[sku]])</f>
        <v>3</v>
      </c>
      <c r="AG51" cm="1">
        <f t="array" ref="AG51">SUM(SUMIFS(tblStock[qty_units],tblStock[sku],tblSKU[[#This Row],[sku]],tblStock[stock_type],{"Saleable","FOC"}))</f>
        <v>3349</v>
      </c>
      <c r="AH51" s="3">
        <f>SUMIFS(tblStock[value_nzd],tblStock[sku],tblSKU[[#This Row],[sku]])</f>
        <v>77596.33</v>
      </c>
      <c r="AI51" s="4">
        <f>SUMIFS(tblStock[cbm],tblStock[sku],tblSKU[[#This Row],[sku]])</f>
        <v>2.0047113999999997</v>
      </c>
      <c r="AJ51" s="1">
        <f>SUMIFS(tblStock[positions],tblStock[sku],tblSKU[[#This Row],[sku]])</f>
        <v>4</v>
      </c>
      <c r="AK51" s="3">
        <f>SUMIFS(tblStock[value_nzd],tblStock[sku],tblSKU[[#This Row],[sku]],tblStock[stock_type],"Expired")</f>
        <v>0</v>
      </c>
      <c r="AL51" s="3" cm="1">
        <f t="array" ref="AL51">SUM(SUMIFS(tblStock[value_nzd],tblStock[sku],tblSKU[[#This Row],[sku]],tblStock[stock_type],{"Saleable","FOC"},tblStock[expiry_date],"&lt;"&amp;EDATE(SnapshotDate,6)))</f>
        <v>0</v>
      </c>
    </row>
    <row r="52" spans="1:38">
      <c r="A52" s="1" t="s">
        <v>149</v>
      </c>
      <c r="B52" s="1" t="s">
        <v>150</v>
      </c>
      <c r="C52" s="1" t="s">
        <v>70</v>
      </c>
      <c r="D52" s="1" t="s">
        <v>37</v>
      </c>
      <c r="E52" s="1" t="s">
        <v>38</v>
      </c>
      <c r="F52" s="1" t="s">
        <v>39</v>
      </c>
      <c r="G52">
        <v>180</v>
      </c>
      <c r="H52">
        <v>57.5</v>
      </c>
      <c r="I52">
        <v>44.2</v>
      </c>
      <c r="J52">
        <v>32.799999999999997</v>
      </c>
      <c r="K52">
        <v>8.3360000000000004E-2</v>
      </c>
      <c r="L52">
        <v>16.28</v>
      </c>
      <c r="M52">
        <v>24.78</v>
      </c>
      <c r="N52">
        <v>4</v>
      </c>
      <c r="O52">
        <v>3</v>
      </c>
      <c r="P52">
        <v>12</v>
      </c>
      <c r="Q52">
        <v>113.39999999999999</v>
      </c>
      <c r="R52">
        <v>220.36</v>
      </c>
      <c r="S52">
        <v>1.0003200000000001</v>
      </c>
      <c r="T52">
        <v>0</v>
      </c>
      <c r="U52">
        <v>0</v>
      </c>
      <c r="V52">
        <v>0</v>
      </c>
      <c r="W52" s="1" t="s">
        <v>1260</v>
      </c>
      <c r="X52" s="1" t="s">
        <v>1260</v>
      </c>
      <c r="Y52">
        <v>0</v>
      </c>
      <c r="Z52">
        <v>0</v>
      </c>
      <c r="AA52" s="1" t="s">
        <v>1261</v>
      </c>
      <c r="AB52">
        <v>0</v>
      </c>
      <c r="AC52">
        <v>0</v>
      </c>
      <c r="AD52" s="1"/>
      <c r="AE52">
        <v>1</v>
      </c>
      <c r="AF52">
        <f>COUNTIFS(tblStock[sku],tblSKU[[#This Row],[sku]])</f>
        <v>1</v>
      </c>
      <c r="AG52" cm="1">
        <f t="array" ref="AG52">SUM(SUMIFS(tblStock[qty_units],tblStock[sku],tblSKU[[#This Row],[sku]],tblStock[stock_type],{"Saleable","FOC"}))</f>
        <v>540</v>
      </c>
      <c r="AH52" s="3">
        <f>SUMIFS(tblStock[value_nzd],tblStock[sku],tblSKU[[#This Row],[sku]])</f>
        <v>13381.2</v>
      </c>
      <c r="AI52" s="4">
        <f>SUMIFS(tblStock[cbm],tblStock[sku],tblSKU[[#This Row],[sku]])</f>
        <v>0.25008000000000002</v>
      </c>
      <c r="AJ52" s="1">
        <f>SUMIFS(tblStock[positions],tblStock[sku],tblSKU[[#This Row],[sku]])</f>
        <v>1</v>
      </c>
      <c r="AK52" s="3">
        <f>SUMIFS(tblStock[value_nzd],tblStock[sku],tblSKU[[#This Row],[sku]],tblStock[stock_type],"Expired")</f>
        <v>0</v>
      </c>
      <c r="AL52" s="3" cm="1">
        <f t="array" ref="AL52">SUM(SUMIFS(tblStock[value_nzd],tblStock[sku],tblSKU[[#This Row],[sku]],tblStock[stock_type],{"Saleable","FOC"},tblStock[expiry_date],"&lt;"&amp;EDATE(SnapshotDate,6)))</f>
        <v>0</v>
      </c>
    </row>
    <row r="53" spans="1:38">
      <c r="A53" s="1" t="s">
        <v>151</v>
      </c>
      <c r="B53" s="1" t="s">
        <v>152</v>
      </c>
      <c r="C53" s="1" t="s">
        <v>67</v>
      </c>
      <c r="D53" s="1" t="s">
        <v>37</v>
      </c>
      <c r="E53" s="1" t="s">
        <v>38</v>
      </c>
      <c r="F53" s="1" t="s">
        <v>39</v>
      </c>
      <c r="G53">
        <v>120</v>
      </c>
      <c r="H53">
        <v>30.7</v>
      </c>
      <c r="I53">
        <v>30</v>
      </c>
      <c r="J53">
        <v>33.6</v>
      </c>
      <c r="K53">
        <v>3.0949999999999998E-2</v>
      </c>
      <c r="L53">
        <v>9.2799999999999994</v>
      </c>
      <c r="M53">
        <v>20.69</v>
      </c>
      <c r="N53">
        <v>11</v>
      </c>
      <c r="O53">
        <v>4</v>
      </c>
      <c r="P53">
        <v>44</v>
      </c>
      <c r="Q53">
        <v>149.4</v>
      </c>
      <c r="R53">
        <v>433.32</v>
      </c>
      <c r="S53">
        <v>1.3617999999999999</v>
      </c>
      <c r="T53">
        <v>54</v>
      </c>
      <c r="U53">
        <v>3345</v>
      </c>
      <c r="V53">
        <v>69208.05</v>
      </c>
      <c r="W53" s="1" t="s">
        <v>1258</v>
      </c>
      <c r="X53" s="1" t="s">
        <v>1258</v>
      </c>
      <c r="Y53">
        <v>0.63529411764705879</v>
      </c>
      <c r="Z53">
        <v>3.7266042780748659E-2</v>
      </c>
      <c r="AA53" s="1" t="s">
        <v>1259</v>
      </c>
      <c r="AB53">
        <v>0</v>
      </c>
      <c r="AC53">
        <v>1</v>
      </c>
      <c r="AD53" s="1">
        <v>3.3530642750373691</v>
      </c>
      <c r="AE53">
        <v>4</v>
      </c>
      <c r="AF53">
        <f>COUNTIFS(tblStock[sku],tblSKU[[#This Row],[sku]])</f>
        <v>3</v>
      </c>
      <c r="AG53" cm="1">
        <f t="array" ref="AG53">SUM(SUMIFS(tblStock[qty_units],tblStock[sku],tblSKU[[#This Row],[sku]],tblStock[stock_type],{"Saleable","FOC"}))</f>
        <v>2804</v>
      </c>
      <c r="AH53" s="3">
        <f>SUMIFS(tblStock[value_nzd],tblStock[sku],tblSKU[[#This Row],[sku]])</f>
        <v>60911.360000000001</v>
      </c>
      <c r="AI53" s="4">
        <f>SUMIFS(tblStock[cbm],tblStock[sku],tblSKU[[#This Row],[sku]])</f>
        <v>0.75930666666666669</v>
      </c>
      <c r="AJ53" s="1">
        <f>SUMIFS(tblStock[positions],tblStock[sku],tblSKU[[#This Row],[sku]])</f>
        <v>1</v>
      </c>
      <c r="AK53" s="3">
        <f>SUMIFS(tblStock[value_nzd],tblStock[sku],tblSKU[[#This Row],[sku]],tblStock[stock_type],"Expired")</f>
        <v>0</v>
      </c>
      <c r="AL53" s="3" cm="1">
        <f t="array" ref="AL53">SUM(SUMIFS(tblStock[value_nzd],tblStock[sku],tblSKU[[#This Row],[sku]],tblStock[stock_type],{"Saleable","FOC"},tblStock[expiry_date],"&lt;"&amp;EDATE(SnapshotDate,6)))</f>
        <v>0</v>
      </c>
    </row>
    <row r="54" spans="1:38">
      <c r="A54" s="1" t="s">
        <v>154</v>
      </c>
      <c r="B54" s="1" t="s">
        <v>155</v>
      </c>
      <c r="C54" s="1" t="s">
        <v>43</v>
      </c>
      <c r="D54" s="1" t="s">
        <v>37</v>
      </c>
      <c r="E54" s="1" t="s">
        <v>38</v>
      </c>
      <c r="F54" s="1" t="s">
        <v>39</v>
      </c>
      <c r="G54">
        <v>180</v>
      </c>
      <c r="H54">
        <v>53.3</v>
      </c>
      <c r="I54">
        <v>36.4</v>
      </c>
      <c r="J54">
        <v>22.9</v>
      </c>
      <c r="K54">
        <v>4.4429999999999997E-2</v>
      </c>
      <c r="L54">
        <v>7.21</v>
      </c>
      <c r="M54">
        <v>3.94</v>
      </c>
      <c r="N54">
        <v>3</v>
      </c>
      <c r="O54">
        <v>3</v>
      </c>
      <c r="P54">
        <v>9</v>
      </c>
      <c r="Q54">
        <v>83.699999999999989</v>
      </c>
      <c r="R54">
        <v>89.89</v>
      </c>
      <c r="S54">
        <v>0.39986999999999995</v>
      </c>
      <c r="T54">
        <v>29</v>
      </c>
      <c r="U54">
        <v>3053</v>
      </c>
      <c r="V54">
        <v>12028.82</v>
      </c>
      <c r="W54" s="1" t="s">
        <v>1258</v>
      </c>
      <c r="X54" s="1" t="s">
        <v>1262</v>
      </c>
      <c r="Y54">
        <v>0.3411764705882353</v>
      </c>
      <c r="Z54">
        <v>0.1108569353667393</v>
      </c>
      <c r="AA54" s="1" t="s">
        <v>1259</v>
      </c>
      <c r="AB54">
        <v>0</v>
      </c>
      <c r="AC54">
        <v>1</v>
      </c>
      <c r="AD54" s="1">
        <v>2.5758270553553881</v>
      </c>
      <c r="AE54">
        <v>2</v>
      </c>
      <c r="AF54">
        <f>COUNTIFS(tblStock[sku],tblSKU[[#This Row],[sku]])</f>
        <v>2</v>
      </c>
      <c r="AG54" cm="1">
        <f t="array" ref="AG54">SUM(SUMIFS(tblStock[qty_units],tblStock[sku],tblSKU[[#This Row],[sku]],tblStock[stock_type],{"Saleable","FOC"}))</f>
        <v>1966</v>
      </c>
      <c r="AH54" s="3">
        <f>SUMIFS(tblStock[value_nzd],tblStock[sku],tblSKU[[#This Row],[sku]])</f>
        <v>7746.04</v>
      </c>
      <c r="AI54" s="4">
        <f>SUMIFS(tblStock[cbm],tblStock[sku],tblSKU[[#This Row],[sku]])</f>
        <v>0.48527433333333331</v>
      </c>
      <c r="AJ54" s="1">
        <f>SUMIFS(tblStock[positions],tblStock[sku],tblSKU[[#This Row],[sku]])</f>
        <v>1</v>
      </c>
      <c r="AK54" s="3">
        <f>SUMIFS(tblStock[value_nzd],tblStock[sku],tblSKU[[#This Row],[sku]],tblStock[stock_type],"Expired")</f>
        <v>0</v>
      </c>
      <c r="AL54" s="3" cm="1">
        <f t="array" ref="AL54">SUM(SUMIFS(tblStock[value_nzd],tblStock[sku],tblSKU[[#This Row],[sku]],tblStock[stock_type],{"Saleable","FOC"},tblStock[expiry_date],"&lt;"&amp;EDATE(SnapshotDate,6)))</f>
        <v>0</v>
      </c>
    </row>
    <row r="55" spans="1:38">
      <c r="A55" s="1" t="s">
        <v>156</v>
      </c>
      <c r="B55" s="1" t="s">
        <v>157</v>
      </c>
      <c r="C55" s="1" t="s">
        <v>70</v>
      </c>
      <c r="D55" s="1" t="s">
        <v>37</v>
      </c>
      <c r="E55" s="1" t="s">
        <v>38</v>
      </c>
      <c r="F55" s="1" t="s">
        <v>39</v>
      </c>
      <c r="G55">
        <v>100</v>
      </c>
      <c r="H55">
        <v>37.9</v>
      </c>
      <c r="I55">
        <v>34.9</v>
      </c>
      <c r="J55">
        <v>30.5</v>
      </c>
      <c r="K55">
        <v>4.0340000000000001E-2</v>
      </c>
      <c r="L55">
        <v>10.87</v>
      </c>
      <c r="M55">
        <v>21.5</v>
      </c>
      <c r="N55">
        <v>6</v>
      </c>
      <c r="O55">
        <v>2</v>
      </c>
      <c r="P55">
        <v>12</v>
      </c>
      <c r="Q55">
        <v>76</v>
      </c>
      <c r="R55">
        <v>155.44</v>
      </c>
      <c r="S55">
        <v>0.48408000000000001</v>
      </c>
      <c r="T55">
        <v>92</v>
      </c>
      <c r="U55">
        <v>7051</v>
      </c>
      <c r="V55">
        <v>151596.5</v>
      </c>
      <c r="W55" s="1" t="s">
        <v>1264</v>
      </c>
      <c r="X55" s="1" t="s">
        <v>1264</v>
      </c>
      <c r="Y55">
        <v>1.0823529411764705</v>
      </c>
      <c r="Z55">
        <v>0.34563725490196084</v>
      </c>
      <c r="AA55" s="1" t="s">
        <v>1265</v>
      </c>
      <c r="AB55">
        <v>1</v>
      </c>
      <c r="AC55">
        <v>0</v>
      </c>
      <c r="AD55" s="1">
        <v>6.3781023968231461</v>
      </c>
      <c r="AE55">
        <v>12</v>
      </c>
      <c r="AF55">
        <f>COUNTIFS(tblStock[sku],tblSKU[[#This Row],[sku]])</f>
        <v>1</v>
      </c>
      <c r="AG55" cm="1">
        <f t="array" ref="AG55">SUM(SUMIFS(tblStock[qty_units],tblStock[sku],tblSKU[[#This Row],[sku]],tblStock[stock_type],{"Saleable","FOC"}))</f>
        <v>11243</v>
      </c>
      <c r="AH55" s="3">
        <f>SUMIFS(tblStock[value_nzd],tblStock[sku],tblSKU[[#This Row],[sku]])</f>
        <v>241724.5</v>
      </c>
      <c r="AI55" s="4">
        <f>SUMIFS(tblStock[cbm],tblStock[sku],tblSKU[[#This Row],[sku]])</f>
        <v>4.5354262000000007</v>
      </c>
      <c r="AJ55" s="1">
        <f>SUMIFS(tblStock[positions],tblStock[sku],tblSKU[[#This Row],[sku]])</f>
        <v>10</v>
      </c>
      <c r="AK55" s="3">
        <f>SUMIFS(tblStock[value_nzd],tblStock[sku],tblSKU[[#This Row],[sku]],tblStock[stock_type],"Expired")</f>
        <v>0</v>
      </c>
      <c r="AL55" s="3" cm="1">
        <f t="array" ref="AL55">SUM(SUMIFS(tblStock[value_nzd],tblStock[sku],tblSKU[[#This Row],[sku]],tblStock[stock_type],{"Saleable","FOC"},tblStock[expiry_date],"&lt;"&amp;EDATE(SnapshotDate,6)))</f>
        <v>0</v>
      </c>
    </row>
    <row r="56" spans="1:38">
      <c r="A56" s="1" t="s">
        <v>158</v>
      </c>
      <c r="B56" s="1" t="s">
        <v>159</v>
      </c>
      <c r="C56" s="1" t="s">
        <v>43</v>
      </c>
      <c r="D56" s="1" t="s">
        <v>37</v>
      </c>
      <c r="E56" s="1" t="s">
        <v>38</v>
      </c>
      <c r="F56" s="1" t="s">
        <v>39</v>
      </c>
      <c r="G56">
        <v>120</v>
      </c>
      <c r="H56">
        <v>43.2</v>
      </c>
      <c r="I56">
        <v>37.1</v>
      </c>
      <c r="J56">
        <v>33.4</v>
      </c>
      <c r="K56">
        <v>5.3530000000000001E-2</v>
      </c>
      <c r="L56">
        <v>11.46</v>
      </c>
      <c r="M56">
        <v>19.25</v>
      </c>
      <c r="N56">
        <v>6</v>
      </c>
      <c r="O56">
        <v>3</v>
      </c>
      <c r="P56">
        <v>18</v>
      </c>
      <c r="Q56">
        <v>115.19999999999999</v>
      </c>
      <c r="R56">
        <v>231.28000000000003</v>
      </c>
      <c r="S56">
        <v>0.96354000000000006</v>
      </c>
      <c r="T56">
        <v>95</v>
      </c>
      <c r="U56">
        <v>6495</v>
      </c>
      <c r="V56">
        <v>125028.75</v>
      </c>
      <c r="W56" s="1" t="s">
        <v>1264</v>
      </c>
      <c r="X56" s="1" t="s">
        <v>1264</v>
      </c>
      <c r="Y56">
        <v>1.1176470588235294</v>
      </c>
      <c r="Z56">
        <v>0.17687908496732024</v>
      </c>
      <c r="AA56" s="1" t="s">
        <v>1265</v>
      </c>
      <c r="AB56">
        <v>1</v>
      </c>
      <c r="AC56">
        <v>0</v>
      </c>
      <c r="AD56" s="1">
        <v>4.0443418013856824</v>
      </c>
      <c r="AE56">
        <v>12</v>
      </c>
      <c r="AF56">
        <f>COUNTIFS(tblStock[sku],tblSKU[[#This Row],[sku]])</f>
        <v>1</v>
      </c>
      <c r="AG56" cm="1">
        <f t="array" ref="AG56">SUM(SUMIFS(tblStock[qty_units],tblStock[sku],tblSKU[[#This Row],[sku]],tblStock[stock_type],{"Saleable","FOC"}))</f>
        <v>6567</v>
      </c>
      <c r="AH56" s="3">
        <f>SUMIFS(tblStock[value_nzd],tblStock[sku],tblSKU[[#This Row],[sku]])</f>
        <v>126414.75</v>
      </c>
      <c r="AI56" s="4">
        <f>SUMIFS(tblStock[cbm],tblStock[sku],tblSKU[[#This Row],[sku]])</f>
        <v>2.9294292500000001</v>
      </c>
      <c r="AJ56" s="1">
        <f>SUMIFS(tblStock[positions],tblStock[sku],tblSKU[[#This Row],[sku]])</f>
        <v>4</v>
      </c>
      <c r="AK56" s="3">
        <f>SUMIFS(tblStock[value_nzd],tblStock[sku],tblSKU[[#This Row],[sku]],tblStock[stock_type],"Expired")</f>
        <v>0</v>
      </c>
      <c r="AL56" s="3" cm="1">
        <f t="array" ref="AL56">SUM(SUMIFS(tblStock[value_nzd],tblStock[sku],tblSKU[[#This Row],[sku]],tblStock[stock_type],{"Saleable","FOC"},tblStock[expiry_date],"&lt;"&amp;EDATE(SnapshotDate,6)))</f>
        <v>0</v>
      </c>
    </row>
    <row r="57" spans="1:38">
      <c r="A57" s="1" t="s">
        <v>160</v>
      </c>
      <c r="B57" s="1" t="s">
        <v>161</v>
      </c>
      <c r="C57" s="1" t="s">
        <v>36</v>
      </c>
      <c r="D57" s="1" t="s">
        <v>37</v>
      </c>
      <c r="E57" s="1" t="s">
        <v>38</v>
      </c>
      <c r="F57" s="1" t="s">
        <v>39</v>
      </c>
      <c r="G57">
        <v>180</v>
      </c>
      <c r="H57">
        <v>55.2</v>
      </c>
      <c r="I57">
        <v>40.299999999999997</v>
      </c>
      <c r="J57">
        <v>25.7</v>
      </c>
      <c r="K57">
        <v>5.7169999999999999E-2</v>
      </c>
      <c r="L57">
        <v>11.86</v>
      </c>
      <c r="M57">
        <v>2.4900000000000002</v>
      </c>
      <c r="N57">
        <v>4</v>
      </c>
      <c r="O57">
        <v>5</v>
      </c>
      <c r="P57">
        <v>20</v>
      </c>
      <c r="Q57">
        <v>143.5</v>
      </c>
      <c r="R57">
        <v>262.2</v>
      </c>
      <c r="S57">
        <v>1.1434</v>
      </c>
      <c r="T57">
        <v>17</v>
      </c>
      <c r="U57">
        <v>649</v>
      </c>
      <c r="V57">
        <v>1616.0100000000002</v>
      </c>
      <c r="W57" s="1" t="s">
        <v>1262</v>
      </c>
      <c r="X57" s="1" t="s">
        <v>1262</v>
      </c>
      <c r="Y57">
        <v>0.2</v>
      </c>
      <c r="Z57">
        <v>1.0604575163398694E-2</v>
      </c>
      <c r="AA57" s="1" t="s">
        <v>1263</v>
      </c>
      <c r="AB57">
        <v>0</v>
      </c>
      <c r="AC57">
        <v>0</v>
      </c>
      <c r="AD57" s="1">
        <v>9.5778120184899844</v>
      </c>
      <c r="AE57">
        <v>2</v>
      </c>
      <c r="AF57">
        <f>COUNTIFS(tblStock[sku],tblSKU[[#This Row],[sku]])</f>
        <v>1</v>
      </c>
      <c r="AG57" cm="1">
        <f t="array" ref="AG57">SUM(SUMIFS(tblStock[qty_units],tblStock[sku],tblSKU[[#This Row],[sku]],tblStock[stock_type],{"Saleable","FOC"}))</f>
        <v>1554</v>
      </c>
      <c r="AH57" s="3">
        <f>SUMIFS(tblStock[value_nzd],tblStock[sku],tblSKU[[#This Row],[sku]])</f>
        <v>3869.4600000000005</v>
      </c>
      <c r="AI57" s="4">
        <f>SUMIFS(tblStock[cbm],tblStock[sku],tblSKU[[#This Row],[sku]])</f>
        <v>0.49356766666666663</v>
      </c>
      <c r="AJ57" s="1">
        <f>SUMIFS(tblStock[positions],tblStock[sku],tblSKU[[#This Row],[sku]])</f>
        <v>1</v>
      </c>
      <c r="AK57" s="3">
        <f>SUMIFS(tblStock[value_nzd],tblStock[sku],tblSKU[[#This Row],[sku]],tblStock[stock_type],"Expired")</f>
        <v>0</v>
      </c>
      <c r="AL57" s="3" cm="1">
        <f t="array" ref="AL57">SUM(SUMIFS(tblStock[value_nzd],tblStock[sku],tblSKU[[#This Row],[sku]],tblStock[stock_type],{"Saleable","FOC"},tblStock[expiry_date],"&lt;"&amp;EDATE(SnapshotDate,6)))</f>
        <v>0</v>
      </c>
    </row>
    <row r="58" spans="1:38">
      <c r="A58" s="1" t="s">
        <v>162</v>
      </c>
      <c r="B58" s="1" t="s">
        <v>163</v>
      </c>
      <c r="C58" s="1" t="s">
        <v>43</v>
      </c>
      <c r="D58" s="1" t="s">
        <v>37</v>
      </c>
      <c r="E58" s="1" t="s">
        <v>38</v>
      </c>
      <c r="F58" s="1" t="s">
        <v>39</v>
      </c>
      <c r="G58">
        <v>180</v>
      </c>
      <c r="H58">
        <v>58.5</v>
      </c>
      <c r="I58">
        <v>34.4</v>
      </c>
      <c r="J58">
        <v>21</v>
      </c>
      <c r="K58">
        <v>4.2259999999999999E-2</v>
      </c>
      <c r="L58">
        <v>9.6199999999999992</v>
      </c>
      <c r="M58">
        <v>10.79</v>
      </c>
      <c r="N58">
        <v>2</v>
      </c>
      <c r="O58">
        <v>7</v>
      </c>
      <c r="P58">
        <v>14</v>
      </c>
      <c r="Q58">
        <v>162</v>
      </c>
      <c r="R58">
        <v>159.67999999999998</v>
      </c>
      <c r="S58">
        <v>0.59163999999999994</v>
      </c>
      <c r="T58">
        <v>47</v>
      </c>
      <c r="U58">
        <v>2169</v>
      </c>
      <c r="V58">
        <v>23403.51</v>
      </c>
      <c r="W58" s="1" t="s">
        <v>1258</v>
      </c>
      <c r="X58" s="1" t="s">
        <v>1262</v>
      </c>
      <c r="Y58">
        <v>0.55294117647058827</v>
      </c>
      <c r="Z58">
        <v>5.0630252100840344E-2</v>
      </c>
      <c r="AA58" s="1" t="s">
        <v>1259</v>
      </c>
      <c r="AB58">
        <v>0</v>
      </c>
      <c r="AC58">
        <v>1</v>
      </c>
      <c r="AD58" s="1">
        <v>6.9359151682803137</v>
      </c>
      <c r="AE58">
        <v>2</v>
      </c>
      <c r="AF58">
        <f>COUNTIFS(tblStock[sku],tblSKU[[#This Row],[sku]])</f>
        <v>4</v>
      </c>
      <c r="AG58" cm="1">
        <f t="array" ref="AG58">SUM(SUMIFS(tblStock[qty_units],tblStock[sku],tblSKU[[#This Row],[sku]],tblStock[stock_type],{"Saleable","FOC"}))</f>
        <v>3761</v>
      </c>
      <c r="AH58" s="3">
        <f>SUMIFS(tblStock[value_nzd],tblStock[sku],tblSKU[[#This Row],[sku]])</f>
        <v>40581.19</v>
      </c>
      <c r="AI58" s="4">
        <f>SUMIFS(tblStock[cbm],tblStock[sku],tblSKU[[#This Row],[sku]])</f>
        <v>0.88299922222222227</v>
      </c>
      <c r="AJ58" s="1">
        <f>SUMIFS(tblStock[positions],tblStock[sku],tblSKU[[#This Row],[sku]])</f>
        <v>2</v>
      </c>
      <c r="AK58" s="3">
        <f>SUMIFS(tblStock[value_nzd],tblStock[sku],tblSKU[[#This Row],[sku]],tblStock[stock_type],"Expired")</f>
        <v>0</v>
      </c>
      <c r="AL58" s="3" cm="1">
        <f t="array" ref="AL58">SUM(SUMIFS(tblStock[value_nzd],tblStock[sku],tblSKU[[#This Row],[sku]],tblStock[stock_type],{"Saleable","FOC"},tblStock[expiry_date],"&lt;"&amp;EDATE(SnapshotDate,6)))</f>
        <v>21968.44</v>
      </c>
    </row>
    <row r="59" spans="1:38">
      <c r="A59" s="1" t="s">
        <v>164</v>
      </c>
      <c r="B59" s="1" t="s">
        <v>165</v>
      </c>
      <c r="C59" s="1" t="s">
        <v>52</v>
      </c>
      <c r="D59" s="1" t="s">
        <v>37</v>
      </c>
      <c r="E59" s="1" t="s">
        <v>38</v>
      </c>
      <c r="F59" s="1" t="s">
        <v>39</v>
      </c>
      <c r="G59">
        <v>120</v>
      </c>
      <c r="H59">
        <v>32.299999999999997</v>
      </c>
      <c r="I59">
        <v>44.6</v>
      </c>
      <c r="J59">
        <v>15.3</v>
      </c>
      <c r="K59">
        <v>2.2040000000000001E-2</v>
      </c>
      <c r="L59">
        <v>4.9800000000000004</v>
      </c>
      <c r="M59">
        <v>20.07</v>
      </c>
      <c r="N59">
        <v>6</v>
      </c>
      <c r="O59">
        <v>7</v>
      </c>
      <c r="P59">
        <v>42</v>
      </c>
      <c r="Q59">
        <v>122.10000000000001</v>
      </c>
      <c r="R59">
        <v>234.16000000000003</v>
      </c>
      <c r="S59">
        <v>0.92568000000000006</v>
      </c>
      <c r="T59">
        <v>8</v>
      </c>
      <c r="U59">
        <v>202</v>
      </c>
      <c r="V59">
        <v>4054.14</v>
      </c>
      <c r="W59" s="1" t="s">
        <v>1262</v>
      </c>
      <c r="X59" s="1" t="s">
        <v>1262</v>
      </c>
      <c r="Y59">
        <v>9.4117647058823528E-2</v>
      </c>
      <c r="Z59">
        <v>2.3576097105508873E-3</v>
      </c>
      <c r="AA59" s="1" t="s">
        <v>1263</v>
      </c>
      <c r="AB59">
        <v>0</v>
      </c>
      <c r="AC59">
        <v>0</v>
      </c>
      <c r="AD59" s="1">
        <v>14.732673267326733</v>
      </c>
      <c r="AE59">
        <v>2</v>
      </c>
      <c r="AF59">
        <f>COUNTIFS(tblStock[sku],tblSKU[[#This Row],[sku]])</f>
        <v>1</v>
      </c>
      <c r="AG59" cm="1">
        <f t="array" ref="AG59">SUM(SUMIFS(tblStock[qty_units],tblStock[sku],tblSKU[[#This Row],[sku]],tblStock[stock_type],{"Saleable","FOC"}))</f>
        <v>744</v>
      </c>
      <c r="AH59" s="3">
        <f>SUMIFS(tblStock[value_nzd],tblStock[sku],tblSKU[[#This Row],[sku]])</f>
        <v>14932.08</v>
      </c>
      <c r="AI59" s="4">
        <f>SUMIFS(tblStock[cbm],tblStock[sku],tblSKU[[#This Row],[sku]])</f>
        <v>0.13664800000000002</v>
      </c>
      <c r="AJ59" s="1">
        <f>SUMIFS(tblStock[positions],tblStock[sku],tblSKU[[#This Row],[sku]])</f>
        <v>0</v>
      </c>
      <c r="AK59" s="3">
        <f>SUMIFS(tblStock[value_nzd],tblStock[sku],tblSKU[[#This Row],[sku]],tblStock[stock_type],"Expired")</f>
        <v>0</v>
      </c>
      <c r="AL59" s="3" cm="1">
        <f t="array" ref="AL59">SUM(SUMIFS(tblStock[value_nzd],tblStock[sku],tblSKU[[#This Row],[sku]],tblStock[stock_type],{"Saleable","FOC"},tblStock[expiry_date],"&lt;"&amp;EDATE(SnapshotDate,6)))</f>
        <v>0</v>
      </c>
    </row>
    <row r="60" spans="1:38">
      <c r="A60" s="1" t="s">
        <v>166</v>
      </c>
      <c r="B60" s="1" t="s">
        <v>167</v>
      </c>
      <c r="C60" s="1" t="s">
        <v>52</v>
      </c>
      <c r="D60" s="1" t="s">
        <v>37</v>
      </c>
      <c r="E60" s="1" t="s">
        <v>38</v>
      </c>
      <c r="F60" s="1" t="s">
        <v>39</v>
      </c>
      <c r="G60">
        <v>60</v>
      </c>
      <c r="H60">
        <v>49.9</v>
      </c>
      <c r="I60">
        <v>39.1</v>
      </c>
      <c r="J60">
        <v>16.899999999999999</v>
      </c>
      <c r="K60">
        <v>3.2969999999999999E-2</v>
      </c>
      <c r="L60">
        <v>9.8699999999999992</v>
      </c>
      <c r="M60">
        <v>19.36</v>
      </c>
      <c r="N60">
        <v>6</v>
      </c>
      <c r="O60">
        <v>8</v>
      </c>
      <c r="P60">
        <v>48</v>
      </c>
      <c r="Q60">
        <v>150.19999999999999</v>
      </c>
      <c r="R60">
        <v>498.76</v>
      </c>
      <c r="S60">
        <v>1.58256</v>
      </c>
      <c r="T60">
        <v>86</v>
      </c>
      <c r="U60">
        <v>4929</v>
      </c>
      <c r="V60">
        <v>95425.44</v>
      </c>
      <c r="W60" s="1" t="s">
        <v>1264</v>
      </c>
      <c r="X60" s="1" t="s">
        <v>1258</v>
      </c>
      <c r="Y60">
        <v>1.0117647058823529</v>
      </c>
      <c r="Z60">
        <v>0.10067401960784315</v>
      </c>
      <c r="AA60" s="1" t="s">
        <v>1265</v>
      </c>
      <c r="AB60">
        <v>1</v>
      </c>
      <c r="AC60">
        <v>0</v>
      </c>
      <c r="AD60" s="1">
        <v>4.8715763846622036</v>
      </c>
      <c r="AE60">
        <v>4</v>
      </c>
      <c r="AF60">
        <f>COUNTIFS(tblStock[sku],tblSKU[[#This Row],[sku]])</f>
        <v>1</v>
      </c>
      <c r="AG60" cm="1">
        <f t="array" ref="AG60">SUM(SUMIFS(tblStock[qty_units],tblStock[sku],tblSKU[[#This Row],[sku]],tblStock[stock_type],{"Saleable","FOC"}))</f>
        <v>6003</v>
      </c>
      <c r="AH60" s="3">
        <f>SUMIFS(tblStock[value_nzd],tblStock[sku],tblSKU[[#This Row],[sku]])</f>
        <v>116218.08</v>
      </c>
      <c r="AI60" s="4">
        <f>SUMIFS(tblStock[cbm],tblStock[sku],tblSKU[[#This Row],[sku]])</f>
        <v>3.2986484999999997</v>
      </c>
      <c r="AJ60" s="1">
        <f>SUMIFS(tblStock[positions],tblStock[sku],tblSKU[[#This Row],[sku]])</f>
        <v>3</v>
      </c>
      <c r="AK60" s="3">
        <f>SUMIFS(tblStock[value_nzd],tblStock[sku],tblSKU[[#This Row],[sku]],tblStock[stock_type],"Expired")</f>
        <v>0</v>
      </c>
      <c r="AL60" s="3" cm="1">
        <f t="array" ref="AL60">SUM(SUMIFS(tblStock[value_nzd],tblStock[sku],tblSKU[[#This Row],[sku]],tblStock[stock_type],{"Saleable","FOC"},tblStock[expiry_date],"&lt;"&amp;EDATE(SnapshotDate,6)))</f>
        <v>0</v>
      </c>
    </row>
    <row r="61" spans="1:38">
      <c r="A61" s="1" t="s">
        <v>168</v>
      </c>
      <c r="B61" s="1" t="s">
        <v>169</v>
      </c>
      <c r="C61" s="1" t="s">
        <v>70</v>
      </c>
      <c r="D61" s="1" t="s">
        <v>37</v>
      </c>
      <c r="E61" s="1" t="s">
        <v>38</v>
      </c>
      <c r="F61" s="1" t="s">
        <v>39</v>
      </c>
      <c r="G61">
        <v>240</v>
      </c>
      <c r="H61">
        <v>54.2</v>
      </c>
      <c r="I61">
        <v>44.2</v>
      </c>
      <c r="J61">
        <v>29.4</v>
      </c>
      <c r="K61">
        <v>7.0430000000000006E-2</v>
      </c>
      <c r="L61">
        <v>16.09</v>
      </c>
      <c r="M61">
        <v>16.72</v>
      </c>
      <c r="N61">
        <v>4</v>
      </c>
      <c r="O61">
        <v>5</v>
      </c>
      <c r="P61">
        <v>20</v>
      </c>
      <c r="Q61">
        <v>162</v>
      </c>
      <c r="R61">
        <v>346.8</v>
      </c>
      <c r="S61">
        <v>1.4086000000000001</v>
      </c>
      <c r="T61">
        <v>33</v>
      </c>
      <c r="U61">
        <v>5630</v>
      </c>
      <c r="V61">
        <v>94133.599999999991</v>
      </c>
      <c r="W61" s="1" t="s">
        <v>1258</v>
      </c>
      <c r="X61" s="1" t="s">
        <v>1258</v>
      </c>
      <c r="Y61">
        <v>0.38823529411764707</v>
      </c>
      <c r="Z61">
        <v>6.8995098039215677E-2</v>
      </c>
      <c r="AA61" s="1" t="s">
        <v>1259</v>
      </c>
      <c r="AB61">
        <v>0</v>
      </c>
      <c r="AC61">
        <v>1</v>
      </c>
      <c r="AD61" s="1">
        <v>4.2287744227353468</v>
      </c>
      <c r="AE61">
        <v>4</v>
      </c>
      <c r="AF61">
        <f>COUNTIFS(tblStock[sku],tblSKU[[#This Row],[sku]])</f>
        <v>1</v>
      </c>
      <c r="AG61" cm="1">
        <f t="array" ref="AG61">SUM(SUMIFS(tblStock[qty_units],tblStock[sku],tblSKU[[#This Row],[sku]],tblStock[stock_type],{"Saleable","FOC"}))</f>
        <v>5952</v>
      </c>
      <c r="AH61" s="3">
        <f>SUMIFS(tblStock[value_nzd],tblStock[sku],tblSKU[[#This Row],[sku]])</f>
        <v>99517.439999999988</v>
      </c>
      <c r="AI61" s="4">
        <f>SUMIFS(tblStock[cbm],tblStock[sku],tblSKU[[#This Row],[sku]])</f>
        <v>1.7466640000000002</v>
      </c>
      <c r="AJ61" s="1">
        <f>SUMIFS(tblStock[positions],tblStock[sku],tblSKU[[#This Row],[sku]])</f>
        <v>2</v>
      </c>
      <c r="AK61" s="3">
        <f>SUMIFS(tblStock[value_nzd],tblStock[sku],tblSKU[[#This Row],[sku]],tblStock[stock_type],"Expired")</f>
        <v>0</v>
      </c>
      <c r="AL61" s="3" cm="1">
        <f t="array" ref="AL61">SUM(SUMIFS(tblStock[value_nzd],tblStock[sku],tblSKU[[#This Row],[sku]],tblStock[stock_type],{"Saleable","FOC"},tblStock[expiry_date],"&lt;"&amp;EDATE(SnapshotDate,6)))</f>
        <v>0</v>
      </c>
    </row>
    <row r="62" spans="1:38">
      <c r="A62" s="1" t="s">
        <v>170</v>
      </c>
      <c r="B62" s="1" t="s">
        <v>171</v>
      </c>
      <c r="C62" s="1" t="s">
        <v>48</v>
      </c>
      <c r="D62" s="1" t="s">
        <v>37</v>
      </c>
      <c r="E62" s="1" t="s">
        <v>38</v>
      </c>
      <c r="F62" s="1" t="s">
        <v>39</v>
      </c>
      <c r="G62">
        <v>240</v>
      </c>
      <c r="H62">
        <v>48.7</v>
      </c>
      <c r="I62">
        <v>25</v>
      </c>
      <c r="J62">
        <v>18</v>
      </c>
      <c r="K62">
        <v>2.1919999999999999E-2</v>
      </c>
      <c r="L62">
        <v>6.54</v>
      </c>
      <c r="M62">
        <v>8.11</v>
      </c>
      <c r="N62">
        <v>8</v>
      </c>
      <c r="O62">
        <v>5</v>
      </c>
      <c r="P62">
        <v>40</v>
      </c>
      <c r="Q62">
        <v>105</v>
      </c>
      <c r="R62">
        <v>286.60000000000002</v>
      </c>
      <c r="S62">
        <v>0.87679999999999991</v>
      </c>
      <c r="T62">
        <v>29</v>
      </c>
      <c r="U62">
        <v>6013</v>
      </c>
      <c r="V62">
        <v>48765.429999999993</v>
      </c>
      <c r="W62" s="1" t="s">
        <v>1258</v>
      </c>
      <c r="X62" s="1" t="s">
        <v>1258</v>
      </c>
      <c r="Y62">
        <v>0.3411764705882353</v>
      </c>
      <c r="Z62">
        <v>3.6844362745098037E-2</v>
      </c>
      <c r="AA62" s="1" t="s">
        <v>1259</v>
      </c>
      <c r="AB62">
        <v>0</v>
      </c>
      <c r="AC62">
        <v>1</v>
      </c>
      <c r="AD62" s="1">
        <v>3.8104107766505906</v>
      </c>
      <c r="AE62">
        <v>4</v>
      </c>
      <c r="AF62">
        <f>COUNTIFS(tblStock[sku],tblSKU[[#This Row],[sku]])</f>
        <v>1</v>
      </c>
      <c r="AG62" cm="1">
        <f t="array" ref="AG62">SUM(SUMIFS(tblStock[qty_units],tblStock[sku],tblSKU[[#This Row],[sku]],tblStock[stock_type],{"Saleable","FOC"}))</f>
        <v>5728</v>
      </c>
      <c r="AH62" s="3">
        <f>SUMIFS(tblStock[value_nzd],tblStock[sku],tblSKU[[#This Row],[sku]])</f>
        <v>46454.079999999994</v>
      </c>
      <c r="AI62" s="4">
        <f>SUMIFS(tblStock[cbm],tblStock[sku],tblSKU[[#This Row],[sku]])</f>
        <v>0.52315733333333336</v>
      </c>
      <c r="AJ62" s="1">
        <f>SUMIFS(tblStock[positions],tblStock[sku],tblSKU[[#This Row],[sku]])</f>
        <v>1</v>
      </c>
      <c r="AK62" s="3">
        <f>SUMIFS(tblStock[value_nzd],tblStock[sku],tblSKU[[#This Row],[sku]],tblStock[stock_type],"Expired")</f>
        <v>0</v>
      </c>
      <c r="AL62" s="3" cm="1">
        <f t="array" ref="AL62">SUM(SUMIFS(tblStock[value_nzd],tblStock[sku],tblSKU[[#This Row],[sku]],tblStock[stock_type],{"Saleable","FOC"},tblStock[expiry_date],"&lt;"&amp;EDATE(SnapshotDate,6)))</f>
        <v>0</v>
      </c>
    </row>
    <row r="63" spans="1:38">
      <c r="A63" s="1" t="s">
        <v>172</v>
      </c>
      <c r="B63" s="1" t="s">
        <v>173</v>
      </c>
      <c r="C63" s="1" t="s">
        <v>43</v>
      </c>
      <c r="D63" s="1" t="s">
        <v>37</v>
      </c>
      <c r="E63" s="1" t="s">
        <v>38</v>
      </c>
      <c r="F63" s="1" t="s">
        <v>39</v>
      </c>
      <c r="G63">
        <v>180</v>
      </c>
      <c r="H63">
        <v>54.3</v>
      </c>
      <c r="I63">
        <v>32.4</v>
      </c>
      <c r="J63">
        <v>29.5</v>
      </c>
      <c r="K63">
        <v>5.1900000000000002E-2</v>
      </c>
      <c r="L63">
        <v>11.84</v>
      </c>
      <c r="M63">
        <v>21.07</v>
      </c>
      <c r="N63">
        <v>4</v>
      </c>
      <c r="O63">
        <v>5</v>
      </c>
      <c r="P63">
        <v>20</v>
      </c>
      <c r="Q63">
        <v>162.5</v>
      </c>
      <c r="R63">
        <v>261.8</v>
      </c>
      <c r="S63">
        <v>1.038</v>
      </c>
      <c r="T63">
        <v>247</v>
      </c>
      <c r="U63">
        <v>22966</v>
      </c>
      <c r="V63">
        <v>483893.62</v>
      </c>
      <c r="W63" s="1" t="s">
        <v>1264</v>
      </c>
      <c r="X63" s="1" t="s">
        <v>1264</v>
      </c>
      <c r="Y63">
        <v>2.9058823529411764</v>
      </c>
      <c r="Z63">
        <v>0.37526143790849675</v>
      </c>
      <c r="AA63" s="1" t="s">
        <v>1265</v>
      </c>
      <c r="AB63">
        <v>1</v>
      </c>
      <c r="AC63">
        <v>0</v>
      </c>
      <c r="AD63" s="1">
        <v>3.1773926674214055</v>
      </c>
      <c r="AE63">
        <v>12</v>
      </c>
      <c r="AF63">
        <f>COUNTIFS(tblStock[sku],tblSKU[[#This Row],[sku]])</f>
        <v>2</v>
      </c>
      <c r="AG63" cm="1">
        <f t="array" ref="AG63">SUM(SUMIFS(tblStock[qty_units],tblStock[sku],tblSKU[[#This Row],[sku]],tblStock[stock_type],{"Saleable","FOC"}))</f>
        <v>18243</v>
      </c>
      <c r="AH63" s="3">
        <f>SUMIFS(tblStock[value_nzd],tblStock[sku],tblSKU[[#This Row],[sku]])</f>
        <v>384380.01</v>
      </c>
      <c r="AI63" s="4">
        <f>SUMIFS(tblStock[cbm],tblStock[sku],tblSKU[[#This Row],[sku]])</f>
        <v>5.260065</v>
      </c>
      <c r="AJ63" s="1">
        <f>SUMIFS(tblStock[positions],tblStock[sku],tblSKU[[#This Row],[sku]])</f>
        <v>6</v>
      </c>
      <c r="AK63" s="3">
        <f>SUMIFS(tblStock[value_nzd],tblStock[sku],tblSKU[[#This Row],[sku]],tblStock[stock_type],"Expired")</f>
        <v>0</v>
      </c>
      <c r="AL63" s="3" cm="1">
        <f t="array" ref="AL63">SUM(SUMIFS(tblStock[value_nzd],tblStock[sku],tblSKU[[#This Row],[sku]],tblStock[stock_type],{"Saleable","FOC"},tblStock[expiry_date],"&lt;"&amp;EDATE(SnapshotDate,6)))</f>
        <v>0</v>
      </c>
    </row>
    <row r="64" spans="1:38">
      <c r="A64" s="1" t="s">
        <v>174</v>
      </c>
      <c r="B64" s="1" t="s">
        <v>175</v>
      </c>
      <c r="C64" s="1" t="s">
        <v>36</v>
      </c>
      <c r="D64" s="1" t="s">
        <v>37</v>
      </c>
      <c r="E64" s="1" t="s">
        <v>38</v>
      </c>
      <c r="F64" s="1" t="s">
        <v>39</v>
      </c>
      <c r="G64">
        <v>180</v>
      </c>
      <c r="H64">
        <v>33.6</v>
      </c>
      <c r="I64">
        <v>35.4</v>
      </c>
      <c r="J64">
        <v>32.299999999999997</v>
      </c>
      <c r="K64">
        <v>3.8420000000000003E-2</v>
      </c>
      <c r="L64">
        <v>7.09</v>
      </c>
      <c r="M64">
        <v>3.7</v>
      </c>
      <c r="N64">
        <v>6</v>
      </c>
      <c r="O64">
        <v>2</v>
      </c>
      <c r="P64">
        <v>12</v>
      </c>
      <c r="Q64">
        <v>79.599999999999994</v>
      </c>
      <c r="R64">
        <v>110.08</v>
      </c>
      <c r="S64">
        <v>0.46104000000000001</v>
      </c>
      <c r="T64">
        <v>98</v>
      </c>
      <c r="U64">
        <v>11955</v>
      </c>
      <c r="V64">
        <v>44233.5</v>
      </c>
      <c r="W64" s="1" t="s">
        <v>1264</v>
      </c>
      <c r="X64" s="1" t="s">
        <v>1258</v>
      </c>
      <c r="Y64">
        <v>1.1529411764705881</v>
      </c>
      <c r="Z64">
        <v>0.32557189542483661</v>
      </c>
      <c r="AA64" s="1" t="s">
        <v>1265</v>
      </c>
      <c r="AB64">
        <v>1</v>
      </c>
      <c r="AC64">
        <v>0</v>
      </c>
      <c r="AD64" s="1">
        <v>3.0638226683396068</v>
      </c>
      <c r="AE64">
        <v>4</v>
      </c>
      <c r="AF64">
        <f>COUNTIFS(tblStock[sku],tblSKU[[#This Row],[sku]])</f>
        <v>2</v>
      </c>
      <c r="AG64" cm="1">
        <f t="array" ref="AG64">SUM(SUMIFS(tblStock[qty_units],tblStock[sku],tblSKU[[#This Row],[sku]],tblStock[stock_type],{"Saleable","FOC"}))</f>
        <v>9157</v>
      </c>
      <c r="AH64" s="3">
        <f>SUMIFS(tblStock[value_nzd],tblStock[sku],tblSKU[[#This Row],[sku]])</f>
        <v>36589.300000000003</v>
      </c>
      <c r="AI64" s="4">
        <f>SUMIFS(tblStock[cbm],tblStock[sku],tblSKU[[#This Row],[sku]])</f>
        <v>2.1107521111111112</v>
      </c>
      <c r="AJ64" s="1">
        <f>SUMIFS(tblStock[positions],tblStock[sku],tblSKU[[#This Row],[sku]])</f>
        <v>5</v>
      </c>
      <c r="AK64" s="3">
        <f>SUMIFS(tblStock[value_nzd],tblStock[sku],tblSKU[[#This Row],[sku]],tblStock[stock_type],"Expired")</f>
        <v>2708.4</v>
      </c>
      <c r="AL64" s="3" cm="1">
        <f t="array" ref="AL64">SUM(SUMIFS(tblStock[value_nzd],tblStock[sku],tblSKU[[#This Row],[sku]],tblStock[stock_type],{"Saleable","FOC"},tblStock[expiry_date],"&lt;"&amp;EDATE(SnapshotDate,6)))</f>
        <v>0</v>
      </c>
    </row>
    <row r="65" spans="1:38">
      <c r="A65" s="1" t="s">
        <v>176</v>
      </c>
      <c r="B65" s="1" t="s">
        <v>177</v>
      </c>
      <c r="C65" s="1" t="s">
        <v>52</v>
      </c>
      <c r="D65" s="1" t="s">
        <v>37</v>
      </c>
      <c r="E65" s="1" t="s">
        <v>38</v>
      </c>
      <c r="F65" s="1" t="s">
        <v>39</v>
      </c>
      <c r="G65">
        <v>240</v>
      </c>
      <c r="H65">
        <v>32.5</v>
      </c>
      <c r="I65">
        <v>40.700000000000003</v>
      </c>
      <c r="J65">
        <v>31.8</v>
      </c>
      <c r="K65">
        <v>4.206E-2</v>
      </c>
      <c r="L65">
        <v>11.95</v>
      </c>
      <c r="M65">
        <v>23.33</v>
      </c>
      <c r="N65">
        <v>6</v>
      </c>
      <c r="O65">
        <v>2</v>
      </c>
      <c r="P65">
        <v>12</v>
      </c>
      <c r="Q65">
        <v>78.599999999999994</v>
      </c>
      <c r="R65">
        <v>168.39999999999998</v>
      </c>
      <c r="S65">
        <v>0.50472000000000006</v>
      </c>
      <c r="T65">
        <v>95</v>
      </c>
      <c r="U65">
        <v>11366</v>
      </c>
      <c r="V65">
        <v>265168.77999999997</v>
      </c>
      <c r="W65" s="1" t="s">
        <v>1264</v>
      </c>
      <c r="X65" s="1" t="s">
        <v>1264</v>
      </c>
      <c r="Y65">
        <v>1.1176470588235294</v>
      </c>
      <c r="Z65">
        <v>0.2321486928104575</v>
      </c>
      <c r="AA65" s="1" t="s">
        <v>1265</v>
      </c>
      <c r="AB65">
        <v>1</v>
      </c>
      <c r="AC65">
        <v>0</v>
      </c>
      <c r="AD65" s="1">
        <v>7.8645081822980822</v>
      </c>
      <c r="AE65">
        <v>12</v>
      </c>
      <c r="AF65">
        <f>COUNTIFS(tblStock[sku],tblSKU[[#This Row],[sku]])</f>
        <v>2</v>
      </c>
      <c r="AG65" cm="1">
        <f t="array" ref="AG65">SUM(SUMIFS(tblStock[qty_units],tblStock[sku],tblSKU[[#This Row],[sku]],tblStock[stock_type],{"Saleable","FOC"}))</f>
        <v>22347</v>
      </c>
      <c r="AH65" s="3">
        <f>SUMIFS(tblStock[value_nzd],tblStock[sku],tblSKU[[#This Row],[sku]])</f>
        <v>563046.22</v>
      </c>
      <c r="AI65" s="4">
        <f>SUMIFS(tblStock[cbm],tblStock[sku],tblSKU[[#This Row],[sku]])</f>
        <v>4.2294834999999997</v>
      </c>
      <c r="AJ65" s="1">
        <f>SUMIFS(tblStock[positions],tblStock[sku],tblSKU[[#This Row],[sku]])</f>
        <v>8</v>
      </c>
      <c r="AK65" s="3">
        <f>SUMIFS(tblStock[value_nzd],tblStock[sku],tblSKU[[#This Row],[sku]],tblStock[stock_type],"Expired")</f>
        <v>41690.71</v>
      </c>
      <c r="AL65" s="3" cm="1">
        <f t="array" ref="AL65">SUM(SUMIFS(tblStock[value_nzd],tblStock[sku],tblSKU[[#This Row],[sku]],tblStock[stock_type],{"Saleable","FOC"},tblStock[expiry_date],"&lt;"&amp;EDATE(SnapshotDate,6)))</f>
        <v>521355.50999999995</v>
      </c>
    </row>
    <row r="66" spans="1:38">
      <c r="A66" s="1" t="s">
        <v>178</v>
      </c>
      <c r="B66" s="1" t="s">
        <v>179</v>
      </c>
      <c r="C66" s="1" t="s">
        <v>70</v>
      </c>
      <c r="D66" s="1" t="s">
        <v>37</v>
      </c>
      <c r="E66" s="1" t="s">
        <v>38</v>
      </c>
      <c r="F66" s="1" t="s">
        <v>39</v>
      </c>
      <c r="G66">
        <v>120</v>
      </c>
      <c r="H66">
        <v>46.1</v>
      </c>
      <c r="I66">
        <v>37.6</v>
      </c>
      <c r="J66">
        <v>34.1</v>
      </c>
      <c r="K66">
        <v>5.9110000000000003E-2</v>
      </c>
      <c r="L66">
        <v>9.32</v>
      </c>
      <c r="M66">
        <v>15.42</v>
      </c>
      <c r="N66">
        <v>5</v>
      </c>
      <c r="O66">
        <v>3</v>
      </c>
      <c r="P66">
        <v>15</v>
      </c>
      <c r="Q66">
        <v>117.30000000000001</v>
      </c>
      <c r="R66">
        <v>164.8</v>
      </c>
      <c r="S66">
        <v>0.88665000000000005</v>
      </c>
      <c r="T66">
        <v>34</v>
      </c>
      <c r="U66">
        <v>2323</v>
      </c>
      <c r="V66">
        <v>35820.659999999996</v>
      </c>
      <c r="W66" s="1" t="s">
        <v>1258</v>
      </c>
      <c r="X66" s="1" t="s">
        <v>1258</v>
      </c>
      <c r="Y66">
        <v>0.4</v>
      </c>
      <c r="Z66">
        <v>7.5915032679738564E-2</v>
      </c>
      <c r="AA66" s="1" t="s">
        <v>1259</v>
      </c>
      <c r="AB66">
        <v>0</v>
      </c>
      <c r="AC66">
        <v>1</v>
      </c>
      <c r="AD66" s="1">
        <v>6.448557899268188</v>
      </c>
      <c r="AE66">
        <v>4</v>
      </c>
      <c r="AF66">
        <f>COUNTIFS(tblStock[sku],tblSKU[[#This Row],[sku]])</f>
        <v>1</v>
      </c>
      <c r="AG66" cm="1">
        <f t="array" ref="AG66">SUM(SUMIFS(tblStock[qty_units],tblStock[sku],tblSKU[[#This Row],[sku]],tblStock[stock_type],{"Saleable","FOC"}))</f>
        <v>3745</v>
      </c>
      <c r="AH66" s="3">
        <f>SUMIFS(tblStock[value_nzd],tblStock[sku],tblSKU[[#This Row],[sku]])</f>
        <v>57747.9</v>
      </c>
      <c r="AI66" s="4">
        <f>SUMIFS(tblStock[cbm],tblStock[sku],tblSKU[[#This Row],[sku]])</f>
        <v>1.8447245833333334</v>
      </c>
      <c r="AJ66" s="1">
        <f>SUMIFS(tblStock[positions],tblStock[sku],tblSKU[[#This Row],[sku]])</f>
        <v>3</v>
      </c>
      <c r="AK66" s="3">
        <f>SUMIFS(tblStock[value_nzd],tblStock[sku],tblSKU[[#This Row],[sku]],tblStock[stock_type],"Expired")</f>
        <v>0</v>
      </c>
      <c r="AL66" s="3" cm="1">
        <f t="array" ref="AL66">SUM(SUMIFS(tblStock[value_nzd],tblStock[sku],tblSKU[[#This Row],[sku]],tblStock[stock_type],{"Saleable","FOC"},tblStock[expiry_date],"&lt;"&amp;EDATE(SnapshotDate,6)))</f>
        <v>0</v>
      </c>
    </row>
    <row r="67" spans="1:38">
      <c r="A67" s="1" t="s">
        <v>180</v>
      </c>
      <c r="B67" s="1" t="s">
        <v>181</v>
      </c>
      <c r="C67" s="1" t="s">
        <v>48</v>
      </c>
      <c r="D67" s="1" t="s">
        <v>37</v>
      </c>
      <c r="E67" s="1" t="s">
        <v>38</v>
      </c>
      <c r="F67" s="1" t="s">
        <v>39</v>
      </c>
      <c r="G67">
        <v>240</v>
      </c>
      <c r="H67">
        <v>57.9</v>
      </c>
      <c r="I67">
        <v>39.9</v>
      </c>
      <c r="J67">
        <v>27.1</v>
      </c>
      <c r="K67">
        <v>6.2609999999999999E-2</v>
      </c>
      <c r="L67">
        <v>14.68</v>
      </c>
      <c r="M67">
        <v>18.989999999999998</v>
      </c>
      <c r="N67">
        <v>4</v>
      </c>
      <c r="O67">
        <v>2</v>
      </c>
      <c r="P67">
        <v>8</v>
      </c>
      <c r="Q67">
        <v>69.2</v>
      </c>
      <c r="R67">
        <v>142.44</v>
      </c>
      <c r="S67">
        <v>0.50087999999999999</v>
      </c>
      <c r="T67">
        <v>21</v>
      </c>
      <c r="U67">
        <v>1972</v>
      </c>
      <c r="V67">
        <v>37448.28</v>
      </c>
      <c r="W67" s="1" t="s">
        <v>1262</v>
      </c>
      <c r="X67" s="1" t="s">
        <v>1258</v>
      </c>
      <c r="Y67">
        <v>0.24705882352941178</v>
      </c>
      <c r="Z67">
        <v>6.0416666666666667E-2</v>
      </c>
      <c r="AA67" s="1" t="s">
        <v>1263</v>
      </c>
      <c r="AB67">
        <v>0</v>
      </c>
      <c r="AC67">
        <v>0</v>
      </c>
      <c r="AD67" s="1">
        <v>1.2373225152129816</v>
      </c>
      <c r="AE67">
        <v>4</v>
      </c>
      <c r="AF67">
        <f>COUNTIFS(tblStock[sku],tblSKU[[#This Row],[sku]])</f>
        <v>2</v>
      </c>
      <c r="AG67" cm="1">
        <f t="array" ref="AG67">SUM(SUMIFS(tblStock[qty_units],tblStock[sku],tblSKU[[#This Row],[sku]],tblStock[stock_type],{"Saleable","FOC"}))</f>
        <v>610</v>
      </c>
      <c r="AH67" s="3">
        <f>SUMIFS(tblStock[value_nzd],tblStock[sku],tblSKU[[#This Row],[sku]])</f>
        <v>11583.899999999998</v>
      </c>
      <c r="AI67" s="4">
        <f>SUMIFS(tblStock[cbm],tblStock[sku],tblSKU[[#This Row],[sku]])</f>
        <v>0.15913375000000002</v>
      </c>
      <c r="AJ67" s="1">
        <f>SUMIFS(tblStock[positions],tblStock[sku],tblSKU[[#This Row],[sku]])</f>
        <v>0</v>
      </c>
      <c r="AK67" s="3">
        <f>SUMIFS(tblStock[value_nzd],tblStock[sku],tblSKU[[#This Row],[sku]],tblStock[stock_type],"Expired")</f>
        <v>0</v>
      </c>
      <c r="AL67" s="3" cm="1">
        <f t="array" ref="AL67">SUM(SUMIFS(tblStock[value_nzd],tblStock[sku],tblSKU[[#This Row],[sku]],tblStock[stock_type],{"Saleable","FOC"},tblStock[expiry_date],"&lt;"&amp;EDATE(SnapshotDate,6)))</f>
        <v>0</v>
      </c>
    </row>
    <row r="68" spans="1:38">
      <c r="A68" s="1" t="s">
        <v>182</v>
      </c>
      <c r="B68" s="1" t="s">
        <v>183</v>
      </c>
      <c r="C68" s="1" t="s">
        <v>70</v>
      </c>
      <c r="D68" s="1" t="s">
        <v>37</v>
      </c>
      <c r="E68" s="1" t="s">
        <v>38</v>
      </c>
      <c r="F68" s="1" t="s">
        <v>39</v>
      </c>
      <c r="G68">
        <v>100</v>
      </c>
      <c r="H68">
        <v>46.8</v>
      </c>
      <c r="I68">
        <v>40.299999999999997</v>
      </c>
      <c r="J68">
        <v>34.299999999999997</v>
      </c>
      <c r="K68">
        <v>6.4689999999999998E-2</v>
      </c>
      <c r="L68">
        <v>15.07</v>
      </c>
      <c r="M68">
        <v>8.6300000000000008</v>
      </c>
      <c r="N68">
        <v>4</v>
      </c>
      <c r="O68">
        <v>3</v>
      </c>
      <c r="P68">
        <v>12</v>
      </c>
      <c r="Q68">
        <v>117.89999999999999</v>
      </c>
      <c r="R68">
        <v>205.84</v>
      </c>
      <c r="S68">
        <v>0.77627999999999997</v>
      </c>
      <c r="T68">
        <v>40</v>
      </c>
      <c r="U68">
        <v>1928</v>
      </c>
      <c r="V68">
        <v>16638.640000000003</v>
      </c>
      <c r="W68" s="1" t="s">
        <v>1258</v>
      </c>
      <c r="X68" s="1" t="s">
        <v>1262</v>
      </c>
      <c r="Y68">
        <v>0.47058823529411764</v>
      </c>
      <c r="Z68">
        <v>9.4509803921568644E-2</v>
      </c>
      <c r="AA68" s="1" t="s">
        <v>1259</v>
      </c>
      <c r="AB68">
        <v>0</v>
      </c>
      <c r="AC68">
        <v>1</v>
      </c>
      <c r="AD68" s="1">
        <v>4.2780082987551866</v>
      </c>
      <c r="AE68">
        <v>2</v>
      </c>
      <c r="AF68">
        <f>COUNTIFS(tblStock[sku],tblSKU[[#This Row],[sku]])</f>
        <v>2</v>
      </c>
      <c r="AG68" cm="1">
        <f t="array" ref="AG68">SUM(SUMIFS(tblStock[qty_units],tblStock[sku],tblSKU[[#This Row],[sku]],tblStock[stock_type],{"Saleable","FOC"}))</f>
        <v>2062</v>
      </c>
      <c r="AH68" s="3">
        <f>SUMIFS(tblStock[value_nzd],tblStock[sku],tblSKU[[#This Row],[sku]])</f>
        <v>17795.060000000001</v>
      </c>
      <c r="AI68" s="4">
        <f>SUMIFS(tblStock[cbm],tblStock[sku],tblSKU[[#This Row],[sku]])</f>
        <v>1.3339078</v>
      </c>
      <c r="AJ68" s="1">
        <f>SUMIFS(tblStock[positions],tblStock[sku],tblSKU[[#This Row],[sku]])</f>
        <v>3</v>
      </c>
      <c r="AK68" s="3">
        <f>SUMIFS(tblStock[value_nzd],tblStock[sku],tblSKU[[#This Row],[sku]],tblStock[stock_type],"Expired")</f>
        <v>0</v>
      </c>
      <c r="AL68" s="3" cm="1">
        <f t="array" ref="AL68">SUM(SUMIFS(tblStock[value_nzd],tblStock[sku],tblSKU[[#This Row],[sku]],tblStock[stock_type],{"Saleable","FOC"},tblStock[expiry_date],"&lt;"&amp;EDATE(SnapshotDate,6)))</f>
        <v>0</v>
      </c>
    </row>
    <row r="69" spans="1:38">
      <c r="A69" s="1" t="s">
        <v>184</v>
      </c>
      <c r="B69" s="1" t="s">
        <v>185</v>
      </c>
      <c r="C69" s="1" t="s">
        <v>43</v>
      </c>
      <c r="D69" s="1" t="s">
        <v>37</v>
      </c>
      <c r="E69" s="1" t="s">
        <v>38</v>
      </c>
      <c r="F69" s="1" t="s">
        <v>39</v>
      </c>
      <c r="G69">
        <v>240</v>
      </c>
      <c r="H69">
        <v>53.8</v>
      </c>
      <c r="I69">
        <v>41.5</v>
      </c>
      <c r="J69">
        <v>34.6</v>
      </c>
      <c r="K69">
        <v>7.7249999999999999E-2</v>
      </c>
      <c r="L69">
        <v>12.3</v>
      </c>
      <c r="M69">
        <v>13.41</v>
      </c>
      <c r="N69">
        <v>3</v>
      </c>
      <c r="O69">
        <v>3</v>
      </c>
      <c r="P69">
        <v>9</v>
      </c>
      <c r="Q69">
        <v>118.80000000000001</v>
      </c>
      <c r="R69">
        <v>135.69999999999999</v>
      </c>
      <c r="S69">
        <v>0.69525000000000003</v>
      </c>
      <c r="T69">
        <v>48</v>
      </c>
      <c r="U69">
        <v>2870</v>
      </c>
      <c r="V69">
        <v>38486.699999999997</v>
      </c>
      <c r="W69" s="1" t="s">
        <v>1258</v>
      </c>
      <c r="X69" s="1" t="s">
        <v>1258</v>
      </c>
      <c r="Y69">
        <v>0.56470588235294117</v>
      </c>
      <c r="Z69">
        <v>7.8159041394335507E-2</v>
      </c>
      <c r="AA69" s="1" t="s">
        <v>1259</v>
      </c>
      <c r="AB69">
        <v>0</v>
      </c>
      <c r="AC69">
        <v>1</v>
      </c>
      <c r="AD69" s="1">
        <v>1.9094076655052266</v>
      </c>
      <c r="AE69">
        <v>4</v>
      </c>
      <c r="AF69">
        <f>COUNTIFS(tblStock[sku],tblSKU[[#This Row],[sku]])</f>
        <v>2</v>
      </c>
      <c r="AG69" cm="1">
        <f t="array" ref="AG69">SUM(SUMIFS(tblStock[qty_units],tblStock[sku],tblSKU[[#This Row],[sku]],tblStock[stock_type],{"Saleable","FOC"}))</f>
        <v>1370</v>
      </c>
      <c r="AH69" s="3">
        <f>SUMIFS(tblStock[value_nzd],tblStock[sku],tblSKU[[#This Row],[sku]])</f>
        <v>18371.7</v>
      </c>
      <c r="AI69" s="4">
        <f>SUMIFS(tblStock[cbm],tblStock[sku],tblSKU[[#This Row],[sku]])</f>
        <v>0.44096875000000002</v>
      </c>
      <c r="AJ69" s="1">
        <f>SUMIFS(tblStock[positions],tblStock[sku],tblSKU[[#This Row],[sku]])</f>
        <v>1</v>
      </c>
      <c r="AK69" s="3">
        <f>SUMIFS(tblStock[value_nzd],tblStock[sku],tblSKU[[#This Row],[sku]],tblStock[stock_type],"Expired")</f>
        <v>0</v>
      </c>
      <c r="AL69" s="3" cm="1">
        <f t="array" ref="AL69">SUM(SUMIFS(tblStock[value_nzd],tblStock[sku],tblSKU[[#This Row],[sku]],tblStock[stock_type],{"Saleable","FOC"},tblStock[expiry_date],"&lt;"&amp;EDATE(SnapshotDate,6)))</f>
        <v>0</v>
      </c>
    </row>
    <row r="70" spans="1:38">
      <c r="A70" s="1" t="s">
        <v>186</v>
      </c>
      <c r="B70" s="1" t="s">
        <v>187</v>
      </c>
      <c r="C70" s="1" t="s">
        <v>36</v>
      </c>
      <c r="D70" s="1" t="s">
        <v>37</v>
      </c>
      <c r="E70" s="1" t="s">
        <v>38</v>
      </c>
      <c r="F70" s="1" t="s">
        <v>39</v>
      </c>
      <c r="G70">
        <v>120</v>
      </c>
      <c r="H70">
        <v>44.3</v>
      </c>
      <c r="I70">
        <v>29.4</v>
      </c>
      <c r="J70">
        <v>35</v>
      </c>
      <c r="K70">
        <v>4.5580000000000002E-2</v>
      </c>
      <c r="L70">
        <v>8.5299999999999994</v>
      </c>
      <c r="M70">
        <v>8.5399999999999991</v>
      </c>
      <c r="N70">
        <v>7</v>
      </c>
      <c r="O70">
        <v>2</v>
      </c>
      <c r="P70">
        <v>14</v>
      </c>
      <c r="Q70">
        <v>85</v>
      </c>
      <c r="R70">
        <v>144.41999999999999</v>
      </c>
      <c r="S70">
        <v>0.63812000000000002</v>
      </c>
      <c r="T70">
        <v>46</v>
      </c>
      <c r="U70">
        <v>3214</v>
      </c>
      <c r="V70">
        <v>27447.559999999998</v>
      </c>
      <c r="W70" s="1" t="s">
        <v>1258</v>
      </c>
      <c r="X70" s="1" t="s">
        <v>1262</v>
      </c>
      <c r="Y70">
        <v>0.54117647058823526</v>
      </c>
      <c r="Z70">
        <v>0.11253501400560226</v>
      </c>
      <c r="AA70" s="1" t="s">
        <v>1259</v>
      </c>
      <c r="AB70">
        <v>0</v>
      </c>
      <c r="AC70">
        <v>1</v>
      </c>
      <c r="AD70" s="1">
        <v>1.7336652146857499</v>
      </c>
      <c r="AE70">
        <v>2</v>
      </c>
      <c r="AF70">
        <f>COUNTIFS(tblStock[sku],tblSKU[[#This Row],[sku]])</f>
        <v>1</v>
      </c>
      <c r="AG70" cm="1">
        <f t="array" ref="AG70">SUM(SUMIFS(tblStock[qty_units],tblStock[sku],tblSKU[[#This Row],[sku]],tblStock[stock_type],{"Saleable","FOC"}))</f>
        <v>1393</v>
      </c>
      <c r="AH70" s="3">
        <f>SUMIFS(tblStock[value_nzd],tblStock[sku],tblSKU[[#This Row],[sku]])</f>
        <v>11896.22</v>
      </c>
      <c r="AI70" s="4">
        <f>SUMIFS(tblStock[cbm],tblStock[sku],tblSKU[[#This Row],[sku]])</f>
        <v>0.52910783333333333</v>
      </c>
      <c r="AJ70" s="1">
        <f>SUMIFS(tblStock[positions],tblStock[sku],tblSKU[[#This Row],[sku]])</f>
        <v>1</v>
      </c>
      <c r="AK70" s="3">
        <f>SUMIFS(tblStock[value_nzd],tblStock[sku],tblSKU[[#This Row],[sku]],tblStock[stock_type],"Expired")</f>
        <v>0</v>
      </c>
      <c r="AL70" s="3" cm="1">
        <f t="array" ref="AL70">SUM(SUMIFS(tblStock[value_nzd],tblStock[sku],tblSKU[[#This Row],[sku]],tblStock[stock_type],{"Saleable","FOC"},tblStock[expiry_date],"&lt;"&amp;EDATE(SnapshotDate,6)))</f>
        <v>0</v>
      </c>
    </row>
    <row r="71" spans="1:38">
      <c r="A71" s="1" t="s">
        <v>188</v>
      </c>
      <c r="B71" s="1" t="s">
        <v>189</v>
      </c>
      <c r="C71" s="1" t="s">
        <v>48</v>
      </c>
      <c r="D71" s="1" t="s">
        <v>37</v>
      </c>
      <c r="E71" s="1" t="s">
        <v>38</v>
      </c>
      <c r="F71" s="1" t="s">
        <v>39</v>
      </c>
      <c r="G71">
        <v>180</v>
      </c>
      <c r="H71">
        <v>53.3</v>
      </c>
      <c r="I71">
        <v>38.9</v>
      </c>
      <c r="J71">
        <v>30.7</v>
      </c>
      <c r="K71">
        <v>6.3649999999999998E-2</v>
      </c>
      <c r="L71">
        <v>13.7</v>
      </c>
      <c r="M71">
        <v>19.04</v>
      </c>
      <c r="N71">
        <v>4</v>
      </c>
      <c r="O71">
        <v>4</v>
      </c>
      <c r="P71">
        <v>16</v>
      </c>
      <c r="Q71">
        <v>137.80000000000001</v>
      </c>
      <c r="R71">
        <v>244.2</v>
      </c>
      <c r="S71">
        <v>1.0184</v>
      </c>
      <c r="T71">
        <v>44</v>
      </c>
      <c r="U71">
        <v>5387</v>
      </c>
      <c r="V71">
        <v>102568.48</v>
      </c>
      <c r="W71" s="1" t="s">
        <v>1258</v>
      </c>
      <c r="X71" s="1" t="s">
        <v>1264</v>
      </c>
      <c r="Y71">
        <v>0.51764705882352946</v>
      </c>
      <c r="Z71">
        <v>0.11002859477124183</v>
      </c>
      <c r="AA71" s="1" t="s">
        <v>1259</v>
      </c>
      <c r="AB71">
        <v>0</v>
      </c>
      <c r="AC71">
        <v>1</v>
      </c>
      <c r="AD71" s="1">
        <v>6.9003155745312794</v>
      </c>
      <c r="AE71">
        <v>12</v>
      </c>
      <c r="AF71">
        <f>COUNTIFS(tblStock[sku],tblSKU[[#This Row],[sku]])</f>
        <v>1</v>
      </c>
      <c r="AG71" cm="1">
        <f t="array" ref="AG71">SUM(SUMIFS(tblStock[qty_units],tblStock[sku],tblSKU[[#This Row],[sku]],tblStock[stock_type],{"Saleable","FOC"}))</f>
        <v>9293</v>
      </c>
      <c r="AH71" s="3">
        <f>SUMIFS(tblStock[value_nzd],tblStock[sku],tblSKU[[#This Row],[sku]])</f>
        <v>176938.72</v>
      </c>
      <c r="AI71" s="4">
        <f>SUMIFS(tblStock[cbm],tblStock[sku],tblSKU[[#This Row],[sku]])</f>
        <v>3.2861080555555557</v>
      </c>
      <c r="AJ71" s="1">
        <f>SUMIFS(tblStock[positions],tblStock[sku],tblSKU[[#This Row],[sku]])</f>
        <v>4</v>
      </c>
      <c r="AK71" s="3">
        <f>SUMIFS(tblStock[value_nzd],tblStock[sku],tblSKU[[#This Row],[sku]],tblStock[stock_type],"Expired")</f>
        <v>0</v>
      </c>
      <c r="AL71" s="3" cm="1">
        <f t="array" ref="AL71">SUM(SUMIFS(tblStock[value_nzd],tblStock[sku],tblSKU[[#This Row],[sku]],tblStock[stock_type],{"Saleable","FOC"},tblStock[expiry_date],"&lt;"&amp;EDATE(SnapshotDate,6)))</f>
        <v>0</v>
      </c>
    </row>
    <row r="72" spans="1:38">
      <c r="A72" s="1" t="s">
        <v>190</v>
      </c>
      <c r="B72" s="1" t="s">
        <v>191</v>
      </c>
      <c r="C72" s="1" t="s">
        <v>48</v>
      </c>
      <c r="D72" s="1" t="s">
        <v>37</v>
      </c>
      <c r="E72" s="1" t="s">
        <v>38</v>
      </c>
      <c r="F72" s="1" t="s">
        <v>39</v>
      </c>
      <c r="G72">
        <v>60</v>
      </c>
      <c r="H72">
        <v>55.4</v>
      </c>
      <c r="I72">
        <v>43</v>
      </c>
      <c r="J72">
        <v>34.9</v>
      </c>
      <c r="K72">
        <v>8.3140000000000006E-2</v>
      </c>
      <c r="L72">
        <v>15.96</v>
      </c>
      <c r="M72">
        <v>2.12</v>
      </c>
      <c r="N72">
        <v>4</v>
      </c>
      <c r="O72">
        <v>4</v>
      </c>
      <c r="P72">
        <v>16</v>
      </c>
      <c r="Q72">
        <v>154.6</v>
      </c>
      <c r="R72">
        <v>280.36</v>
      </c>
      <c r="S72">
        <v>1.3302400000000001</v>
      </c>
      <c r="T72">
        <v>68</v>
      </c>
      <c r="U72">
        <v>5693</v>
      </c>
      <c r="V72">
        <v>12069.16</v>
      </c>
      <c r="W72" s="1" t="s">
        <v>1258</v>
      </c>
      <c r="X72" s="1" t="s">
        <v>1262</v>
      </c>
      <c r="Y72">
        <v>0.8</v>
      </c>
      <c r="Z72">
        <v>0.34883578431372553</v>
      </c>
      <c r="AA72" s="1" t="s">
        <v>1259</v>
      </c>
      <c r="AB72">
        <v>0</v>
      </c>
      <c r="AC72">
        <v>1</v>
      </c>
      <c r="AD72" s="1">
        <v>10.314421219040927</v>
      </c>
      <c r="AE72">
        <v>2</v>
      </c>
      <c r="AF72">
        <f>COUNTIFS(tblStock[sku],tblSKU[[#This Row],[sku]])</f>
        <v>4</v>
      </c>
      <c r="AG72" cm="1">
        <f t="array" ref="AG72">SUM(SUMIFS(tblStock[qty_units],tblStock[sku],tblSKU[[#This Row],[sku]],tblStock[stock_type],{"Saleable","FOC"}))</f>
        <v>14680</v>
      </c>
      <c r="AH72" s="3">
        <f>SUMIFS(tblStock[value_nzd],tblStock[sku],tblSKU[[#This Row],[sku]])</f>
        <v>31121.600000000002</v>
      </c>
      <c r="AI72" s="4">
        <f>SUMIFS(tblStock[cbm],tblStock[sku],tblSKU[[#This Row],[sku]])</f>
        <v>20.341586666666668</v>
      </c>
      <c r="AJ72" s="1">
        <f>SUMIFS(tblStock[positions],tblStock[sku],tblSKU[[#This Row],[sku]])</f>
        <v>16</v>
      </c>
      <c r="AK72" s="3">
        <f>SUMIFS(tblStock[value_nzd],tblStock[sku],tblSKU[[#This Row],[sku]],tblStock[stock_type],"Expired")</f>
        <v>0</v>
      </c>
      <c r="AL72" s="3" cm="1">
        <f t="array" ref="AL72">SUM(SUMIFS(tblStock[value_nzd],tblStock[sku],tblSKU[[#This Row],[sku]],tblStock[stock_type],{"Saleable","FOC"},tblStock[expiry_date],"&lt;"&amp;EDATE(SnapshotDate,6)))</f>
        <v>15408.160000000002</v>
      </c>
    </row>
    <row r="73" spans="1:38">
      <c r="A73" s="1" t="s">
        <v>192</v>
      </c>
      <c r="B73" s="1" t="s">
        <v>193</v>
      </c>
      <c r="C73" s="1" t="s">
        <v>43</v>
      </c>
      <c r="D73" s="1" t="s">
        <v>37</v>
      </c>
      <c r="E73" s="1" t="s">
        <v>38</v>
      </c>
      <c r="F73" s="1" t="s">
        <v>39</v>
      </c>
      <c r="G73">
        <v>240</v>
      </c>
      <c r="H73">
        <v>34.299999999999997</v>
      </c>
      <c r="I73">
        <v>40.6</v>
      </c>
      <c r="J73">
        <v>31.1</v>
      </c>
      <c r="K73">
        <v>4.3310000000000001E-2</v>
      </c>
      <c r="L73">
        <v>8.0299999999999994</v>
      </c>
      <c r="M73">
        <v>18.760000000000002</v>
      </c>
      <c r="N73">
        <v>6</v>
      </c>
      <c r="O73">
        <v>4</v>
      </c>
      <c r="P73">
        <v>24</v>
      </c>
      <c r="Q73">
        <v>139.4</v>
      </c>
      <c r="R73">
        <v>217.71999999999997</v>
      </c>
      <c r="S73">
        <v>1.0394399999999999</v>
      </c>
      <c r="T73">
        <v>182</v>
      </c>
      <c r="U73">
        <v>22487</v>
      </c>
      <c r="V73">
        <v>421856.12000000005</v>
      </c>
      <c r="W73" s="1" t="s">
        <v>1264</v>
      </c>
      <c r="X73" s="1" t="s">
        <v>1264</v>
      </c>
      <c r="Y73">
        <v>2.1411764705882352</v>
      </c>
      <c r="Z73">
        <v>0.2296466503267974</v>
      </c>
      <c r="AA73" s="1" t="s">
        <v>1265</v>
      </c>
      <c r="AB73">
        <v>1</v>
      </c>
      <c r="AC73">
        <v>0</v>
      </c>
      <c r="AD73" s="1">
        <v>7.2753146262284876</v>
      </c>
      <c r="AE73">
        <v>12</v>
      </c>
      <c r="AF73">
        <f>COUNTIFS(tblStock[sku],tblSKU[[#This Row],[sku]])</f>
        <v>1</v>
      </c>
      <c r="AG73" cm="1">
        <f t="array" ref="AG73">SUM(SUMIFS(tblStock[qty_units],tblStock[sku],tblSKU[[#This Row],[sku]],tblStock[stock_type],{"Saleable","FOC"}))</f>
        <v>40900</v>
      </c>
      <c r="AH73" s="3">
        <f>SUMIFS(tblStock[value_nzd],tblStock[sku],tblSKU[[#This Row],[sku]])</f>
        <v>767284.00000000012</v>
      </c>
      <c r="AI73" s="4">
        <f>SUMIFS(tblStock[cbm],tblStock[sku],tblSKU[[#This Row],[sku]])</f>
        <v>7.3807458333333331</v>
      </c>
      <c r="AJ73" s="1">
        <f>SUMIFS(tblStock[positions],tblStock[sku],tblSKU[[#This Row],[sku]])</f>
        <v>8</v>
      </c>
      <c r="AK73" s="3">
        <f>SUMIFS(tblStock[value_nzd],tblStock[sku],tblSKU[[#This Row],[sku]],tblStock[stock_type],"Expired")</f>
        <v>0</v>
      </c>
      <c r="AL73" s="3" cm="1">
        <f t="array" ref="AL73">SUM(SUMIFS(tblStock[value_nzd],tblStock[sku],tblSKU[[#This Row],[sku]],tblStock[stock_type],{"Saleable","FOC"},tblStock[expiry_date],"&lt;"&amp;EDATE(SnapshotDate,6)))</f>
        <v>0</v>
      </c>
    </row>
    <row r="74" spans="1:38">
      <c r="A74" s="1" t="s">
        <v>194</v>
      </c>
      <c r="B74" s="1" t="s">
        <v>195</v>
      </c>
      <c r="C74" s="1" t="s">
        <v>70</v>
      </c>
      <c r="D74" s="1" t="s">
        <v>37</v>
      </c>
      <c r="E74" s="1" t="s">
        <v>38</v>
      </c>
      <c r="F74" s="1" t="s">
        <v>39</v>
      </c>
      <c r="G74">
        <v>120</v>
      </c>
      <c r="H74">
        <v>35.5</v>
      </c>
      <c r="I74">
        <v>40.1</v>
      </c>
      <c r="J74">
        <v>16</v>
      </c>
      <c r="K74">
        <v>2.2780000000000002E-2</v>
      </c>
      <c r="L74">
        <v>6.45</v>
      </c>
      <c r="M74">
        <v>9.41</v>
      </c>
      <c r="N74">
        <v>6</v>
      </c>
      <c r="O74">
        <v>8</v>
      </c>
      <c r="P74">
        <v>48</v>
      </c>
      <c r="Q74">
        <v>143</v>
      </c>
      <c r="R74">
        <v>334.6</v>
      </c>
      <c r="S74">
        <v>1.0934400000000002</v>
      </c>
      <c r="T74">
        <v>5</v>
      </c>
      <c r="U74">
        <v>928</v>
      </c>
      <c r="V74">
        <v>8732.48</v>
      </c>
      <c r="W74" s="1" t="s">
        <v>1262</v>
      </c>
      <c r="X74" s="1" t="s">
        <v>1262</v>
      </c>
      <c r="Y74">
        <v>5.8823529411764705E-2</v>
      </c>
      <c r="Z74">
        <v>9.477124183006537E-3</v>
      </c>
      <c r="AA74" s="1" t="s">
        <v>1263</v>
      </c>
      <c r="AB74">
        <v>0</v>
      </c>
      <c r="AC74">
        <v>0</v>
      </c>
      <c r="AD74" s="1">
        <v>6.8706896551724137</v>
      </c>
      <c r="AE74">
        <v>2</v>
      </c>
      <c r="AF74">
        <f>COUNTIFS(tblStock[sku],tblSKU[[#This Row],[sku]])</f>
        <v>2</v>
      </c>
      <c r="AG74" cm="1">
        <f t="array" ref="AG74">SUM(SUMIFS(tblStock[qty_units],tblStock[sku],tblSKU[[#This Row],[sku]],tblStock[stock_type],{"Saleable","FOC"}))</f>
        <v>1594</v>
      </c>
      <c r="AH74" s="3">
        <f>SUMIFS(tblStock[value_nzd],tblStock[sku],tblSKU[[#This Row],[sku]])</f>
        <v>14999.54</v>
      </c>
      <c r="AI74" s="4">
        <f>SUMIFS(tblStock[cbm],tblStock[sku],tblSKU[[#This Row],[sku]])</f>
        <v>0.30259433333333341</v>
      </c>
      <c r="AJ74" s="1">
        <f>SUMIFS(tblStock[positions],tblStock[sku],tblSKU[[#This Row],[sku]])</f>
        <v>1</v>
      </c>
      <c r="AK74" s="3">
        <f>SUMIFS(tblStock[value_nzd],tblStock[sku],tblSKU[[#This Row],[sku]],tblStock[stock_type],"Expired")</f>
        <v>0</v>
      </c>
      <c r="AL74" s="3" cm="1">
        <f t="array" ref="AL74">SUM(SUMIFS(tblStock[value_nzd],tblStock[sku],tblSKU[[#This Row],[sku]],tblStock[stock_type],{"Saleable","FOC"},tblStock[expiry_date],"&lt;"&amp;EDATE(SnapshotDate,6)))</f>
        <v>0</v>
      </c>
    </row>
    <row r="75" spans="1:38">
      <c r="A75" s="1" t="s">
        <v>196</v>
      </c>
      <c r="B75" s="1" t="s">
        <v>197</v>
      </c>
      <c r="C75" s="1" t="s">
        <v>43</v>
      </c>
      <c r="D75" s="1" t="s">
        <v>37</v>
      </c>
      <c r="E75" s="1" t="s">
        <v>38</v>
      </c>
      <c r="F75" s="1" t="s">
        <v>39</v>
      </c>
      <c r="G75">
        <v>180</v>
      </c>
      <c r="H75">
        <v>58.5</v>
      </c>
      <c r="I75">
        <v>34</v>
      </c>
      <c r="J75">
        <v>23</v>
      </c>
      <c r="K75">
        <v>4.5749999999999999E-2</v>
      </c>
      <c r="L75">
        <v>7.28</v>
      </c>
      <c r="M75">
        <v>21.55</v>
      </c>
      <c r="N75">
        <v>4</v>
      </c>
      <c r="O75">
        <v>5</v>
      </c>
      <c r="P75">
        <v>20</v>
      </c>
      <c r="Q75">
        <v>130</v>
      </c>
      <c r="R75">
        <v>170.6</v>
      </c>
      <c r="S75">
        <v>0.91500000000000004</v>
      </c>
      <c r="T75">
        <v>12</v>
      </c>
      <c r="U75">
        <v>484</v>
      </c>
      <c r="V75">
        <v>10430.200000000001</v>
      </c>
      <c r="W75" s="1" t="s">
        <v>1262</v>
      </c>
      <c r="X75" s="1" t="s">
        <v>1262</v>
      </c>
      <c r="Y75">
        <v>0.14117647058823529</v>
      </c>
      <c r="Z75">
        <v>7.9084967320261438E-3</v>
      </c>
      <c r="AA75" s="1" t="s">
        <v>1263</v>
      </c>
      <c r="AB75">
        <v>0</v>
      </c>
      <c r="AC75">
        <v>0</v>
      </c>
      <c r="AD75" s="1">
        <v>10.15702479338843</v>
      </c>
      <c r="AE75">
        <v>2</v>
      </c>
      <c r="AF75">
        <f>COUNTIFS(tblStock[sku],tblSKU[[#This Row],[sku]])</f>
        <v>3</v>
      </c>
      <c r="AG75" cm="1">
        <f t="array" ref="AG75">SUM(SUMIFS(tblStock[qty_units],tblStock[sku],tblSKU[[#This Row],[sku]],tblStock[stock_type],{"Saleable","FOC"}))</f>
        <v>1229</v>
      </c>
      <c r="AH75" s="3">
        <f>SUMIFS(tblStock[value_nzd],tblStock[sku],tblSKU[[#This Row],[sku]])</f>
        <v>26484.949999999997</v>
      </c>
      <c r="AI75" s="4">
        <f>SUMIFS(tblStock[cbm],tblStock[sku],tblSKU[[#This Row],[sku]])</f>
        <v>0.31237083333333332</v>
      </c>
      <c r="AJ75" s="1">
        <f>SUMIFS(tblStock[positions],tblStock[sku],tblSKU[[#This Row],[sku]])</f>
        <v>0</v>
      </c>
      <c r="AK75" s="3">
        <f>SUMIFS(tblStock[value_nzd],tblStock[sku],tblSKU[[#This Row],[sku]],tblStock[stock_type],"Expired")</f>
        <v>0</v>
      </c>
      <c r="AL75" s="3" cm="1">
        <f t="array" ref="AL75">SUM(SUMIFS(tblStock[value_nzd],tblStock[sku],tblSKU[[#This Row],[sku]],tblStock[stock_type],{"Saleable","FOC"},tblStock[expiry_date],"&lt;"&amp;EDATE(SnapshotDate,6)))</f>
        <v>16378</v>
      </c>
    </row>
    <row r="76" spans="1:38">
      <c r="A76" s="1" t="s">
        <v>198</v>
      </c>
      <c r="B76" s="1" t="s">
        <v>199</v>
      </c>
      <c r="C76" s="1" t="s">
        <v>70</v>
      </c>
      <c r="D76" s="1" t="s">
        <v>37</v>
      </c>
      <c r="E76" s="1" t="s">
        <v>38</v>
      </c>
      <c r="F76" s="1" t="s">
        <v>39</v>
      </c>
      <c r="G76">
        <v>60</v>
      </c>
      <c r="H76">
        <v>30.2</v>
      </c>
      <c r="I76">
        <v>38</v>
      </c>
      <c r="J76">
        <v>27.2</v>
      </c>
      <c r="K76">
        <v>3.1210000000000002E-2</v>
      </c>
      <c r="L76">
        <v>5.58</v>
      </c>
      <c r="M76">
        <v>17.98</v>
      </c>
      <c r="N76">
        <v>9</v>
      </c>
      <c r="O76">
        <v>4</v>
      </c>
      <c r="P76">
        <v>36</v>
      </c>
      <c r="Q76">
        <v>123.8</v>
      </c>
      <c r="R76">
        <v>225.88</v>
      </c>
      <c r="S76">
        <v>1.1235600000000001</v>
      </c>
      <c r="T76">
        <v>1</v>
      </c>
      <c r="U76">
        <v>17</v>
      </c>
      <c r="V76">
        <v>305.66000000000003</v>
      </c>
      <c r="W76" s="1" t="s">
        <v>1262</v>
      </c>
      <c r="X76" s="1" t="s">
        <v>1262</v>
      </c>
      <c r="Y76">
        <v>1.1764705882352941E-2</v>
      </c>
      <c r="Z76">
        <v>4.6296296296296298E-4</v>
      </c>
      <c r="AA76" s="1" t="s">
        <v>1263</v>
      </c>
      <c r="AB76">
        <v>0</v>
      </c>
      <c r="AC76">
        <v>0</v>
      </c>
      <c r="AD76" s="1">
        <v>9.4117647058823533</v>
      </c>
      <c r="AE76">
        <v>2</v>
      </c>
      <c r="AF76">
        <f>COUNTIFS(tblStock[sku],tblSKU[[#This Row],[sku]])</f>
        <v>2</v>
      </c>
      <c r="AG76" cm="1">
        <f t="array" ref="AG76">SUM(SUMIFS(tblStock[qty_units],tblStock[sku],tblSKU[[#This Row],[sku]],tblStock[stock_type],{"Saleable","FOC"}))</f>
        <v>40</v>
      </c>
      <c r="AH76" s="3">
        <f>SUMIFS(tblStock[value_nzd],tblStock[sku],tblSKU[[#This Row],[sku]])</f>
        <v>719.2</v>
      </c>
      <c r="AI76" s="4">
        <f>SUMIFS(tblStock[cbm],tblStock[sku],tblSKU[[#This Row],[sku]])</f>
        <v>2.0806666666666671E-2</v>
      </c>
      <c r="AJ76" s="1">
        <f>SUMIFS(tblStock[positions],tblStock[sku],tblSKU[[#This Row],[sku]])</f>
        <v>0</v>
      </c>
      <c r="AK76" s="3">
        <f>SUMIFS(tblStock[value_nzd],tblStock[sku],tblSKU[[#This Row],[sku]],tblStock[stock_type],"Expired")</f>
        <v>0</v>
      </c>
      <c r="AL76" s="3" cm="1">
        <f t="array" ref="AL76">SUM(SUMIFS(tblStock[value_nzd],tblStock[sku],tblSKU[[#This Row],[sku]],tblStock[stock_type],{"Saleable","FOC"},tblStock[expiry_date],"&lt;"&amp;EDATE(SnapshotDate,6)))</f>
        <v>125.86</v>
      </c>
    </row>
    <row r="77" spans="1:38">
      <c r="A77" s="1" t="s">
        <v>200</v>
      </c>
      <c r="B77" s="1" t="s">
        <v>201</v>
      </c>
      <c r="C77" s="1" t="s">
        <v>52</v>
      </c>
      <c r="D77" s="1" t="s">
        <v>37</v>
      </c>
      <c r="E77" s="1" t="s">
        <v>38</v>
      </c>
      <c r="F77" s="1" t="s">
        <v>39</v>
      </c>
      <c r="G77">
        <v>60</v>
      </c>
      <c r="H77">
        <v>56.7</v>
      </c>
      <c r="I77">
        <v>34.6</v>
      </c>
      <c r="J77">
        <v>22.8</v>
      </c>
      <c r="K77">
        <v>4.4729999999999999E-2</v>
      </c>
      <c r="L77">
        <v>10.73</v>
      </c>
      <c r="M77">
        <v>24.34</v>
      </c>
      <c r="N77">
        <v>4</v>
      </c>
      <c r="O77">
        <v>3</v>
      </c>
      <c r="P77">
        <v>12</v>
      </c>
      <c r="Q77">
        <v>83.4</v>
      </c>
      <c r="R77">
        <v>153.76</v>
      </c>
      <c r="S77">
        <v>0.53676000000000001</v>
      </c>
      <c r="T77">
        <v>42</v>
      </c>
      <c r="U77">
        <v>2826</v>
      </c>
      <c r="V77">
        <v>68784.84</v>
      </c>
      <c r="W77" s="1" t="s">
        <v>1258</v>
      </c>
      <c r="X77" s="1" t="s">
        <v>1258</v>
      </c>
      <c r="Y77">
        <v>0.49411764705882355</v>
      </c>
      <c r="Z77">
        <v>0.23088235294117646</v>
      </c>
      <c r="AA77" s="1" t="s">
        <v>1259</v>
      </c>
      <c r="AB77">
        <v>0</v>
      </c>
      <c r="AC77">
        <v>1</v>
      </c>
      <c r="AD77" s="1">
        <v>8.2845010615711256</v>
      </c>
      <c r="AE77">
        <v>4</v>
      </c>
      <c r="AF77">
        <f>COUNTIFS(tblStock[sku],tblSKU[[#This Row],[sku]])</f>
        <v>4</v>
      </c>
      <c r="AG77" cm="1">
        <f t="array" ref="AG77">SUM(SUMIFS(tblStock[qty_units],tblStock[sku],tblSKU[[#This Row],[sku]],tblStock[stock_type],{"Saleable","FOC"}))</f>
        <v>5853</v>
      </c>
      <c r="AH77" s="3">
        <f>SUMIFS(tblStock[value_nzd],tblStock[sku],tblSKU[[#This Row],[sku]])</f>
        <v>146721.52000000002</v>
      </c>
      <c r="AI77" s="4">
        <f>SUMIFS(tblStock[cbm],tblStock[sku],tblSKU[[#This Row],[sku]])</f>
        <v>4.4938739999999999</v>
      </c>
      <c r="AJ77" s="1">
        <f>SUMIFS(tblStock[positions],tblStock[sku],tblSKU[[#This Row],[sku]])</f>
        <v>10</v>
      </c>
      <c r="AK77" s="3">
        <f>SUMIFS(tblStock[value_nzd],tblStock[sku],tblSKU[[#This Row],[sku]],tblStock[stock_type],"Expired")</f>
        <v>0</v>
      </c>
      <c r="AL77" s="3" cm="1">
        <f t="array" ref="AL77">SUM(SUMIFS(tblStock[value_nzd],tblStock[sku],tblSKU[[#This Row],[sku]],tblStock[stock_type],{"Saleable","FOC"},tblStock[expiry_date],"&lt;"&amp;EDATE(SnapshotDate,6)))</f>
        <v>0</v>
      </c>
    </row>
    <row r="78" spans="1:38">
      <c r="A78" s="1" t="s">
        <v>202</v>
      </c>
      <c r="B78" s="1" t="s">
        <v>203</v>
      </c>
      <c r="C78" s="1" t="s">
        <v>70</v>
      </c>
      <c r="D78" s="1" t="s">
        <v>37</v>
      </c>
      <c r="E78" s="1" t="s">
        <v>38</v>
      </c>
      <c r="F78" s="1" t="s">
        <v>39</v>
      </c>
      <c r="G78">
        <v>60</v>
      </c>
      <c r="H78">
        <v>42.9</v>
      </c>
      <c r="I78">
        <v>31</v>
      </c>
      <c r="J78">
        <v>22.4</v>
      </c>
      <c r="K78">
        <v>2.9790000000000001E-2</v>
      </c>
      <c r="L78">
        <v>6</v>
      </c>
      <c r="M78">
        <v>10.8</v>
      </c>
      <c r="N78">
        <v>6</v>
      </c>
      <c r="O78">
        <v>4</v>
      </c>
      <c r="P78">
        <v>24</v>
      </c>
      <c r="Q78">
        <v>104.6</v>
      </c>
      <c r="R78">
        <v>169</v>
      </c>
      <c r="S78">
        <v>0.71496000000000004</v>
      </c>
      <c r="T78">
        <v>10</v>
      </c>
      <c r="U78">
        <v>638</v>
      </c>
      <c r="V78">
        <v>6890.4000000000015</v>
      </c>
      <c r="W78" s="1" t="s">
        <v>1262</v>
      </c>
      <c r="X78" s="1" t="s">
        <v>1262</v>
      </c>
      <c r="Y78">
        <v>0.11764705882352941</v>
      </c>
      <c r="Z78">
        <v>2.6062091503267975E-2</v>
      </c>
      <c r="AA78" s="1" t="s">
        <v>1263</v>
      </c>
      <c r="AB78">
        <v>0</v>
      </c>
      <c r="AC78">
        <v>0</v>
      </c>
      <c r="AD78" s="1">
        <v>17.084639498432601</v>
      </c>
      <c r="AE78">
        <v>2</v>
      </c>
      <c r="AF78">
        <f>COUNTIFS(tblStock[sku],tblSKU[[#This Row],[sku]])</f>
        <v>2</v>
      </c>
      <c r="AG78" cm="1">
        <f t="array" ref="AG78">SUM(SUMIFS(tblStock[qty_units],tblStock[sku],tblSKU[[#This Row],[sku]],tblStock[stock_type],{"Saleable","FOC"}))</f>
        <v>2725</v>
      </c>
      <c r="AH78" s="3">
        <f>SUMIFS(tblStock[value_nzd],tblStock[sku],tblSKU[[#This Row],[sku]])</f>
        <v>29430.000000000004</v>
      </c>
      <c r="AI78" s="4">
        <f>SUMIFS(tblStock[cbm],tblStock[sku],tblSKU[[#This Row],[sku]])</f>
        <v>1.3529625000000001</v>
      </c>
      <c r="AJ78" s="1">
        <f>SUMIFS(tblStock[positions],tblStock[sku],tblSKU[[#This Row],[sku]])</f>
        <v>3</v>
      </c>
      <c r="AK78" s="3">
        <f>SUMIFS(tblStock[value_nzd],tblStock[sku],tblSKU[[#This Row],[sku]],tblStock[stock_type],"Expired")</f>
        <v>0</v>
      </c>
      <c r="AL78" s="3" cm="1">
        <f t="array" ref="AL78">SUM(SUMIFS(tblStock[value_nzd],tblStock[sku],tblSKU[[#This Row],[sku]],tblStock[stock_type],{"Saleable","FOC"},tblStock[expiry_date],"&lt;"&amp;EDATE(SnapshotDate,6)))</f>
        <v>0</v>
      </c>
    </row>
    <row r="79" spans="1:38">
      <c r="A79" s="1" t="s">
        <v>204</v>
      </c>
      <c r="B79" s="1" t="s">
        <v>205</v>
      </c>
      <c r="C79" s="1" t="s">
        <v>70</v>
      </c>
      <c r="D79" s="1" t="s">
        <v>37</v>
      </c>
      <c r="E79" s="1" t="s">
        <v>38</v>
      </c>
      <c r="F79" s="1" t="s">
        <v>39</v>
      </c>
      <c r="G79">
        <v>180</v>
      </c>
      <c r="H79">
        <v>49.1</v>
      </c>
      <c r="I79">
        <v>37.6</v>
      </c>
      <c r="J79">
        <v>17.3</v>
      </c>
      <c r="K79">
        <v>3.1940000000000003E-2</v>
      </c>
      <c r="L79">
        <v>5.4</v>
      </c>
      <c r="M79">
        <v>19.850000000000001</v>
      </c>
      <c r="N79">
        <v>4</v>
      </c>
      <c r="O79">
        <v>8</v>
      </c>
      <c r="P79">
        <v>32</v>
      </c>
      <c r="Q79">
        <v>153.4</v>
      </c>
      <c r="R79">
        <v>197.8</v>
      </c>
      <c r="S79">
        <v>1.0220800000000001</v>
      </c>
      <c r="T79">
        <v>1</v>
      </c>
      <c r="U79">
        <v>80</v>
      </c>
      <c r="V79">
        <v>1588</v>
      </c>
      <c r="W79" s="1" t="s">
        <v>1262</v>
      </c>
      <c r="X79" s="1" t="s">
        <v>1262</v>
      </c>
      <c r="Y79">
        <v>1.1764705882352941E-2</v>
      </c>
      <c r="Z79">
        <v>8.169934640522875E-4</v>
      </c>
      <c r="AA79" s="1" t="s">
        <v>1263</v>
      </c>
      <c r="AB79">
        <v>0</v>
      </c>
      <c r="AC79">
        <v>0</v>
      </c>
      <c r="AD79" s="1">
        <v>6.6</v>
      </c>
      <c r="AE79">
        <v>2</v>
      </c>
      <c r="AF79">
        <f>COUNTIFS(tblStock[sku],tblSKU[[#This Row],[sku]])</f>
        <v>1</v>
      </c>
      <c r="AG79" cm="1">
        <f t="array" ref="AG79">SUM(SUMIFS(tblStock[qty_units],tblStock[sku],tblSKU[[#This Row],[sku]],tblStock[stock_type],{"Saleable","FOC"}))</f>
        <v>132</v>
      </c>
      <c r="AH79" s="3">
        <f>SUMIFS(tblStock[value_nzd],tblStock[sku],tblSKU[[#This Row],[sku]])</f>
        <v>2620.2000000000003</v>
      </c>
      <c r="AI79" s="4">
        <f>SUMIFS(tblStock[cbm],tblStock[sku],tblSKU[[#This Row],[sku]])</f>
        <v>2.3422666666666668E-2</v>
      </c>
      <c r="AJ79" s="1">
        <f>SUMIFS(tblStock[positions],tblStock[sku],tblSKU[[#This Row],[sku]])</f>
        <v>0</v>
      </c>
      <c r="AK79" s="3">
        <f>SUMIFS(tblStock[value_nzd],tblStock[sku],tblSKU[[#This Row],[sku]],tblStock[stock_type],"Expired")</f>
        <v>0</v>
      </c>
      <c r="AL79" s="3" cm="1">
        <f t="array" ref="AL79">SUM(SUMIFS(tblStock[value_nzd],tblStock[sku],tblSKU[[#This Row],[sku]],tblStock[stock_type],{"Saleable","FOC"},tblStock[expiry_date],"&lt;"&amp;EDATE(SnapshotDate,6)))</f>
        <v>0</v>
      </c>
    </row>
    <row r="80" spans="1:38">
      <c r="A80" s="1" t="s">
        <v>206</v>
      </c>
      <c r="B80" s="1" t="s">
        <v>207</v>
      </c>
      <c r="C80" s="1" t="s">
        <v>36</v>
      </c>
      <c r="D80" s="1" t="s">
        <v>37</v>
      </c>
      <c r="E80" s="1" t="s">
        <v>38</v>
      </c>
      <c r="F80" s="1" t="s">
        <v>39</v>
      </c>
      <c r="G80">
        <v>120</v>
      </c>
      <c r="H80">
        <v>34.5</v>
      </c>
      <c r="I80">
        <v>26.7</v>
      </c>
      <c r="J80">
        <v>26.1</v>
      </c>
      <c r="K80">
        <v>2.4039999999999999E-2</v>
      </c>
      <c r="L80">
        <v>3.94</v>
      </c>
      <c r="M80">
        <v>15.32</v>
      </c>
      <c r="N80">
        <v>9</v>
      </c>
      <c r="O80">
        <v>5</v>
      </c>
      <c r="P80">
        <v>45</v>
      </c>
      <c r="Q80">
        <v>145.5</v>
      </c>
      <c r="R80">
        <v>202.3</v>
      </c>
      <c r="S80">
        <v>1.0817999999999999</v>
      </c>
      <c r="T80">
        <v>34</v>
      </c>
      <c r="U80">
        <v>1935</v>
      </c>
      <c r="V80">
        <v>29644.2</v>
      </c>
      <c r="W80" s="1" t="s">
        <v>1258</v>
      </c>
      <c r="X80" s="1" t="s">
        <v>1258</v>
      </c>
      <c r="Y80">
        <v>0.4</v>
      </c>
      <c r="Z80">
        <v>2.1078431372549018E-2</v>
      </c>
      <c r="AA80" s="1" t="s">
        <v>1259</v>
      </c>
      <c r="AB80">
        <v>0</v>
      </c>
      <c r="AC80">
        <v>1</v>
      </c>
      <c r="AD80" s="1">
        <v>3.4708010335917314</v>
      </c>
      <c r="AE80">
        <v>4</v>
      </c>
      <c r="AF80">
        <f>COUNTIFS(tblStock[sku],tblSKU[[#This Row],[sku]])</f>
        <v>4</v>
      </c>
      <c r="AG80" cm="1">
        <f t="array" ref="AG80">SUM(SUMIFS(tblStock[qty_units],tblStock[sku],tblSKU[[#This Row],[sku]],tblStock[stock_type],{"Saleable","FOC"}))</f>
        <v>1679</v>
      </c>
      <c r="AH80" s="3">
        <f>SUMIFS(tblStock[value_nzd],tblStock[sku],tblSKU[[#This Row],[sku]])</f>
        <v>27775.16</v>
      </c>
      <c r="AI80" s="4">
        <f>SUMIFS(tblStock[cbm],tblStock[sku],tblSKU[[#This Row],[sku]])</f>
        <v>0.36320433333333335</v>
      </c>
      <c r="AJ80" s="1">
        <f>SUMIFS(tblStock[positions],tblStock[sku],tblSKU[[#This Row],[sku]])</f>
        <v>0</v>
      </c>
      <c r="AK80" s="3">
        <f>SUMIFS(tblStock[value_nzd],tblStock[sku],tblSKU[[#This Row],[sku]],tblStock[stock_type],"Expired")</f>
        <v>2052.88</v>
      </c>
      <c r="AL80" s="3" cm="1">
        <f t="array" ref="AL80">SUM(SUMIFS(tblStock[value_nzd],tblStock[sku],tblSKU[[#This Row],[sku]],tblStock[stock_type],{"Saleable","FOC"},tblStock[expiry_date],"&lt;"&amp;EDATE(SnapshotDate,6)))</f>
        <v>0</v>
      </c>
    </row>
    <row r="81" spans="1:38">
      <c r="A81" s="1" t="s">
        <v>208</v>
      </c>
      <c r="B81" s="1" t="s">
        <v>209</v>
      </c>
      <c r="C81" s="1" t="s">
        <v>43</v>
      </c>
      <c r="D81" s="1" t="s">
        <v>37</v>
      </c>
      <c r="E81" s="1" t="s">
        <v>38</v>
      </c>
      <c r="F81" s="1" t="s">
        <v>39</v>
      </c>
      <c r="G81">
        <v>180</v>
      </c>
      <c r="H81">
        <v>45.4</v>
      </c>
      <c r="I81">
        <v>25.3</v>
      </c>
      <c r="J81">
        <v>30.3</v>
      </c>
      <c r="K81">
        <v>3.4799999999999998E-2</v>
      </c>
      <c r="L81">
        <v>7.61</v>
      </c>
      <c r="M81">
        <v>17.649999999999999</v>
      </c>
      <c r="N81">
        <v>8</v>
      </c>
      <c r="O81">
        <v>3</v>
      </c>
      <c r="P81">
        <v>24</v>
      </c>
      <c r="Q81">
        <v>105.9</v>
      </c>
      <c r="R81">
        <v>207.64000000000001</v>
      </c>
      <c r="S81">
        <v>0.83519999999999994</v>
      </c>
      <c r="T81">
        <v>6</v>
      </c>
      <c r="U81">
        <v>2307</v>
      </c>
      <c r="V81">
        <v>40718.549999999996</v>
      </c>
      <c r="W81" s="1" t="s">
        <v>1262</v>
      </c>
      <c r="X81" s="1" t="s">
        <v>1258</v>
      </c>
      <c r="Y81">
        <v>7.0588235294117646E-2</v>
      </c>
      <c r="Z81">
        <v>3.1413398692810457E-2</v>
      </c>
      <c r="AA81" s="1" t="s">
        <v>1263</v>
      </c>
      <c r="AB81">
        <v>0</v>
      </c>
      <c r="AC81">
        <v>0</v>
      </c>
      <c r="AD81" s="1">
        <v>6.9423493714781097</v>
      </c>
      <c r="AE81">
        <v>4</v>
      </c>
      <c r="AF81">
        <f>COUNTIFS(tblStock[sku],tblSKU[[#This Row],[sku]])</f>
        <v>2</v>
      </c>
      <c r="AG81" cm="1">
        <f t="array" ref="AG81">SUM(SUMIFS(tblStock[qty_units],tblStock[sku],tblSKU[[#This Row],[sku]],tblStock[stock_type],{"Saleable","FOC"}))</f>
        <v>4004</v>
      </c>
      <c r="AH81" s="3">
        <f>SUMIFS(tblStock[value_nzd],tblStock[sku],tblSKU[[#This Row],[sku]])</f>
        <v>70670.600000000006</v>
      </c>
      <c r="AI81" s="4">
        <f>SUMIFS(tblStock[cbm],tblStock[sku],tblSKU[[#This Row],[sku]])</f>
        <v>0.7741066666666665</v>
      </c>
      <c r="AJ81" s="1">
        <f>SUMIFS(tblStock[positions],tblStock[sku],tblSKU[[#This Row],[sku]])</f>
        <v>2</v>
      </c>
      <c r="AK81" s="3">
        <f>SUMIFS(tblStock[value_nzd],tblStock[sku],tblSKU[[#This Row],[sku]],tblStock[stock_type],"Expired")</f>
        <v>0</v>
      </c>
      <c r="AL81" s="3" cm="1">
        <f t="array" ref="AL81">SUM(SUMIFS(tblStock[value_nzd],tblStock[sku],tblSKU[[#This Row],[sku]],tblStock[stock_type],{"Saleable","FOC"},tblStock[expiry_date],"&lt;"&amp;EDATE(SnapshotDate,6)))</f>
        <v>0</v>
      </c>
    </row>
    <row r="82" spans="1:38">
      <c r="A82" s="1" t="s">
        <v>210</v>
      </c>
      <c r="B82" s="1" t="s">
        <v>211</v>
      </c>
      <c r="C82" s="1" t="s">
        <v>43</v>
      </c>
      <c r="D82" s="1" t="s">
        <v>37</v>
      </c>
      <c r="E82" s="1" t="s">
        <v>38</v>
      </c>
      <c r="F82" s="1" t="s">
        <v>39</v>
      </c>
      <c r="G82">
        <v>240</v>
      </c>
      <c r="H82">
        <v>55.9</v>
      </c>
      <c r="I82">
        <v>40.6</v>
      </c>
      <c r="J82">
        <v>19.2</v>
      </c>
      <c r="K82">
        <v>4.3580000000000001E-2</v>
      </c>
      <c r="L82">
        <v>11.23</v>
      </c>
      <c r="M82">
        <v>14.6</v>
      </c>
      <c r="N82">
        <v>4</v>
      </c>
      <c r="O82">
        <v>6</v>
      </c>
      <c r="P82">
        <v>24</v>
      </c>
      <c r="Q82">
        <v>130.19999999999999</v>
      </c>
      <c r="R82">
        <v>294.52</v>
      </c>
      <c r="S82">
        <v>1.04592</v>
      </c>
      <c r="T82">
        <v>129</v>
      </c>
      <c r="U82">
        <v>17069</v>
      </c>
      <c r="V82">
        <v>249207.4</v>
      </c>
      <c r="W82" s="1" t="s">
        <v>1264</v>
      </c>
      <c r="X82" s="1" t="s">
        <v>1264</v>
      </c>
      <c r="Y82">
        <v>1.5176470588235293</v>
      </c>
      <c r="Z82">
        <v>0.1743157679738562</v>
      </c>
      <c r="AA82" s="1" t="s">
        <v>1265</v>
      </c>
      <c r="AB82">
        <v>1</v>
      </c>
      <c r="AC82">
        <v>0</v>
      </c>
      <c r="AD82" s="1">
        <v>10.634717909660788</v>
      </c>
      <c r="AE82">
        <v>12</v>
      </c>
      <c r="AF82">
        <f>COUNTIFS(tblStock[sku],tblSKU[[#This Row],[sku]])</f>
        <v>1</v>
      </c>
      <c r="AG82" cm="1">
        <f t="array" ref="AG82">SUM(SUMIFS(tblStock[qty_units],tblStock[sku],tblSKU[[#This Row],[sku]],tblStock[stock_type],{"Saleable","FOC"}))</f>
        <v>45381</v>
      </c>
      <c r="AH82" s="3">
        <f>SUMIFS(tblStock[value_nzd],tblStock[sku],tblSKU[[#This Row],[sku]])</f>
        <v>662562.6</v>
      </c>
      <c r="AI82" s="4">
        <f>SUMIFS(tblStock[cbm],tblStock[sku],tblSKU[[#This Row],[sku]])</f>
        <v>8.2404332500000006</v>
      </c>
      <c r="AJ82" s="1">
        <f>SUMIFS(tblStock[positions],tblStock[sku],tblSKU[[#This Row],[sku]])</f>
        <v>8</v>
      </c>
      <c r="AK82" s="3">
        <f>SUMIFS(tblStock[value_nzd],tblStock[sku],tblSKU[[#This Row],[sku]],tblStock[stock_type],"Expired")</f>
        <v>0</v>
      </c>
      <c r="AL82" s="3" cm="1">
        <f t="array" ref="AL82">SUM(SUMIFS(tblStock[value_nzd],tblStock[sku],tblSKU[[#This Row],[sku]],tblStock[stock_type],{"Saleable","FOC"},tblStock[expiry_date],"&lt;"&amp;EDATE(SnapshotDate,6)))</f>
        <v>0</v>
      </c>
    </row>
    <row r="83" spans="1:38">
      <c r="A83" s="1" t="s">
        <v>212</v>
      </c>
      <c r="B83" s="1" t="s">
        <v>213</v>
      </c>
      <c r="C83" s="1" t="s">
        <v>52</v>
      </c>
      <c r="D83" s="1" t="s">
        <v>37</v>
      </c>
      <c r="E83" s="1" t="s">
        <v>38</v>
      </c>
      <c r="F83" s="1" t="s">
        <v>39</v>
      </c>
      <c r="G83">
        <v>100</v>
      </c>
      <c r="H83">
        <v>43.5</v>
      </c>
      <c r="I83">
        <v>37.1</v>
      </c>
      <c r="J83">
        <v>22.6</v>
      </c>
      <c r="K83">
        <v>3.6470000000000002E-2</v>
      </c>
      <c r="L83">
        <v>9.83</v>
      </c>
      <c r="M83">
        <v>24.8</v>
      </c>
      <c r="N83">
        <v>6</v>
      </c>
      <c r="O83">
        <v>4</v>
      </c>
      <c r="P83">
        <v>24</v>
      </c>
      <c r="Q83">
        <v>105.4</v>
      </c>
      <c r="R83">
        <v>260.92</v>
      </c>
      <c r="S83">
        <v>0.87528000000000006</v>
      </c>
      <c r="T83">
        <v>210</v>
      </c>
      <c r="U83">
        <v>12755</v>
      </c>
      <c r="V83">
        <v>316324</v>
      </c>
      <c r="W83" s="1" t="s">
        <v>1264</v>
      </c>
      <c r="X83" s="1" t="s">
        <v>1264</v>
      </c>
      <c r="Y83">
        <v>2.4705882352941178</v>
      </c>
      <c r="Z83">
        <v>0.31262254901960779</v>
      </c>
      <c r="AA83" s="1" t="s">
        <v>1265</v>
      </c>
      <c r="AB83">
        <v>1</v>
      </c>
      <c r="AC83">
        <v>0</v>
      </c>
      <c r="AD83" s="1">
        <v>3.7927087416699332</v>
      </c>
      <c r="AE83">
        <v>12</v>
      </c>
      <c r="AF83">
        <f>COUNTIFS(tblStock[sku],tblSKU[[#This Row],[sku]])</f>
        <v>3</v>
      </c>
      <c r="AG83" cm="1">
        <f t="array" ref="AG83">SUM(SUMIFS(tblStock[qty_units],tblStock[sku],tblSKU[[#This Row],[sku]],tblStock[stock_type],{"Saleable","FOC"}))</f>
        <v>12094</v>
      </c>
      <c r="AH83" s="3">
        <f>SUMIFS(tblStock[value_nzd],tblStock[sku],tblSKU[[#This Row],[sku]])</f>
        <v>299931.2</v>
      </c>
      <c r="AI83" s="4">
        <f>SUMIFS(tblStock[cbm],tblStock[sku],tblSKU[[#This Row],[sku]])</f>
        <v>4.4106817999999999</v>
      </c>
      <c r="AJ83" s="1">
        <f>SUMIFS(tblStock[positions],tblStock[sku],tblSKU[[#This Row],[sku]])</f>
        <v>6</v>
      </c>
      <c r="AK83" s="3">
        <f>SUMIFS(tblStock[value_nzd],tblStock[sku],tblSKU[[#This Row],[sku]],tblStock[stock_type],"Expired")</f>
        <v>0</v>
      </c>
      <c r="AL83" s="3" cm="1">
        <f t="array" ref="AL83">SUM(SUMIFS(tblStock[value_nzd],tblStock[sku],tblSKU[[#This Row],[sku]],tblStock[stock_type],{"Saleable","FOC"},tblStock[expiry_date],"&lt;"&amp;EDATE(SnapshotDate,6)))</f>
        <v>163531.20000000001</v>
      </c>
    </row>
    <row r="84" spans="1:38">
      <c r="A84" s="1" t="s">
        <v>214</v>
      </c>
      <c r="B84" s="1" t="s">
        <v>215</v>
      </c>
      <c r="C84" s="1" t="s">
        <v>70</v>
      </c>
      <c r="D84" s="1" t="s">
        <v>37</v>
      </c>
      <c r="E84" s="1" t="s">
        <v>38</v>
      </c>
      <c r="F84" s="1" t="s">
        <v>39</v>
      </c>
      <c r="G84">
        <v>240</v>
      </c>
      <c r="H84">
        <v>50.6</v>
      </c>
      <c r="I84">
        <v>38</v>
      </c>
      <c r="J84">
        <v>30.3</v>
      </c>
      <c r="K84">
        <v>5.8259999999999999E-2</v>
      </c>
      <c r="L84">
        <v>11.97</v>
      </c>
      <c r="M84">
        <v>3.97</v>
      </c>
      <c r="N84">
        <v>4</v>
      </c>
      <c r="O84">
        <v>3</v>
      </c>
      <c r="P84">
        <v>12</v>
      </c>
      <c r="Q84">
        <v>105.9</v>
      </c>
      <c r="R84">
        <v>168.64000000000001</v>
      </c>
      <c r="S84">
        <v>0.69911999999999996</v>
      </c>
      <c r="T84">
        <v>99</v>
      </c>
      <c r="U84">
        <v>11862</v>
      </c>
      <c r="V84">
        <v>47092.14</v>
      </c>
      <c r="W84" s="1" t="s">
        <v>1264</v>
      </c>
      <c r="X84" s="1" t="s">
        <v>1258</v>
      </c>
      <c r="Y84">
        <v>1.1647058823529413</v>
      </c>
      <c r="Z84">
        <v>0.24227941176470588</v>
      </c>
      <c r="AA84" s="1" t="s">
        <v>1265</v>
      </c>
      <c r="AB84">
        <v>1</v>
      </c>
      <c r="AC84">
        <v>0</v>
      </c>
      <c r="AD84" s="1">
        <v>3.280053953802057</v>
      </c>
      <c r="AE84">
        <v>4</v>
      </c>
      <c r="AF84">
        <f>COUNTIFS(tblStock[sku],tblSKU[[#This Row],[sku]])</f>
        <v>3</v>
      </c>
      <c r="AG84" cm="1">
        <f t="array" ref="AG84">SUM(SUMIFS(tblStock[qty_units],tblStock[sku],tblSKU[[#This Row],[sku]],tblStock[stock_type],{"Saleable","FOC"}))</f>
        <v>9727</v>
      </c>
      <c r="AH84" s="3">
        <f>SUMIFS(tblStock[value_nzd],tblStock[sku],tblSKU[[#This Row],[sku]])</f>
        <v>38616.19</v>
      </c>
      <c r="AI84" s="4">
        <f>SUMIFS(tblStock[cbm],tblStock[sku],tblSKU[[#This Row],[sku]])</f>
        <v>2.3612292500000001</v>
      </c>
      <c r="AJ84" s="1">
        <f>SUMIFS(tblStock[positions],tblStock[sku],tblSKU[[#This Row],[sku]])</f>
        <v>5</v>
      </c>
      <c r="AK84" s="3">
        <f>SUMIFS(tblStock[value_nzd],tblStock[sku],tblSKU[[#This Row],[sku]],tblStock[stock_type],"Expired")</f>
        <v>0</v>
      </c>
      <c r="AL84" s="3" cm="1">
        <f t="array" ref="AL84">SUM(SUMIFS(tblStock[value_nzd],tblStock[sku],tblSKU[[#This Row],[sku]],tblStock[stock_type],{"Saleable","FOC"},tblStock[expiry_date],"&lt;"&amp;EDATE(SnapshotDate,6)))</f>
        <v>0</v>
      </c>
    </row>
    <row r="85" spans="1:38">
      <c r="A85" s="1" t="s">
        <v>216</v>
      </c>
      <c r="B85" s="1" t="s">
        <v>217</v>
      </c>
      <c r="C85" s="1" t="s">
        <v>48</v>
      </c>
      <c r="D85" s="1" t="s">
        <v>37</v>
      </c>
      <c r="E85" s="1" t="s">
        <v>38</v>
      </c>
      <c r="F85" s="1" t="s">
        <v>39</v>
      </c>
      <c r="G85">
        <v>120</v>
      </c>
      <c r="H85">
        <v>58.3</v>
      </c>
      <c r="I85">
        <v>26.6</v>
      </c>
      <c r="J85">
        <v>33.200000000000003</v>
      </c>
      <c r="K85">
        <v>5.1490000000000001E-2</v>
      </c>
      <c r="L85">
        <v>8.74</v>
      </c>
      <c r="M85">
        <v>7.56</v>
      </c>
      <c r="N85">
        <v>6</v>
      </c>
      <c r="O85">
        <v>2</v>
      </c>
      <c r="P85">
        <v>12</v>
      </c>
      <c r="Q85">
        <v>81.400000000000006</v>
      </c>
      <c r="R85">
        <v>129.88</v>
      </c>
      <c r="S85">
        <v>0.61787999999999998</v>
      </c>
      <c r="T85">
        <v>16</v>
      </c>
      <c r="U85">
        <v>2340</v>
      </c>
      <c r="V85">
        <v>17690.399999999998</v>
      </c>
      <c r="W85" s="1" t="s">
        <v>1262</v>
      </c>
      <c r="X85" s="1" t="s">
        <v>1262</v>
      </c>
      <c r="Y85">
        <v>0.18823529411764706</v>
      </c>
      <c r="Z85">
        <v>9.5588235294117641E-2</v>
      </c>
      <c r="AA85" s="1" t="s">
        <v>1263</v>
      </c>
      <c r="AB85">
        <v>0</v>
      </c>
      <c r="AC85">
        <v>0</v>
      </c>
      <c r="AD85" s="1">
        <v>4.1059829059829056</v>
      </c>
      <c r="AE85">
        <v>2</v>
      </c>
      <c r="AF85">
        <f>COUNTIFS(tblStock[sku],tblSKU[[#This Row],[sku]])</f>
        <v>1</v>
      </c>
      <c r="AG85" cm="1">
        <f t="array" ref="AG85">SUM(SUMIFS(tblStock[qty_units],tblStock[sku],tblSKU[[#This Row],[sku]],tblStock[stock_type],{"Saleable","FOC"}))</f>
        <v>2402</v>
      </c>
      <c r="AH85" s="3">
        <f>SUMIFS(tblStock[value_nzd],tblStock[sku],tblSKU[[#This Row],[sku]])</f>
        <v>18159.12</v>
      </c>
      <c r="AI85" s="4">
        <f>SUMIFS(tblStock[cbm],tblStock[sku],tblSKU[[#This Row],[sku]])</f>
        <v>1.0306581666666665</v>
      </c>
      <c r="AJ85" s="1">
        <f>SUMIFS(tblStock[positions],tblStock[sku],tblSKU[[#This Row],[sku]])</f>
        <v>2</v>
      </c>
      <c r="AK85" s="3">
        <f>SUMIFS(tblStock[value_nzd],tblStock[sku],tblSKU[[#This Row],[sku]],tblStock[stock_type],"Expired")</f>
        <v>0</v>
      </c>
      <c r="AL85" s="3" cm="1">
        <f t="array" ref="AL85">SUM(SUMIFS(tblStock[value_nzd],tblStock[sku],tblSKU[[#This Row],[sku]],tblStock[stock_type],{"Saleable","FOC"},tblStock[expiry_date],"&lt;"&amp;EDATE(SnapshotDate,6)))</f>
        <v>0</v>
      </c>
    </row>
    <row r="86" spans="1:38">
      <c r="A86" s="1" t="s">
        <v>218</v>
      </c>
      <c r="B86" s="1" t="s">
        <v>219</v>
      </c>
      <c r="C86" s="1" t="s">
        <v>43</v>
      </c>
      <c r="D86" s="1" t="s">
        <v>37</v>
      </c>
      <c r="E86" s="1" t="s">
        <v>38</v>
      </c>
      <c r="F86" s="1" t="s">
        <v>39</v>
      </c>
      <c r="G86">
        <v>100</v>
      </c>
      <c r="H86">
        <v>53.7</v>
      </c>
      <c r="I86">
        <v>32.799999999999997</v>
      </c>
      <c r="J86">
        <v>23.8</v>
      </c>
      <c r="K86">
        <v>4.1919999999999999E-2</v>
      </c>
      <c r="L86">
        <v>10.01</v>
      </c>
      <c r="M86">
        <v>20.079999999999998</v>
      </c>
      <c r="N86">
        <v>6</v>
      </c>
      <c r="O86">
        <v>3</v>
      </c>
      <c r="P86">
        <v>18</v>
      </c>
      <c r="Q86">
        <v>86.4</v>
      </c>
      <c r="R86">
        <v>205.18</v>
      </c>
      <c r="S86">
        <v>0.75456000000000001</v>
      </c>
      <c r="T86">
        <v>6</v>
      </c>
      <c r="U86">
        <v>751</v>
      </c>
      <c r="V86">
        <v>15080.079999999998</v>
      </c>
      <c r="W86" s="1" t="s">
        <v>1262</v>
      </c>
      <c r="X86" s="1" t="s">
        <v>1262</v>
      </c>
      <c r="Y86">
        <v>7.0588235294117646E-2</v>
      </c>
      <c r="Z86">
        <v>2.4542483660130718E-2</v>
      </c>
      <c r="AA86" s="1" t="s">
        <v>1263</v>
      </c>
      <c r="AB86">
        <v>0</v>
      </c>
      <c r="AC86">
        <v>0</v>
      </c>
      <c r="AD86" s="1">
        <v>4.1118508655126496</v>
      </c>
      <c r="AE86">
        <v>2</v>
      </c>
      <c r="AF86">
        <f>COUNTIFS(tblStock[sku],tblSKU[[#This Row],[sku]])</f>
        <v>4</v>
      </c>
      <c r="AG86" cm="1">
        <f t="array" ref="AG86">SUM(SUMIFS(tblStock[qty_units],tblStock[sku],tblSKU[[#This Row],[sku]],tblStock[stock_type],{"Saleable","FOC"}))</f>
        <v>772</v>
      </c>
      <c r="AH86" s="3">
        <f>SUMIFS(tblStock[value_nzd],tblStock[sku],tblSKU[[#This Row],[sku]])</f>
        <v>15501.759999999998</v>
      </c>
      <c r="AI86" s="4">
        <f>SUMIFS(tblStock[cbm],tblStock[sku],tblSKU[[#This Row],[sku]])</f>
        <v>0.32362239999999998</v>
      </c>
      <c r="AJ86" s="1">
        <f>SUMIFS(tblStock[positions],tblStock[sku],tblSKU[[#This Row],[sku]])</f>
        <v>0</v>
      </c>
      <c r="AK86" s="3">
        <f>SUMIFS(tblStock[value_nzd],tblStock[sku],tblSKU[[#This Row],[sku]],tblStock[stock_type],"Expired")</f>
        <v>0</v>
      </c>
      <c r="AL86" s="3" cm="1">
        <f t="array" ref="AL86">SUM(SUMIFS(tblStock[value_nzd],tblStock[sku],tblSKU[[#This Row],[sku]],tblStock[stock_type],{"Saleable","FOC"},tblStock[expiry_date],"&lt;"&amp;EDATE(SnapshotDate,6)))</f>
        <v>0</v>
      </c>
    </row>
    <row r="87" spans="1:38">
      <c r="A87" s="1" t="s">
        <v>220</v>
      </c>
      <c r="B87" s="1" t="s">
        <v>221</v>
      </c>
      <c r="C87" s="1" t="s">
        <v>52</v>
      </c>
      <c r="D87" s="1" t="s">
        <v>37</v>
      </c>
      <c r="E87" s="1" t="s">
        <v>38</v>
      </c>
      <c r="F87" s="1" t="s">
        <v>39</v>
      </c>
      <c r="G87">
        <v>240</v>
      </c>
      <c r="H87">
        <v>41</v>
      </c>
      <c r="I87">
        <v>34.700000000000003</v>
      </c>
      <c r="J87">
        <v>33.299999999999997</v>
      </c>
      <c r="K87">
        <v>4.7379999999999999E-2</v>
      </c>
      <c r="L87">
        <v>11.95</v>
      </c>
      <c r="M87">
        <v>3.72</v>
      </c>
      <c r="N87">
        <v>6</v>
      </c>
      <c r="O87">
        <v>3</v>
      </c>
      <c r="P87">
        <v>18</v>
      </c>
      <c r="Q87">
        <v>114.89999999999999</v>
      </c>
      <c r="R87">
        <v>240.1</v>
      </c>
      <c r="S87">
        <v>0.85283999999999993</v>
      </c>
      <c r="T87">
        <v>6</v>
      </c>
      <c r="U87">
        <v>175</v>
      </c>
      <c r="V87">
        <v>651</v>
      </c>
      <c r="W87" s="1" t="s">
        <v>1262</v>
      </c>
      <c r="X87" s="1" t="s">
        <v>1262</v>
      </c>
      <c r="Y87">
        <v>7.0588235294117646E-2</v>
      </c>
      <c r="Z87">
        <v>2.3828976034858383E-3</v>
      </c>
      <c r="AA87" s="1" t="s">
        <v>1263</v>
      </c>
      <c r="AB87">
        <v>0</v>
      </c>
      <c r="AC87">
        <v>0</v>
      </c>
      <c r="AD87" s="1">
        <v>20.502857142857142</v>
      </c>
      <c r="AE87">
        <v>2</v>
      </c>
      <c r="AF87">
        <f>COUNTIFS(tblStock[sku],tblSKU[[#This Row],[sku]])</f>
        <v>3</v>
      </c>
      <c r="AG87" cm="1">
        <f t="array" ref="AG87">SUM(SUMIFS(tblStock[qty_units],tblStock[sku],tblSKU[[#This Row],[sku]],tblStock[stock_type],{"Saleable","FOC"}))</f>
        <v>897</v>
      </c>
      <c r="AH87" s="3">
        <f>SUMIFS(tblStock[value_nzd],tblStock[sku],tblSKU[[#This Row],[sku]])</f>
        <v>3336.84</v>
      </c>
      <c r="AI87" s="4">
        <f>SUMIFS(tblStock[cbm],tblStock[sku],tblSKU[[#This Row],[sku]])</f>
        <v>0.17708274999999998</v>
      </c>
      <c r="AJ87" s="1">
        <f>SUMIFS(tblStock[positions],tblStock[sku],tblSKU[[#This Row],[sku]])</f>
        <v>0</v>
      </c>
      <c r="AK87" s="3">
        <f>SUMIFS(tblStock[value_nzd],tblStock[sku],tblSKU[[#This Row],[sku]],tblStock[stock_type],"Expired")</f>
        <v>0</v>
      </c>
      <c r="AL87" s="3" cm="1">
        <f t="array" ref="AL87">SUM(SUMIFS(tblStock[value_nzd],tblStock[sku],tblSKU[[#This Row],[sku]],tblStock[stock_type],{"Saleable","FOC"},tblStock[expiry_date],"&lt;"&amp;EDATE(SnapshotDate,6)))</f>
        <v>1242.48</v>
      </c>
    </row>
    <row r="88" spans="1:38">
      <c r="A88" s="1" t="s">
        <v>222</v>
      </c>
      <c r="B88" s="1" t="s">
        <v>223</v>
      </c>
      <c r="C88" s="1" t="s">
        <v>48</v>
      </c>
      <c r="D88" s="1" t="s">
        <v>37</v>
      </c>
      <c r="E88" s="1" t="s">
        <v>38</v>
      </c>
      <c r="F88" s="1" t="s">
        <v>39</v>
      </c>
      <c r="G88">
        <v>100</v>
      </c>
      <c r="H88">
        <v>40.299999999999997</v>
      </c>
      <c r="I88">
        <v>36.299999999999997</v>
      </c>
      <c r="J88">
        <v>23.8</v>
      </c>
      <c r="K88">
        <v>3.4819999999999997E-2</v>
      </c>
      <c r="L88">
        <v>9.98</v>
      </c>
      <c r="M88">
        <v>6.76</v>
      </c>
      <c r="N88">
        <v>6</v>
      </c>
      <c r="O88">
        <v>3</v>
      </c>
      <c r="P88">
        <v>18</v>
      </c>
      <c r="Q88">
        <v>86.4</v>
      </c>
      <c r="R88">
        <v>204.64000000000001</v>
      </c>
      <c r="S88">
        <v>0.62675999999999998</v>
      </c>
      <c r="T88">
        <v>4</v>
      </c>
      <c r="U88">
        <v>125</v>
      </c>
      <c r="V88">
        <v>845</v>
      </c>
      <c r="W88" s="1" t="s">
        <v>1262</v>
      </c>
      <c r="X88" s="1" t="s">
        <v>1262</v>
      </c>
      <c r="Y88">
        <v>4.7058823529411764E-2</v>
      </c>
      <c r="Z88">
        <v>4.0849673202614381E-3</v>
      </c>
      <c r="AA88" s="1" t="s">
        <v>1263</v>
      </c>
      <c r="AB88">
        <v>0</v>
      </c>
      <c r="AC88">
        <v>0</v>
      </c>
      <c r="AD88" s="1">
        <v>3.552</v>
      </c>
      <c r="AE88">
        <v>2</v>
      </c>
      <c r="AF88">
        <f>COUNTIFS(tblStock[sku],tblSKU[[#This Row],[sku]])</f>
        <v>1</v>
      </c>
      <c r="AG88" cm="1">
        <f t="array" ref="AG88">SUM(SUMIFS(tblStock[qty_units],tblStock[sku],tblSKU[[#This Row],[sku]],tblStock[stock_type],{"Saleable","FOC"}))</f>
        <v>111</v>
      </c>
      <c r="AH88" s="3">
        <f>SUMIFS(tblStock[value_nzd],tblStock[sku],tblSKU[[#This Row],[sku]])</f>
        <v>750.36</v>
      </c>
      <c r="AI88" s="4">
        <f>SUMIFS(tblStock[cbm],tblStock[sku],tblSKU[[#This Row],[sku]])</f>
        <v>3.8650200000000003E-2</v>
      </c>
      <c r="AJ88" s="1">
        <f>SUMIFS(tblStock[positions],tblStock[sku],tblSKU[[#This Row],[sku]])</f>
        <v>0</v>
      </c>
      <c r="AK88" s="3">
        <f>SUMIFS(tblStock[value_nzd],tblStock[sku],tblSKU[[#This Row],[sku]],tblStock[stock_type],"Expired")</f>
        <v>0</v>
      </c>
      <c r="AL88" s="3" cm="1">
        <f t="array" ref="AL88">SUM(SUMIFS(tblStock[value_nzd],tblStock[sku],tblSKU[[#This Row],[sku]],tblStock[stock_type],{"Saleable","FOC"},tblStock[expiry_date],"&lt;"&amp;EDATE(SnapshotDate,6)))</f>
        <v>0</v>
      </c>
    </row>
    <row r="89" spans="1:38">
      <c r="A89" s="1" t="s">
        <v>224</v>
      </c>
      <c r="B89" s="1" t="s">
        <v>225</v>
      </c>
      <c r="C89" s="1" t="s">
        <v>48</v>
      </c>
      <c r="D89" s="1" t="s">
        <v>37</v>
      </c>
      <c r="E89" s="1" t="s">
        <v>38</v>
      </c>
      <c r="F89" s="1" t="s">
        <v>39</v>
      </c>
      <c r="G89">
        <v>100</v>
      </c>
      <c r="H89">
        <v>51.5</v>
      </c>
      <c r="I89">
        <v>34.9</v>
      </c>
      <c r="J89">
        <v>29.7</v>
      </c>
      <c r="K89">
        <v>5.3379999999999997E-2</v>
      </c>
      <c r="L89">
        <v>13.17</v>
      </c>
      <c r="M89">
        <v>24.15</v>
      </c>
      <c r="N89">
        <v>4</v>
      </c>
      <c r="O89">
        <v>3</v>
      </c>
      <c r="P89">
        <v>12</v>
      </c>
      <c r="Q89">
        <v>104.1</v>
      </c>
      <c r="R89">
        <v>183.04</v>
      </c>
      <c r="S89">
        <v>0.64056000000000002</v>
      </c>
      <c r="T89">
        <v>19</v>
      </c>
      <c r="U89">
        <v>1501</v>
      </c>
      <c r="V89">
        <v>36249.15</v>
      </c>
      <c r="W89" s="1" t="s">
        <v>1262</v>
      </c>
      <c r="X89" s="1" t="s">
        <v>1258</v>
      </c>
      <c r="Y89">
        <v>0.22352941176470589</v>
      </c>
      <c r="Z89">
        <v>7.3578431372549033E-2</v>
      </c>
      <c r="AA89" s="1" t="s">
        <v>1263</v>
      </c>
      <c r="AB89">
        <v>0</v>
      </c>
      <c r="AC89">
        <v>0</v>
      </c>
      <c r="AD89" s="1">
        <v>4.290473017988008</v>
      </c>
      <c r="AE89">
        <v>4</v>
      </c>
      <c r="AF89">
        <f>COUNTIFS(tblStock[sku],tblSKU[[#This Row],[sku]])</f>
        <v>3</v>
      </c>
      <c r="AG89" cm="1">
        <f t="array" ref="AG89">SUM(SUMIFS(tblStock[qty_units],tblStock[sku],tblSKU[[#This Row],[sku]],tblStock[stock_type],{"Saleable","FOC"}))</f>
        <v>1610</v>
      </c>
      <c r="AH89" s="3">
        <f>SUMIFS(tblStock[value_nzd],tblStock[sku],tblSKU[[#This Row],[sku]])</f>
        <v>41972.7</v>
      </c>
      <c r="AI89" s="4">
        <f>SUMIFS(tblStock[cbm],tblStock[sku],tblSKU[[#This Row],[sku]])</f>
        <v>0.92774440000000002</v>
      </c>
      <c r="AJ89" s="1">
        <f>SUMIFS(tblStock[positions],tblStock[sku],tblSKU[[#This Row],[sku]])</f>
        <v>2</v>
      </c>
      <c r="AK89" s="3">
        <f>SUMIFS(tblStock[value_nzd],tblStock[sku],tblSKU[[#This Row],[sku]],tblStock[stock_type],"Expired")</f>
        <v>3091.2</v>
      </c>
      <c r="AL89" s="3" cm="1">
        <f t="array" ref="AL89">SUM(SUMIFS(tblStock[value_nzd],tblStock[sku],tblSKU[[#This Row],[sku]],tblStock[stock_type],{"Saleable","FOC"},tblStock[expiry_date],"&lt;"&amp;EDATE(SnapshotDate,6)))</f>
        <v>0</v>
      </c>
    </row>
    <row r="90" spans="1:38">
      <c r="A90" s="1" t="s">
        <v>226</v>
      </c>
      <c r="B90" s="1" t="s">
        <v>227</v>
      </c>
      <c r="C90" s="1" t="s">
        <v>43</v>
      </c>
      <c r="D90" s="1" t="s">
        <v>37</v>
      </c>
      <c r="E90" s="1" t="s">
        <v>38</v>
      </c>
      <c r="F90" s="1" t="s">
        <v>39</v>
      </c>
      <c r="G90">
        <v>180</v>
      </c>
      <c r="H90">
        <v>50.7</v>
      </c>
      <c r="I90">
        <v>25.3</v>
      </c>
      <c r="J90">
        <v>15.6</v>
      </c>
      <c r="K90">
        <v>2.001E-2</v>
      </c>
      <c r="L90">
        <v>5.86</v>
      </c>
      <c r="M90">
        <v>8.11</v>
      </c>
      <c r="N90">
        <v>6</v>
      </c>
      <c r="O90">
        <v>4</v>
      </c>
      <c r="P90">
        <v>24</v>
      </c>
      <c r="Q90">
        <v>77.400000000000006</v>
      </c>
      <c r="R90">
        <v>165.64000000000001</v>
      </c>
      <c r="S90">
        <v>0.48024</v>
      </c>
      <c r="T90">
        <v>23</v>
      </c>
      <c r="U90">
        <v>1875</v>
      </c>
      <c r="V90">
        <v>15206.249999999998</v>
      </c>
      <c r="W90" s="1" t="s">
        <v>1262</v>
      </c>
      <c r="X90" s="1" t="s">
        <v>1262</v>
      </c>
      <c r="Y90">
        <v>0.27058823529411763</v>
      </c>
      <c r="Z90">
        <v>2.5531045751633983E-2</v>
      </c>
      <c r="AA90" s="1" t="s">
        <v>1263</v>
      </c>
      <c r="AB90">
        <v>0</v>
      </c>
      <c r="AC90">
        <v>0</v>
      </c>
      <c r="AD90" s="1">
        <v>4.5973333333333333</v>
      </c>
      <c r="AE90">
        <v>2</v>
      </c>
      <c r="AF90">
        <f>COUNTIFS(tblStock[sku],tblSKU[[#This Row],[sku]])</f>
        <v>1</v>
      </c>
      <c r="AG90" cm="1">
        <f t="array" ref="AG90">SUM(SUMIFS(tblStock[qty_units],tblStock[sku],tblSKU[[#This Row],[sku]],tblStock[stock_type],{"Saleable","FOC"}))</f>
        <v>2155</v>
      </c>
      <c r="AH90" s="3">
        <f>SUMIFS(tblStock[value_nzd],tblStock[sku],tblSKU[[#This Row],[sku]])</f>
        <v>17477.05</v>
      </c>
      <c r="AI90" s="4">
        <f>SUMIFS(tblStock[cbm],tblStock[sku],tblSKU[[#This Row],[sku]])</f>
        <v>0.23956416666666666</v>
      </c>
      <c r="AJ90" s="1">
        <f>SUMIFS(tblStock[positions],tblStock[sku],tblSKU[[#This Row],[sku]])</f>
        <v>0</v>
      </c>
      <c r="AK90" s="3">
        <f>SUMIFS(tblStock[value_nzd],tblStock[sku],tblSKU[[#This Row],[sku]],tblStock[stock_type],"Expired")</f>
        <v>0</v>
      </c>
      <c r="AL90" s="3" cm="1">
        <f t="array" ref="AL90">SUM(SUMIFS(tblStock[value_nzd],tblStock[sku],tblSKU[[#This Row],[sku]],tblStock[stock_type],{"Saleable","FOC"},tblStock[expiry_date],"&lt;"&amp;EDATE(SnapshotDate,6)))</f>
        <v>0</v>
      </c>
    </row>
    <row r="91" spans="1:38">
      <c r="A91" s="1" t="s">
        <v>228</v>
      </c>
      <c r="B91" s="1" t="s">
        <v>229</v>
      </c>
      <c r="C91" s="1" t="s">
        <v>70</v>
      </c>
      <c r="D91" s="1" t="s">
        <v>37</v>
      </c>
      <c r="E91" s="1" t="s">
        <v>38</v>
      </c>
      <c r="F91" s="1" t="s">
        <v>39</v>
      </c>
      <c r="G91">
        <v>60</v>
      </c>
      <c r="H91">
        <v>43.8</v>
      </c>
      <c r="I91">
        <v>27.8</v>
      </c>
      <c r="J91">
        <v>21.1</v>
      </c>
      <c r="K91">
        <v>2.5690000000000001E-2</v>
      </c>
      <c r="L91">
        <v>4.2</v>
      </c>
      <c r="M91">
        <v>19.2</v>
      </c>
      <c r="N91">
        <v>8</v>
      </c>
      <c r="O91">
        <v>6</v>
      </c>
      <c r="P91">
        <v>48</v>
      </c>
      <c r="Q91">
        <v>141.60000000000002</v>
      </c>
      <c r="R91">
        <v>226.60000000000002</v>
      </c>
      <c r="S91">
        <v>1.23312</v>
      </c>
      <c r="T91">
        <v>487</v>
      </c>
      <c r="U91">
        <v>23574</v>
      </c>
      <c r="V91">
        <v>452620.79999999999</v>
      </c>
      <c r="W91" s="1" t="s">
        <v>1264</v>
      </c>
      <c r="X91" s="1" t="s">
        <v>1264</v>
      </c>
      <c r="Y91">
        <v>5.7294117647058824</v>
      </c>
      <c r="Z91">
        <v>0.48149509803921564</v>
      </c>
      <c r="AA91" s="1" t="s">
        <v>1265</v>
      </c>
      <c r="AB91">
        <v>1</v>
      </c>
      <c r="AC91">
        <v>0</v>
      </c>
      <c r="AD91" s="1">
        <v>5.1278527190973104</v>
      </c>
      <c r="AE91">
        <v>12</v>
      </c>
      <c r="AF91">
        <f>COUNTIFS(tblStock[sku],tblSKU[[#This Row],[sku]])</f>
        <v>1</v>
      </c>
      <c r="AG91" cm="1">
        <f t="array" ref="AG91">SUM(SUMIFS(tblStock[qty_units],tblStock[sku],tblSKU[[#This Row],[sku]],tblStock[stock_type],{"Saleable","FOC"}))</f>
        <v>30221</v>
      </c>
      <c r="AH91" s="3">
        <f>SUMIFS(tblStock[value_nzd],tblStock[sku],tblSKU[[#This Row],[sku]])</f>
        <v>580243.19999999995</v>
      </c>
      <c r="AI91" s="4">
        <f>SUMIFS(tblStock[cbm],tblStock[sku],tblSKU[[#This Row],[sku]])</f>
        <v>12.939624833333333</v>
      </c>
      <c r="AJ91" s="1">
        <f>SUMIFS(tblStock[positions],tblStock[sku],tblSKU[[#This Row],[sku]])</f>
        <v>11</v>
      </c>
      <c r="AK91" s="3">
        <f>SUMIFS(tblStock[value_nzd],tblStock[sku],tblSKU[[#This Row],[sku]],tblStock[stock_type],"Expired")</f>
        <v>0</v>
      </c>
      <c r="AL91" s="3" cm="1">
        <f t="array" ref="AL91">SUM(SUMIFS(tblStock[value_nzd],tblStock[sku],tblSKU[[#This Row],[sku]],tblStock[stock_type],{"Saleable","FOC"},tblStock[expiry_date],"&lt;"&amp;EDATE(SnapshotDate,6)))</f>
        <v>0</v>
      </c>
    </row>
    <row r="92" spans="1:38">
      <c r="A92" s="1" t="s">
        <v>230</v>
      </c>
      <c r="B92" s="1" t="s">
        <v>231</v>
      </c>
      <c r="C92" s="1" t="s">
        <v>36</v>
      </c>
      <c r="D92" s="1" t="s">
        <v>37</v>
      </c>
      <c r="E92" s="1" t="s">
        <v>38</v>
      </c>
      <c r="F92" s="1" t="s">
        <v>39</v>
      </c>
      <c r="G92">
        <v>240</v>
      </c>
      <c r="H92">
        <v>59.1</v>
      </c>
      <c r="I92">
        <v>29.7</v>
      </c>
      <c r="J92">
        <v>19.399999999999999</v>
      </c>
      <c r="K92">
        <v>3.4049999999999997E-2</v>
      </c>
      <c r="L92">
        <v>5.35</v>
      </c>
      <c r="M92">
        <v>24.57</v>
      </c>
      <c r="N92">
        <v>6</v>
      </c>
      <c r="O92">
        <v>5</v>
      </c>
      <c r="P92">
        <v>30</v>
      </c>
      <c r="Q92">
        <v>112</v>
      </c>
      <c r="R92">
        <v>185.5</v>
      </c>
      <c r="S92">
        <v>1.0214999999999999</v>
      </c>
      <c r="T92">
        <v>134</v>
      </c>
      <c r="U92">
        <v>13985</v>
      </c>
      <c r="V92">
        <v>343611.45</v>
      </c>
      <c r="W92" s="1" t="s">
        <v>1264</v>
      </c>
      <c r="X92" s="1" t="s">
        <v>1264</v>
      </c>
      <c r="Y92">
        <v>1.5764705882352941</v>
      </c>
      <c r="Z92">
        <v>0.11425653594771241</v>
      </c>
      <c r="AA92" s="1" t="s">
        <v>1265</v>
      </c>
      <c r="AB92">
        <v>1</v>
      </c>
      <c r="AC92">
        <v>0</v>
      </c>
      <c r="AD92" s="1">
        <v>4.0554880228816588</v>
      </c>
      <c r="AE92">
        <v>12</v>
      </c>
      <c r="AF92">
        <f>COUNTIFS(tblStock[sku],tblSKU[[#This Row],[sku]])</f>
        <v>1</v>
      </c>
      <c r="AG92" cm="1">
        <f t="array" ref="AG92">SUM(SUMIFS(tblStock[qty_units],tblStock[sku],tblSKU[[#This Row],[sku]],tblStock[stock_type],{"Saleable","FOC"}))</f>
        <v>14179</v>
      </c>
      <c r="AH92" s="3">
        <f>SUMIFS(tblStock[value_nzd],tblStock[sku],tblSKU[[#This Row],[sku]])</f>
        <v>348378.03</v>
      </c>
      <c r="AI92" s="4">
        <f>SUMIFS(tblStock[cbm],tblStock[sku],tblSKU[[#This Row],[sku]])</f>
        <v>2.0116456249999999</v>
      </c>
      <c r="AJ92" s="1">
        <f>SUMIFS(tblStock[positions],tblStock[sku],tblSKU[[#This Row],[sku]])</f>
        <v>2</v>
      </c>
      <c r="AK92" s="3">
        <f>SUMIFS(tblStock[value_nzd],tblStock[sku],tblSKU[[#This Row],[sku]],tblStock[stock_type],"Expired")</f>
        <v>0</v>
      </c>
      <c r="AL92" s="3" cm="1">
        <f t="array" ref="AL92">SUM(SUMIFS(tblStock[value_nzd],tblStock[sku],tblSKU[[#This Row],[sku]],tblStock[stock_type],{"Saleable","FOC"},tblStock[expiry_date],"&lt;"&amp;EDATE(SnapshotDate,6)))</f>
        <v>0</v>
      </c>
    </row>
    <row r="93" spans="1:38">
      <c r="A93" s="1" t="s">
        <v>232</v>
      </c>
      <c r="B93" s="1" t="s">
        <v>233</v>
      </c>
      <c r="C93" s="1" t="s">
        <v>52</v>
      </c>
      <c r="D93" s="1" t="s">
        <v>37</v>
      </c>
      <c r="E93" s="1" t="s">
        <v>38</v>
      </c>
      <c r="F93" s="1" t="s">
        <v>39</v>
      </c>
      <c r="G93">
        <v>60</v>
      </c>
      <c r="H93">
        <v>51.7</v>
      </c>
      <c r="I93">
        <v>35.299999999999997</v>
      </c>
      <c r="J93">
        <v>18.2</v>
      </c>
      <c r="K93">
        <v>3.322E-2</v>
      </c>
      <c r="L93">
        <v>6.62</v>
      </c>
      <c r="M93">
        <v>20.170000000000002</v>
      </c>
      <c r="N93">
        <v>4</v>
      </c>
      <c r="O93">
        <v>6</v>
      </c>
      <c r="P93">
        <v>24</v>
      </c>
      <c r="Q93">
        <v>124.19999999999999</v>
      </c>
      <c r="R93">
        <v>183.88</v>
      </c>
      <c r="S93">
        <v>0.79727999999999999</v>
      </c>
      <c r="T93">
        <v>613</v>
      </c>
      <c r="U93">
        <v>29372</v>
      </c>
      <c r="V93">
        <v>592433.24000000011</v>
      </c>
      <c r="W93" s="1" t="s">
        <v>1264</v>
      </c>
      <c r="X93" s="1" t="s">
        <v>1264</v>
      </c>
      <c r="Y93">
        <v>7.2117647058823531</v>
      </c>
      <c r="Z93">
        <v>1.1998366013071895</v>
      </c>
      <c r="AA93" s="1" t="s">
        <v>1265</v>
      </c>
      <c r="AB93">
        <v>1</v>
      </c>
      <c r="AC93">
        <v>0</v>
      </c>
      <c r="AD93" s="1">
        <v>6.6929048072994686</v>
      </c>
      <c r="AE93">
        <v>12</v>
      </c>
      <c r="AF93">
        <f>COUNTIFS(tblStock[sku],tblSKU[[#This Row],[sku]])</f>
        <v>1</v>
      </c>
      <c r="AG93" cm="1">
        <f t="array" ref="AG93">SUM(SUMIFS(tblStock[qty_units],tblStock[sku],tblSKU[[#This Row],[sku]],tblStock[stock_type],{"Saleable","FOC"}))</f>
        <v>49146</v>
      </c>
      <c r="AH93" s="3">
        <f>SUMIFS(tblStock[value_nzd],tblStock[sku],tblSKU[[#This Row],[sku]])</f>
        <v>991274.82000000007</v>
      </c>
      <c r="AI93" s="4">
        <f>SUMIFS(tblStock[cbm],tblStock[sku],tblSKU[[#This Row],[sku]])</f>
        <v>27.210502000000002</v>
      </c>
      <c r="AJ93" s="1">
        <f>SUMIFS(tblStock[positions],tblStock[sku],tblSKU[[#This Row],[sku]])</f>
        <v>35</v>
      </c>
      <c r="AK93" s="3">
        <f>SUMIFS(tblStock[value_nzd],tblStock[sku],tblSKU[[#This Row],[sku]],tblStock[stock_type],"Expired")</f>
        <v>0</v>
      </c>
      <c r="AL93" s="3" cm="1">
        <f t="array" ref="AL93">SUM(SUMIFS(tblStock[value_nzd],tblStock[sku],tblSKU[[#This Row],[sku]],tblStock[stock_type],{"Saleable","FOC"},tblStock[expiry_date],"&lt;"&amp;EDATE(SnapshotDate,6)))</f>
        <v>0</v>
      </c>
    </row>
    <row r="94" spans="1:38">
      <c r="A94" s="1" t="s">
        <v>234</v>
      </c>
      <c r="B94" s="1" t="s">
        <v>235</v>
      </c>
      <c r="C94" s="1" t="s">
        <v>48</v>
      </c>
      <c r="D94" s="1" t="s">
        <v>37</v>
      </c>
      <c r="E94" s="1" t="s">
        <v>38</v>
      </c>
      <c r="F94" s="1" t="s">
        <v>39</v>
      </c>
      <c r="G94">
        <v>180</v>
      </c>
      <c r="H94">
        <v>54.5</v>
      </c>
      <c r="I94">
        <v>25.4</v>
      </c>
      <c r="J94">
        <v>26</v>
      </c>
      <c r="K94">
        <v>3.5990000000000001E-2</v>
      </c>
      <c r="L94">
        <v>7.02</v>
      </c>
      <c r="M94">
        <v>17.14</v>
      </c>
      <c r="N94">
        <v>6</v>
      </c>
      <c r="O94">
        <v>2</v>
      </c>
      <c r="P94">
        <v>12</v>
      </c>
      <c r="Q94">
        <v>67</v>
      </c>
      <c r="R94">
        <v>109.24</v>
      </c>
      <c r="S94">
        <v>0.43188000000000004</v>
      </c>
      <c r="T94">
        <v>44</v>
      </c>
      <c r="U94">
        <v>1952</v>
      </c>
      <c r="V94">
        <v>33457.279999999999</v>
      </c>
      <c r="W94" s="1" t="s">
        <v>1258</v>
      </c>
      <c r="X94" s="1" t="s">
        <v>1258</v>
      </c>
      <c r="Y94">
        <v>0.51764705882352946</v>
      </c>
      <c r="Z94">
        <v>5.3159041394335506E-2</v>
      </c>
      <c r="AA94" s="1" t="s">
        <v>1259</v>
      </c>
      <c r="AB94">
        <v>0</v>
      </c>
      <c r="AC94">
        <v>1</v>
      </c>
      <c r="AD94" s="1">
        <v>3.3565573770491803</v>
      </c>
      <c r="AE94">
        <v>4</v>
      </c>
      <c r="AF94">
        <f>COUNTIFS(tblStock[sku],tblSKU[[#This Row],[sku]])</f>
        <v>1</v>
      </c>
      <c r="AG94" cm="1">
        <f t="array" ref="AG94">SUM(SUMIFS(tblStock[qty_units],tblStock[sku],tblSKU[[#This Row],[sku]],tblStock[stock_type],{"Saleable","FOC"}))</f>
        <v>1638</v>
      </c>
      <c r="AH94" s="3">
        <f>SUMIFS(tblStock[value_nzd],tblStock[sku],tblSKU[[#This Row],[sku]])</f>
        <v>28075.32</v>
      </c>
      <c r="AI94" s="4">
        <f>SUMIFS(tblStock[cbm],tblStock[sku],tblSKU[[#This Row],[sku]])</f>
        <v>0.32750899999999999</v>
      </c>
      <c r="AJ94" s="1">
        <f>SUMIFS(tblStock[positions],tblStock[sku],tblSKU[[#This Row],[sku]])</f>
        <v>1</v>
      </c>
      <c r="AK94" s="3">
        <f>SUMIFS(tblStock[value_nzd],tblStock[sku],tblSKU[[#This Row],[sku]],tblStock[stock_type],"Expired")</f>
        <v>0</v>
      </c>
      <c r="AL94" s="3" cm="1">
        <f t="array" ref="AL94">SUM(SUMIFS(tblStock[value_nzd],tblStock[sku],tblSKU[[#This Row],[sku]],tblStock[stock_type],{"Saleable","FOC"},tblStock[expiry_date],"&lt;"&amp;EDATE(SnapshotDate,6)))</f>
        <v>0</v>
      </c>
    </row>
    <row r="95" spans="1:38">
      <c r="A95" s="1" t="s">
        <v>236</v>
      </c>
      <c r="B95" s="1" t="s">
        <v>237</v>
      </c>
      <c r="C95" s="1" t="s">
        <v>43</v>
      </c>
      <c r="D95" s="1" t="s">
        <v>37</v>
      </c>
      <c r="E95" s="1" t="s">
        <v>38</v>
      </c>
      <c r="F95" s="1" t="s">
        <v>39</v>
      </c>
      <c r="G95">
        <v>100</v>
      </c>
      <c r="H95">
        <v>57.1</v>
      </c>
      <c r="I95">
        <v>37.799999999999997</v>
      </c>
      <c r="J95">
        <v>26.2</v>
      </c>
      <c r="K95">
        <v>5.6550000000000003E-2</v>
      </c>
      <c r="L95">
        <v>15.26</v>
      </c>
      <c r="M95">
        <v>5.13</v>
      </c>
      <c r="N95">
        <v>4</v>
      </c>
      <c r="O95">
        <v>5</v>
      </c>
      <c r="P95">
        <v>20</v>
      </c>
      <c r="Q95">
        <v>146</v>
      </c>
      <c r="R95">
        <v>330.2</v>
      </c>
      <c r="S95">
        <v>1.131</v>
      </c>
      <c r="T95">
        <v>6</v>
      </c>
      <c r="U95">
        <v>431</v>
      </c>
      <c r="V95">
        <v>2211.0299999999997</v>
      </c>
      <c r="W95" s="1" t="s">
        <v>1262</v>
      </c>
      <c r="X95" s="1" t="s">
        <v>1262</v>
      </c>
      <c r="Y95">
        <v>7.0588235294117646E-2</v>
      </c>
      <c r="Z95">
        <v>1.2676470588235293E-2</v>
      </c>
      <c r="AA95" s="1" t="s">
        <v>1263</v>
      </c>
      <c r="AB95">
        <v>0</v>
      </c>
      <c r="AC95">
        <v>0</v>
      </c>
      <c r="AD95" s="1">
        <v>18.43155452436195</v>
      </c>
      <c r="AE95">
        <v>2</v>
      </c>
      <c r="AF95">
        <f>COUNTIFS(tblStock[sku],tblSKU[[#This Row],[sku]])</f>
        <v>3</v>
      </c>
      <c r="AG95" cm="1">
        <f t="array" ref="AG95">SUM(SUMIFS(tblStock[qty_units],tblStock[sku],tblSKU[[#This Row],[sku]],tblStock[stock_type],{"Saleable","FOC"}))</f>
        <v>1986</v>
      </c>
      <c r="AH95" s="3">
        <f>SUMIFS(tblStock[value_nzd],tblStock[sku],tblSKU[[#This Row],[sku]])</f>
        <v>10998.719999999998</v>
      </c>
      <c r="AI95" s="4">
        <f>SUMIFS(tblStock[cbm],tblStock[sku],tblSKU[[#This Row],[sku]])</f>
        <v>1.2124320000000002</v>
      </c>
      <c r="AJ95" s="1">
        <f>SUMIFS(tblStock[positions],tblStock[sku],tblSKU[[#This Row],[sku]])</f>
        <v>1</v>
      </c>
      <c r="AK95" s="3">
        <f>SUMIFS(tblStock[value_nzd],tblStock[sku],tblSKU[[#This Row],[sku]],tblStock[stock_type],"Expired")</f>
        <v>810.54</v>
      </c>
      <c r="AL95" s="3" cm="1">
        <f t="array" ref="AL95">SUM(SUMIFS(tblStock[value_nzd],tblStock[sku],tblSKU[[#This Row],[sku]],tblStock[stock_type],{"Saleable","FOC"},tblStock[expiry_date],"&lt;"&amp;EDATE(SnapshotDate,6)))</f>
        <v>0</v>
      </c>
    </row>
    <row r="96" spans="1:38">
      <c r="A96" s="1" t="s">
        <v>238</v>
      </c>
      <c r="B96" s="1" t="s">
        <v>239</v>
      </c>
      <c r="C96" s="1" t="s">
        <v>48</v>
      </c>
      <c r="D96" s="1" t="s">
        <v>37</v>
      </c>
      <c r="E96" s="1" t="s">
        <v>38</v>
      </c>
      <c r="F96" s="1" t="s">
        <v>39</v>
      </c>
      <c r="G96">
        <v>240</v>
      </c>
      <c r="H96">
        <v>58.2</v>
      </c>
      <c r="I96">
        <v>43.9</v>
      </c>
      <c r="J96">
        <v>27.8</v>
      </c>
      <c r="K96">
        <v>7.1029999999999996E-2</v>
      </c>
      <c r="L96">
        <v>18.510000000000002</v>
      </c>
      <c r="M96">
        <v>5.26</v>
      </c>
      <c r="N96">
        <v>4</v>
      </c>
      <c r="O96">
        <v>4</v>
      </c>
      <c r="P96">
        <v>16</v>
      </c>
      <c r="Q96">
        <v>126.2</v>
      </c>
      <c r="R96">
        <v>321.16000000000003</v>
      </c>
      <c r="S96">
        <v>1.1364799999999999</v>
      </c>
      <c r="T96">
        <v>17</v>
      </c>
      <c r="U96">
        <v>2871</v>
      </c>
      <c r="V96">
        <v>15101.46</v>
      </c>
      <c r="W96" s="1" t="s">
        <v>1262</v>
      </c>
      <c r="X96" s="1" t="s">
        <v>1262</v>
      </c>
      <c r="Y96">
        <v>0.2</v>
      </c>
      <c r="Z96">
        <v>4.3979779411764709E-2</v>
      </c>
      <c r="AA96" s="1" t="s">
        <v>1263</v>
      </c>
      <c r="AB96">
        <v>0</v>
      </c>
      <c r="AC96">
        <v>0</v>
      </c>
      <c r="AD96" s="1">
        <v>2.9634273772204809</v>
      </c>
      <c r="AE96">
        <v>2</v>
      </c>
      <c r="AF96">
        <f>COUNTIFS(tblStock[sku],tblSKU[[#This Row],[sku]])</f>
        <v>3</v>
      </c>
      <c r="AG96" cm="1">
        <f t="array" ref="AG96">SUM(SUMIFS(tblStock[qty_units],tblStock[sku],tblSKU[[#This Row],[sku]],tblStock[stock_type],{"Saleable","FOC"}))</f>
        <v>2127</v>
      </c>
      <c r="AH96" s="3">
        <f>SUMIFS(tblStock[value_nzd],tblStock[sku],tblSKU[[#This Row],[sku]])</f>
        <v>11188.02</v>
      </c>
      <c r="AI96" s="4">
        <f>SUMIFS(tblStock[cbm],tblStock[sku],tblSKU[[#This Row],[sku]])</f>
        <v>0.62950337499999998</v>
      </c>
      <c r="AJ96" s="1">
        <f>SUMIFS(tblStock[positions],tblStock[sku],tblSKU[[#This Row],[sku]])</f>
        <v>1</v>
      </c>
      <c r="AK96" s="3">
        <f>SUMIFS(tblStock[value_nzd],tblStock[sku],tblSKU[[#This Row],[sku]],tblStock[stock_type],"Expired")</f>
        <v>0</v>
      </c>
      <c r="AL96" s="3" cm="1">
        <f t="array" ref="AL96">SUM(SUMIFS(tblStock[value_nzd],tblStock[sku],tblSKU[[#This Row],[sku]],tblStock[stock_type],{"Saleable","FOC"},tblStock[expiry_date],"&lt;"&amp;EDATE(SnapshotDate,6)))</f>
        <v>94.679999999999993</v>
      </c>
    </row>
    <row r="97" spans="1:38">
      <c r="A97" s="1" t="s">
        <v>240</v>
      </c>
      <c r="B97" s="1" t="s">
        <v>241</v>
      </c>
      <c r="C97" s="1" t="s">
        <v>43</v>
      </c>
      <c r="D97" s="1" t="s">
        <v>37</v>
      </c>
      <c r="E97" s="1" t="s">
        <v>38</v>
      </c>
      <c r="F97" s="1" t="s">
        <v>39</v>
      </c>
      <c r="G97">
        <v>180</v>
      </c>
      <c r="H97">
        <v>48.3</v>
      </c>
      <c r="I97">
        <v>41.3</v>
      </c>
      <c r="J97">
        <v>19.600000000000001</v>
      </c>
      <c r="K97">
        <v>3.9100000000000003E-2</v>
      </c>
      <c r="L97">
        <v>10.58</v>
      </c>
      <c r="M97">
        <v>4.22</v>
      </c>
      <c r="N97">
        <v>4</v>
      </c>
      <c r="O97">
        <v>6</v>
      </c>
      <c r="P97">
        <v>24</v>
      </c>
      <c r="Q97">
        <v>132.60000000000002</v>
      </c>
      <c r="R97">
        <v>278.92</v>
      </c>
      <c r="S97">
        <v>0.93840000000000012</v>
      </c>
      <c r="T97">
        <v>34</v>
      </c>
      <c r="U97">
        <v>2230</v>
      </c>
      <c r="V97">
        <v>9410.5999999999985</v>
      </c>
      <c r="W97" s="1" t="s">
        <v>1258</v>
      </c>
      <c r="X97" s="1" t="s">
        <v>1262</v>
      </c>
      <c r="Y97">
        <v>0.4</v>
      </c>
      <c r="Z97">
        <v>3.036492374727669E-2</v>
      </c>
      <c r="AA97" s="1" t="s">
        <v>1259</v>
      </c>
      <c r="AB97">
        <v>0</v>
      </c>
      <c r="AC97">
        <v>1</v>
      </c>
      <c r="AD97" s="1">
        <v>4.6636771300448432</v>
      </c>
      <c r="AE97">
        <v>2</v>
      </c>
      <c r="AF97">
        <f>COUNTIFS(tblStock[sku],tblSKU[[#This Row],[sku]])</f>
        <v>1</v>
      </c>
      <c r="AG97" cm="1">
        <f t="array" ref="AG97">SUM(SUMIFS(tblStock[qty_units],tblStock[sku],tblSKU[[#This Row],[sku]],tblStock[stock_type],{"Saleable","FOC"}))</f>
        <v>2600</v>
      </c>
      <c r="AH97" s="3">
        <f>SUMIFS(tblStock[value_nzd],tblStock[sku],tblSKU[[#This Row],[sku]])</f>
        <v>10972</v>
      </c>
      <c r="AI97" s="4">
        <f>SUMIFS(tblStock[cbm],tblStock[sku],tblSKU[[#This Row],[sku]])</f>
        <v>0.56477777777777782</v>
      </c>
      <c r="AJ97" s="1">
        <f>SUMIFS(tblStock[positions],tblStock[sku],tblSKU[[#This Row],[sku]])</f>
        <v>1</v>
      </c>
      <c r="AK97" s="3">
        <f>SUMIFS(tblStock[value_nzd],tblStock[sku],tblSKU[[#This Row],[sku]],tblStock[stock_type],"Expired")</f>
        <v>0</v>
      </c>
      <c r="AL97" s="3" cm="1">
        <f t="array" ref="AL97">SUM(SUMIFS(tblStock[value_nzd],tblStock[sku],tblSKU[[#This Row],[sku]],tblStock[stock_type],{"Saleable","FOC"},tblStock[expiry_date],"&lt;"&amp;EDATE(SnapshotDate,6)))</f>
        <v>0</v>
      </c>
    </row>
    <row r="98" spans="1:38">
      <c r="A98" s="1" t="s">
        <v>242</v>
      </c>
      <c r="B98" s="1" t="s">
        <v>243</v>
      </c>
      <c r="C98" s="1" t="s">
        <v>43</v>
      </c>
      <c r="D98" s="1" t="s">
        <v>37</v>
      </c>
      <c r="E98" s="1" t="s">
        <v>38</v>
      </c>
      <c r="F98" s="1" t="s">
        <v>39</v>
      </c>
      <c r="G98">
        <v>180</v>
      </c>
      <c r="H98">
        <v>51.1</v>
      </c>
      <c r="I98">
        <v>36.5</v>
      </c>
      <c r="J98">
        <v>29.2</v>
      </c>
      <c r="K98">
        <v>5.4460000000000001E-2</v>
      </c>
      <c r="L98">
        <v>14.9</v>
      </c>
      <c r="M98">
        <v>2.21</v>
      </c>
      <c r="N98">
        <v>4</v>
      </c>
      <c r="O98">
        <v>3</v>
      </c>
      <c r="P98">
        <v>12</v>
      </c>
      <c r="Q98">
        <v>102.6</v>
      </c>
      <c r="R98">
        <v>203.8</v>
      </c>
      <c r="S98">
        <v>0.65351999999999999</v>
      </c>
      <c r="T98">
        <v>58</v>
      </c>
      <c r="U98">
        <v>6793</v>
      </c>
      <c r="V98">
        <v>15012.53</v>
      </c>
      <c r="W98" s="1" t="s">
        <v>1258</v>
      </c>
      <c r="X98" s="1" t="s">
        <v>1262</v>
      </c>
      <c r="Y98">
        <v>0.68235294117647061</v>
      </c>
      <c r="Z98">
        <v>0.18499455337690629</v>
      </c>
      <c r="AA98" s="1" t="s">
        <v>1259</v>
      </c>
      <c r="AB98">
        <v>0</v>
      </c>
      <c r="AC98">
        <v>1</v>
      </c>
      <c r="AD98" s="1">
        <v>4.9851317532754305</v>
      </c>
      <c r="AE98">
        <v>2</v>
      </c>
      <c r="AF98">
        <f>COUNTIFS(tblStock[sku],tblSKU[[#This Row],[sku]])</f>
        <v>3</v>
      </c>
      <c r="AG98" cm="1">
        <f t="array" ref="AG98">SUM(SUMIFS(tblStock[qty_units],tblStock[sku],tblSKU[[#This Row],[sku]],tblStock[stock_type],{"Saleable","FOC"}))</f>
        <v>8466</v>
      </c>
      <c r="AH98" s="3">
        <f>SUMIFS(tblStock[value_nzd],tblStock[sku],tblSKU[[#This Row],[sku]])</f>
        <v>18709.86</v>
      </c>
      <c r="AI98" s="4">
        <f>SUMIFS(tblStock[cbm],tblStock[sku],tblSKU[[#This Row],[sku]])</f>
        <v>2.5614353333333333</v>
      </c>
      <c r="AJ98" s="1">
        <f>SUMIFS(tblStock[positions],tblStock[sku],tblSKU[[#This Row],[sku]])</f>
        <v>5</v>
      </c>
      <c r="AK98" s="3">
        <f>SUMIFS(tblStock[value_nzd],tblStock[sku],tblSKU[[#This Row],[sku]],tblStock[stock_type],"Expired")</f>
        <v>0</v>
      </c>
      <c r="AL98" s="3" cm="1">
        <f t="array" ref="AL98">SUM(SUMIFS(tblStock[value_nzd],tblStock[sku],tblSKU[[#This Row],[sku]],tblStock[stock_type],{"Saleable","FOC"},tblStock[expiry_date],"&lt;"&amp;EDATE(SnapshotDate,6)))</f>
        <v>1146.99</v>
      </c>
    </row>
    <row r="99" spans="1:38">
      <c r="A99" s="1" t="s">
        <v>244</v>
      </c>
      <c r="B99" s="1" t="s">
        <v>245</v>
      </c>
      <c r="C99" s="1" t="s">
        <v>52</v>
      </c>
      <c r="D99" s="1" t="s">
        <v>37</v>
      </c>
      <c r="E99" s="1" t="s">
        <v>38</v>
      </c>
      <c r="F99" s="1" t="s">
        <v>39</v>
      </c>
      <c r="G99">
        <v>60</v>
      </c>
      <c r="H99">
        <v>51.6</v>
      </c>
      <c r="I99">
        <v>31.1</v>
      </c>
      <c r="J99">
        <v>22.6</v>
      </c>
      <c r="K99">
        <v>3.6269999999999997E-2</v>
      </c>
      <c r="L99">
        <v>8.34</v>
      </c>
      <c r="M99">
        <v>16.170000000000002</v>
      </c>
      <c r="N99">
        <v>6</v>
      </c>
      <c r="O99">
        <v>5</v>
      </c>
      <c r="P99">
        <v>30</v>
      </c>
      <c r="Q99">
        <v>128</v>
      </c>
      <c r="R99">
        <v>275.2</v>
      </c>
      <c r="S99">
        <v>1.0880999999999998</v>
      </c>
      <c r="T99">
        <v>216</v>
      </c>
      <c r="U99">
        <v>11154</v>
      </c>
      <c r="V99">
        <v>180360.18000000002</v>
      </c>
      <c r="W99" s="1" t="s">
        <v>1264</v>
      </c>
      <c r="X99" s="1" t="s">
        <v>1264</v>
      </c>
      <c r="Y99">
        <v>2.5411764705882351</v>
      </c>
      <c r="Z99">
        <v>0.36450980392156862</v>
      </c>
      <c r="AA99" s="1" t="s">
        <v>1265</v>
      </c>
      <c r="AB99">
        <v>1</v>
      </c>
      <c r="AC99">
        <v>0</v>
      </c>
      <c r="AD99" s="1">
        <v>5.8411332257486102</v>
      </c>
      <c r="AE99">
        <v>12</v>
      </c>
      <c r="AF99">
        <f>COUNTIFS(tblStock[sku],tblSKU[[#This Row],[sku]])</f>
        <v>3</v>
      </c>
      <c r="AG99" cm="1">
        <f t="array" ref="AG99">SUM(SUMIFS(tblStock[qty_units],tblStock[sku],tblSKU[[#This Row],[sku]],tblStock[stock_type],{"Saleable","FOC"}))</f>
        <v>16288</v>
      </c>
      <c r="AH99" s="3">
        <f>SUMIFS(tblStock[value_nzd],tblStock[sku],tblSKU[[#This Row],[sku]])</f>
        <v>263376.96000000002</v>
      </c>
      <c r="AI99" s="4">
        <f>SUMIFS(tblStock[cbm],tblStock[sku],tblSKU[[#This Row],[sku]])</f>
        <v>9.8460959999999993</v>
      </c>
      <c r="AJ99" s="1">
        <f>SUMIFS(tblStock[positions],tblStock[sku],tblSKU[[#This Row],[sku]])</f>
        <v>10</v>
      </c>
      <c r="AK99" s="3">
        <f>SUMIFS(tblStock[value_nzd],tblStock[sku],tblSKU[[#This Row],[sku]],tblStock[stock_type],"Expired")</f>
        <v>0</v>
      </c>
      <c r="AL99" s="3" cm="1">
        <f t="array" ref="AL99">SUM(SUMIFS(tblStock[value_nzd],tblStock[sku],tblSKU[[#This Row],[sku]],tblStock[stock_type],{"Saleable","FOC"},tblStock[expiry_date],"&lt;"&amp;EDATE(SnapshotDate,6)))</f>
        <v>0</v>
      </c>
    </row>
    <row r="100" spans="1:38">
      <c r="A100" s="1" t="s">
        <v>246</v>
      </c>
      <c r="B100" s="1" t="s">
        <v>247</v>
      </c>
      <c r="C100" s="1" t="s">
        <v>48</v>
      </c>
      <c r="D100" s="1" t="s">
        <v>37</v>
      </c>
      <c r="E100" s="1" t="s">
        <v>38</v>
      </c>
      <c r="F100" s="1" t="s">
        <v>39</v>
      </c>
      <c r="G100">
        <v>60</v>
      </c>
      <c r="H100">
        <v>30.3</v>
      </c>
      <c r="I100">
        <v>38.799999999999997</v>
      </c>
      <c r="J100">
        <v>34</v>
      </c>
      <c r="K100">
        <v>3.9969999999999999E-2</v>
      </c>
      <c r="L100">
        <v>9.27</v>
      </c>
      <c r="M100">
        <v>7.64</v>
      </c>
      <c r="N100">
        <v>9</v>
      </c>
      <c r="O100">
        <v>3</v>
      </c>
      <c r="P100">
        <v>27</v>
      </c>
      <c r="Q100">
        <v>117</v>
      </c>
      <c r="R100">
        <v>275.28999999999996</v>
      </c>
      <c r="S100">
        <v>1.0791899999999999</v>
      </c>
      <c r="T100">
        <v>15</v>
      </c>
      <c r="U100">
        <v>696</v>
      </c>
      <c r="V100">
        <v>5317.44</v>
      </c>
      <c r="W100" s="1" t="s">
        <v>1262</v>
      </c>
      <c r="X100" s="1" t="s">
        <v>1262</v>
      </c>
      <c r="Y100">
        <v>0.17647058823529413</v>
      </c>
      <c r="Z100">
        <v>2.5272331154684097E-2</v>
      </c>
      <c r="AA100" s="1" t="s">
        <v>1263</v>
      </c>
      <c r="AB100">
        <v>0</v>
      </c>
      <c r="AC100">
        <v>0</v>
      </c>
      <c r="AD100" s="1">
        <v>2.9540229885057472</v>
      </c>
      <c r="AE100">
        <v>2</v>
      </c>
      <c r="AF100">
        <f>COUNTIFS(tblStock[sku],tblSKU[[#This Row],[sku]])</f>
        <v>1</v>
      </c>
      <c r="AG100" cm="1">
        <f t="array" ref="AG100">SUM(SUMIFS(tblStock[qty_units],tblStock[sku],tblSKU[[#This Row],[sku]],tblStock[stock_type],{"Saleable","FOC"}))</f>
        <v>514</v>
      </c>
      <c r="AH100" s="3">
        <f>SUMIFS(tblStock[value_nzd],tblStock[sku],tblSKU[[#This Row],[sku]])</f>
        <v>3926.96</v>
      </c>
      <c r="AI100" s="4">
        <f>SUMIFS(tblStock[cbm],tblStock[sku],tblSKU[[#This Row],[sku]])</f>
        <v>0.34240966666666667</v>
      </c>
      <c r="AJ100" s="1">
        <f>SUMIFS(tblStock[positions],tblStock[sku],tblSKU[[#This Row],[sku]])</f>
        <v>1</v>
      </c>
      <c r="AK100" s="3">
        <f>SUMIFS(tblStock[value_nzd],tblStock[sku],tblSKU[[#This Row],[sku]],tblStock[stock_type],"Expired")</f>
        <v>0</v>
      </c>
      <c r="AL100" s="3" cm="1">
        <f t="array" ref="AL100">SUM(SUMIFS(tblStock[value_nzd],tblStock[sku],tblSKU[[#This Row],[sku]],tblStock[stock_type],{"Saleable","FOC"},tblStock[expiry_date],"&lt;"&amp;EDATE(SnapshotDate,6)))</f>
        <v>0</v>
      </c>
    </row>
    <row r="101" spans="1:38">
      <c r="A101" s="1" t="s">
        <v>248</v>
      </c>
      <c r="B101" s="1" t="s">
        <v>249</v>
      </c>
      <c r="C101" s="1" t="s">
        <v>67</v>
      </c>
      <c r="D101" s="1" t="s">
        <v>37</v>
      </c>
      <c r="E101" s="1" t="s">
        <v>38</v>
      </c>
      <c r="F101" s="1" t="s">
        <v>39</v>
      </c>
      <c r="G101">
        <v>100</v>
      </c>
      <c r="H101">
        <v>36.200000000000003</v>
      </c>
      <c r="I101">
        <v>37.700000000000003</v>
      </c>
      <c r="J101">
        <v>15.6</v>
      </c>
      <c r="K101">
        <v>2.129E-2</v>
      </c>
      <c r="L101">
        <v>4.05</v>
      </c>
      <c r="M101">
        <v>15.9</v>
      </c>
      <c r="N101">
        <v>6</v>
      </c>
      <c r="O101">
        <v>7</v>
      </c>
      <c r="P101">
        <v>42</v>
      </c>
      <c r="Q101">
        <v>124.2</v>
      </c>
      <c r="R101">
        <v>195.1</v>
      </c>
      <c r="S101">
        <v>0.89417999999999997</v>
      </c>
      <c r="T101">
        <v>18</v>
      </c>
      <c r="U101">
        <v>714</v>
      </c>
      <c r="V101">
        <v>11352.6</v>
      </c>
      <c r="W101" s="1" t="s">
        <v>1262</v>
      </c>
      <c r="X101" s="1" t="s">
        <v>1262</v>
      </c>
      <c r="Y101">
        <v>0.21176470588235294</v>
      </c>
      <c r="Z101">
        <v>9.9999999999999985E-3</v>
      </c>
      <c r="AA101" s="1" t="s">
        <v>1263</v>
      </c>
      <c r="AB101">
        <v>0</v>
      </c>
      <c r="AC101">
        <v>0</v>
      </c>
      <c r="AD101" s="1">
        <v>4.9299719887955185</v>
      </c>
      <c r="AE101">
        <v>2</v>
      </c>
      <c r="AF101">
        <f>COUNTIFS(tblStock[sku],tblSKU[[#This Row],[sku]])</f>
        <v>3</v>
      </c>
      <c r="AG101" cm="1">
        <f t="array" ref="AG101">SUM(SUMIFS(tblStock[qty_units],tblStock[sku],tblSKU[[#This Row],[sku]],tblStock[stock_type],{"Saleable","FOC"}))</f>
        <v>880</v>
      </c>
      <c r="AH101" s="3">
        <f>SUMIFS(tblStock[value_nzd],tblStock[sku],tblSKU[[#This Row],[sku]])</f>
        <v>13992</v>
      </c>
      <c r="AI101" s="4">
        <f>SUMIFS(tblStock[cbm],tblStock[sku],tblSKU[[#This Row],[sku]])</f>
        <v>0.18735200000000002</v>
      </c>
      <c r="AJ101" s="1">
        <f>SUMIFS(tblStock[positions],tblStock[sku],tblSKU[[#This Row],[sku]])</f>
        <v>0</v>
      </c>
      <c r="AK101" s="3">
        <f>SUMIFS(tblStock[value_nzd],tblStock[sku],tblSKU[[#This Row],[sku]],tblStock[stock_type],"Expired")</f>
        <v>0</v>
      </c>
      <c r="AL101" s="3" cm="1">
        <f t="array" ref="AL101">SUM(SUMIFS(tblStock[value_nzd],tblStock[sku],tblSKU[[#This Row],[sku]],tblStock[stock_type],{"Saleable","FOC"},tblStock[expiry_date],"&lt;"&amp;EDATE(SnapshotDate,6)))</f>
        <v>0</v>
      </c>
    </row>
    <row r="102" spans="1:38">
      <c r="A102" s="1" t="s">
        <v>250</v>
      </c>
      <c r="B102" s="1" t="s">
        <v>251</v>
      </c>
      <c r="C102" s="1" t="s">
        <v>36</v>
      </c>
      <c r="D102" s="1" t="s">
        <v>37</v>
      </c>
      <c r="E102" s="1" t="s">
        <v>38</v>
      </c>
      <c r="F102" s="1" t="s">
        <v>39</v>
      </c>
      <c r="G102">
        <v>180</v>
      </c>
      <c r="H102">
        <v>31.6</v>
      </c>
      <c r="I102">
        <v>38.299999999999997</v>
      </c>
      <c r="J102">
        <v>31.9</v>
      </c>
      <c r="K102">
        <v>3.8609999999999998E-2</v>
      </c>
      <c r="L102">
        <v>9.6</v>
      </c>
      <c r="M102">
        <v>8.56</v>
      </c>
      <c r="N102">
        <v>9</v>
      </c>
      <c r="O102">
        <v>4</v>
      </c>
      <c r="P102">
        <v>36</v>
      </c>
      <c r="Q102">
        <v>142.6</v>
      </c>
      <c r="R102">
        <v>370.59999999999997</v>
      </c>
      <c r="S102">
        <v>1.3899599999999999</v>
      </c>
      <c r="T102">
        <v>42</v>
      </c>
      <c r="U102">
        <v>4866</v>
      </c>
      <c r="V102">
        <v>41652.959999999999</v>
      </c>
      <c r="W102" s="1" t="s">
        <v>1258</v>
      </c>
      <c r="X102" s="1" t="s">
        <v>1258</v>
      </c>
      <c r="Y102">
        <v>0.49411764705882355</v>
      </c>
      <c r="Z102">
        <v>4.4172113289760354E-2</v>
      </c>
      <c r="AA102" s="1" t="s">
        <v>1259</v>
      </c>
      <c r="AB102">
        <v>0</v>
      </c>
      <c r="AC102">
        <v>1</v>
      </c>
      <c r="AD102" s="1">
        <v>4.2482531853678589</v>
      </c>
      <c r="AE102">
        <v>4</v>
      </c>
      <c r="AF102">
        <f>COUNTIFS(tblStock[sku],tblSKU[[#This Row],[sku]])</f>
        <v>3</v>
      </c>
      <c r="AG102" cm="1">
        <f t="array" ref="AG102">SUM(SUMIFS(tblStock[qty_units],tblStock[sku],tblSKU[[#This Row],[sku]],tblStock[stock_type],{"Saleable","FOC"}))</f>
        <v>5168</v>
      </c>
      <c r="AH102" s="3">
        <f>SUMIFS(tblStock[value_nzd],tblStock[sku],tblSKU[[#This Row],[sku]])</f>
        <v>44238.080000000002</v>
      </c>
      <c r="AI102" s="4">
        <f>SUMIFS(tblStock[cbm],tblStock[sku],tblSKU[[#This Row],[sku]])</f>
        <v>1.108536</v>
      </c>
      <c r="AJ102" s="1">
        <f>SUMIFS(tblStock[positions],tblStock[sku],tblSKU[[#This Row],[sku]])</f>
        <v>3</v>
      </c>
      <c r="AK102" s="3">
        <f>SUMIFS(tblStock[value_nzd],tblStock[sku],tblSKU[[#This Row],[sku]],tblStock[stock_type],"Expired")</f>
        <v>0</v>
      </c>
      <c r="AL102" s="3" cm="1">
        <f t="array" ref="AL102">SUM(SUMIFS(tblStock[value_nzd],tblStock[sku],tblSKU[[#This Row],[sku]],tblStock[stock_type],{"Saleable","FOC"},tblStock[expiry_date],"&lt;"&amp;EDATE(SnapshotDate,6)))</f>
        <v>0</v>
      </c>
    </row>
    <row r="103" spans="1:38">
      <c r="A103" s="1" t="s">
        <v>252</v>
      </c>
      <c r="B103" s="1" t="s">
        <v>253</v>
      </c>
      <c r="C103" s="1" t="s">
        <v>36</v>
      </c>
      <c r="D103" s="1" t="s">
        <v>37</v>
      </c>
      <c r="E103" s="1" t="s">
        <v>38</v>
      </c>
      <c r="F103" s="1" t="s">
        <v>39</v>
      </c>
      <c r="G103">
        <v>60</v>
      </c>
      <c r="H103">
        <v>57.9</v>
      </c>
      <c r="I103">
        <v>36.4</v>
      </c>
      <c r="J103">
        <v>26.3</v>
      </c>
      <c r="K103">
        <v>5.543E-2</v>
      </c>
      <c r="L103">
        <v>12.15</v>
      </c>
      <c r="M103">
        <v>14.92</v>
      </c>
      <c r="N103">
        <v>4</v>
      </c>
      <c r="O103">
        <v>3</v>
      </c>
      <c r="P103">
        <v>12</v>
      </c>
      <c r="Q103">
        <v>93.9</v>
      </c>
      <c r="R103">
        <v>170.8</v>
      </c>
      <c r="S103">
        <v>0.66515999999999997</v>
      </c>
      <c r="T103">
        <v>264</v>
      </c>
      <c r="U103">
        <v>13268</v>
      </c>
      <c r="V103">
        <v>197958.56</v>
      </c>
      <c r="W103" s="1" t="s">
        <v>1264</v>
      </c>
      <c r="X103" s="1" t="s">
        <v>1264</v>
      </c>
      <c r="Y103">
        <v>3.1058823529411765</v>
      </c>
      <c r="Z103">
        <v>1.0839869281045751</v>
      </c>
      <c r="AA103" s="1" t="s">
        <v>1265</v>
      </c>
      <c r="AB103">
        <v>1</v>
      </c>
      <c r="AC103">
        <v>0</v>
      </c>
      <c r="AD103" s="1">
        <v>7.2330419053361474</v>
      </c>
      <c r="AE103">
        <v>12</v>
      </c>
      <c r="AF103">
        <f>COUNTIFS(tblStock[sku],tblSKU[[#This Row],[sku]])</f>
        <v>2</v>
      </c>
      <c r="AG103" cm="1">
        <f t="array" ref="AG103">SUM(SUMIFS(tblStock[qty_units],tblStock[sku],tblSKU[[#This Row],[sku]],tblStock[stock_type],{"Saleable","FOC"}))</f>
        <v>23992</v>
      </c>
      <c r="AH103" s="3">
        <f>SUMIFS(tblStock[value_nzd],tblStock[sku],tblSKU[[#This Row],[sku]])</f>
        <v>357960.63999999996</v>
      </c>
      <c r="AI103" s="4">
        <f>SUMIFS(tblStock[cbm],tblStock[sku],tblSKU[[#This Row],[sku]])</f>
        <v>22.164609333333331</v>
      </c>
      <c r="AJ103" s="1">
        <f>SUMIFS(tblStock[positions],tblStock[sku],tblSKU[[#This Row],[sku]])</f>
        <v>34</v>
      </c>
      <c r="AK103" s="3">
        <f>SUMIFS(tblStock[value_nzd],tblStock[sku],tblSKU[[#This Row],[sku]],tblStock[stock_type],"Expired")</f>
        <v>0</v>
      </c>
      <c r="AL103" s="3" cm="1">
        <f t="array" ref="AL103">SUM(SUMIFS(tblStock[value_nzd],tblStock[sku],tblSKU[[#This Row],[sku]],tblStock[stock_type],{"Saleable","FOC"},tblStock[expiry_date],"&lt;"&amp;EDATE(SnapshotDate,6)))</f>
        <v>0</v>
      </c>
    </row>
    <row r="104" spans="1:38">
      <c r="A104" s="1" t="s">
        <v>254</v>
      </c>
      <c r="B104" s="1" t="s">
        <v>255</v>
      </c>
      <c r="C104" s="1" t="s">
        <v>43</v>
      </c>
      <c r="D104" s="1" t="s">
        <v>37</v>
      </c>
      <c r="E104" s="1" t="s">
        <v>38</v>
      </c>
      <c r="F104" s="1" t="s">
        <v>39</v>
      </c>
      <c r="G104">
        <v>100</v>
      </c>
      <c r="H104">
        <v>32.299999999999997</v>
      </c>
      <c r="I104">
        <v>43.5</v>
      </c>
      <c r="J104">
        <v>32.9</v>
      </c>
      <c r="K104">
        <v>4.623E-2</v>
      </c>
      <c r="L104">
        <v>11</v>
      </c>
      <c r="M104">
        <v>9.35</v>
      </c>
      <c r="N104">
        <v>6</v>
      </c>
      <c r="O104">
        <v>3</v>
      </c>
      <c r="P104">
        <v>18</v>
      </c>
      <c r="Q104">
        <v>113.69999999999999</v>
      </c>
      <c r="R104">
        <v>223</v>
      </c>
      <c r="S104">
        <v>0.83213999999999999</v>
      </c>
      <c r="T104">
        <v>14</v>
      </c>
      <c r="U104">
        <v>773</v>
      </c>
      <c r="V104">
        <v>7227.5499999999993</v>
      </c>
      <c r="W104" s="1" t="s">
        <v>1262</v>
      </c>
      <c r="X104" s="1" t="s">
        <v>1262</v>
      </c>
      <c r="Y104">
        <v>0.16470588235294117</v>
      </c>
      <c r="Z104">
        <v>2.5261437908496734E-2</v>
      </c>
      <c r="AA104" s="1" t="s">
        <v>1263</v>
      </c>
      <c r="AB104">
        <v>0</v>
      </c>
      <c r="AC104">
        <v>0</v>
      </c>
      <c r="AD104" s="1">
        <v>8.0051746442432083</v>
      </c>
      <c r="AE104">
        <v>2</v>
      </c>
      <c r="AF104">
        <f>COUNTIFS(tblStock[sku],tblSKU[[#This Row],[sku]])</f>
        <v>2</v>
      </c>
      <c r="AG104" cm="1">
        <f t="array" ref="AG104">SUM(SUMIFS(tblStock[qty_units],tblStock[sku],tblSKU[[#This Row],[sku]],tblStock[stock_type],{"Saleable","FOC"}))</f>
        <v>1547</v>
      </c>
      <c r="AH104" s="3">
        <f>SUMIFS(tblStock[value_nzd],tblStock[sku],tblSKU[[#This Row],[sku]])</f>
        <v>14464.449999999999</v>
      </c>
      <c r="AI104" s="4">
        <f>SUMIFS(tblStock[cbm],tblStock[sku],tblSKU[[#This Row],[sku]])</f>
        <v>0.71517809999999993</v>
      </c>
      <c r="AJ104" s="1">
        <f>SUMIFS(tblStock[positions],tblStock[sku],tblSKU[[#This Row],[sku]])</f>
        <v>2</v>
      </c>
      <c r="AK104" s="3">
        <f>SUMIFS(tblStock[value_nzd],tblStock[sku],tblSKU[[#This Row],[sku]],tblStock[stock_type],"Expired")</f>
        <v>0</v>
      </c>
      <c r="AL104" s="3" cm="1">
        <f t="array" ref="AL104">SUM(SUMIFS(tblStock[value_nzd],tblStock[sku],tblSKU[[#This Row],[sku]],tblStock[stock_type],{"Saleable","FOC"},tblStock[expiry_date],"&lt;"&amp;EDATE(SnapshotDate,6)))</f>
        <v>0</v>
      </c>
    </row>
    <row r="105" spans="1:38">
      <c r="A105" s="1" t="s">
        <v>256</v>
      </c>
      <c r="B105" s="1" t="s">
        <v>257</v>
      </c>
      <c r="C105" s="1" t="s">
        <v>43</v>
      </c>
      <c r="D105" s="1" t="s">
        <v>37</v>
      </c>
      <c r="E105" s="1" t="s">
        <v>38</v>
      </c>
      <c r="F105" s="1" t="s">
        <v>39</v>
      </c>
      <c r="G105">
        <v>240</v>
      </c>
      <c r="H105">
        <v>40.6</v>
      </c>
      <c r="I105">
        <v>38.299999999999997</v>
      </c>
      <c r="J105">
        <v>28.8</v>
      </c>
      <c r="K105">
        <v>4.478E-2</v>
      </c>
      <c r="L105">
        <v>12.33</v>
      </c>
      <c r="M105">
        <v>21.17</v>
      </c>
      <c r="N105">
        <v>6</v>
      </c>
      <c r="O105">
        <v>3</v>
      </c>
      <c r="P105">
        <v>18</v>
      </c>
      <c r="Q105">
        <v>101.4</v>
      </c>
      <c r="R105">
        <v>246.94</v>
      </c>
      <c r="S105">
        <v>0.80603999999999998</v>
      </c>
      <c r="T105">
        <v>84</v>
      </c>
      <c r="U105">
        <v>13047</v>
      </c>
      <c r="V105">
        <v>276204.99000000005</v>
      </c>
      <c r="W105" s="1" t="s">
        <v>1264</v>
      </c>
      <c r="X105" s="1" t="s">
        <v>1264</v>
      </c>
      <c r="Y105">
        <v>0.9882352941176471</v>
      </c>
      <c r="Z105">
        <v>0.17765522875816994</v>
      </c>
      <c r="AA105" s="1" t="s">
        <v>1265</v>
      </c>
      <c r="AB105">
        <v>1</v>
      </c>
      <c r="AC105">
        <v>0</v>
      </c>
      <c r="AD105" s="1">
        <v>2.9849007434659307</v>
      </c>
      <c r="AE105">
        <v>12</v>
      </c>
      <c r="AF105">
        <f>COUNTIFS(tblStock[sku],tblSKU[[#This Row],[sku]])</f>
        <v>2</v>
      </c>
      <c r="AG105" cm="1">
        <f t="array" ref="AG105">SUM(SUMIFS(tblStock[qty_units],tblStock[sku],tblSKU[[#This Row],[sku]],tblStock[stock_type],{"Saleable","FOC"}))</f>
        <v>9736</v>
      </c>
      <c r="AH105" s="3">
        <f>SUMIFS(tblStock[value_nzd],tblStock[sku],tblSKU[[#This Row],[sku]])</f>
        <v>206111.12</v>
      </c>
      <c r="AI105" s="4">
        <f>SUMIFS(tblStock[cbm],tblStock[sku],tblSKU[[#This Row],[sku]])</f>
        <v>1.8165753333333332</v>
      </c>
      <c r="AJ105" s="1">
        <f>SUMIFS(tblStock[positions],tblStock[sku],tblSKU[[#This Row],[sku]])</f>
        <v>3</v>
      </c>
      <c r="AK105" s="3">
        <f>SUMIFS(tblStock[value_nzd],tblStock[sku],tblSKU[[#This Row],[sku]],tblStock[stock_type],"Expired")</f>
        <v>0</v>
      </c>
      <c r="AL105" s="3" cm="1">
        <f t="array" ref="AL105">SUM(SUMIFS(tblStock[value_nzd],tblStock[sku],tblSKU[[#This Row],[sku]],tblStock[stock_type],{"Saleable","FOC"},tblStock[expiry_date],"&lt;"&amp;EDATE(SnapshotDate,6)))</f>
        <v>0</v>
      </c>
    </row>
    <row r="106" spans="1:38">
      <c r="A106" s="1" t="s">
        <v>258</v>
      </c>
      <c r="B106" s="1" t="s">
        <v>259</v>
      </c>
      <c r="C106" s="1" t="s">
        <v>52</v>
      </c>
      <c r="D106" s="1" t="s">
        <v>37</v>
      </c>
      <c r="E106" s="1" t="s">
        <v>38</v>
      </c>
      <c r="F106" s="1" t="s">
        <v>39</v>
      </c>
      <c r="G106">
        <v>120</v>
      </c>
      <c r="H106">
        <v>51</v>
      </c>
      <c r="I106">
        <v>41.2</v>
      </c>
      <c r="J106">
        <v>28.7</v>
      </c>
      <c r="K106">
        <v>6.0299999999999999E-2</v>
      </c>
      <c r="L106">
        <v>9.91</v>
      </c>
      <c r="M106">
        <v>15.65</v>
      </c>
      <c r="N106">
        <v>2</v>
      </c>
      <c r="O106">
        <v>3</v>
      </c>
      <c r="P106">
        <v>6</v>
      </c>
      <c r="Q106">
        <v>101.1</v>
      </c>
      <c r="R106">
        <v>84.460000000000008</v>
      </c>
      <c r="S106">
        <v>0.36180000000000001</v>
      </c>
      <c r="T106">
        <v>9</v>
      </c>
      <c r="U106">
        <v>504</v>
      </c>
      <c r="V106">
        <v>7887.6</v>
      </c>
      <c r="W106" s="1" t="s">
        <v>1262</v>
      </c>
      <c r="X106" s="1" t="s">
        <v>1262</v>
      </c>
      <c r="Y106">
        <v>0.10588235294117647</v>
      </c>
      <c r="Z106">
        <v>4.1176470588235294E-2</v>
      </c>
      <c r="AA106" s="1" t="s">
        <v>1263</v>
      </c>
      <c r="AB106">
        <v>0</v>
      </c>
      <c r="AC106">
        <v>0</v>
      </c>
      <c r="AD106" s="1">
        <v>14.674603174603174</v>
      </c>
      <c r="AE106">
        <v>2</v>
      </c>
      <c r="AF106">
        <f>COUNTIFS(tblStock[sku],tblSKU[[#This Row],[sku]])</f>
        <v>1</v>
      </c>
      <c r="AG106" cm="1">
        <f t="array" ref="AG106">SUM(SUMIFS(tblStock[qty_units],tblStock[sku],tblSKU[[#This Row],[sku]],tblStock[stock_type],{"Saleable","FOC"}))</f>
        <v>1849</v>
      </c>
      <c r="AH106" s="3">
        <f>SUMIFS(tblStock[value_nzd],tblStock[sku],tblSKU[[#This Row],[sku]])</f>
        <v>28936.850000000002</v>
      </c>
      <c r="AI106" s="4">
        <f>SUMIFS(tblStock[cbm],tblStock[sku],tblSKU[[#This Row],[sku]])</f>
        <v>0.92912249999999996</v>
      </c>
      <c r="AJ106" s="1">
        <f>SUMIFS(tblStock[positions],tblStock[sku],tblSKU[[#This Row],[sku]])</f>
        <v>3</v>
      </c>
      <c r="AK106" s="3">
        <f>SUMIFS(tblStock[value_nzd],tblStock[sku],tblSKU[[#This Row],[sku]],tblStock[stock_type],"Expired")</f>
        <v>0</v>
      </c>
      <c r="AL106" s="3" cm="1">
        <f t="array" ref="AL106">SUM(SUMIFS(tblStock[value_nzd],tblStock[sku],tblSKU[[#This Row],[sku]],tblStock[stock_type],{"Saleable","FOC"},tblStock[expiry_date],"&lt;"&amp;EDATE(SnapshotDate,6)))</f>
        <v>0</v>
      </c>
    </row>
    <row r="107" spans="1:38">
      <c r="A107" s="1" t="s">
        <v>260</v>
      </c>
      <c r="B107" s="1" t="s">
        <v>261</v>
      </c>
      <c r="C107" s="1" t="s">
        <v>36</v>
      </c>
      <c r="D107" s="1" t="s">
        <v>37</v>
      </c>
      <c r="E107" s="1" t="s">
        <v>38</v>
      </c>
      <c r="F107" s="1" t="s">
        <v>39</v>
      </c>
      <c r="G107">
        <v>60</v>
      </c>
      <c r="H107">
        <v>30.4</v>
      </c>
      <c r="I107">
        <v>41.8</v>
      </c>
      <c r="J107">
        <v>18.8</v>
      </c>
      <c r="K107">
        <v>2.3890000000000002E-2</v>
      </c>
      <c r="L107">
        <v>3.97</v>
      </c>
      <c r="M107">
        <v>10.51</v>
      </c>
      <c r="N107">
        <v>6</v>
      </c>
      <c r="O107">
        <v>5</v>
      </c>
      <c r="P107">
        <v>30</v>
      </c>
      <c r="Q107">
        <v>109</v>
      </c>
      <c r="R107">
        <v>144.10000000000002</v>
      </c>
      <c r="S107">
        <v>0.7167</v>
      </c>
      <c r="T107">
        <v>69</v>
      </c>
      <c r="U107">
        <v>3589</v>
      </c>
      <c r="V107">
        <v>37720.39</v>
      </c>
      <c r="W107" s="1" t="s">
        <v>1258</v>
      </c>
      <c r="X107" s="1" t="s">
        <v>1258</v>
      </c>
      <c r="Y107">
        <v>0.81176470588235294</v>
      </c>
      <c r="Z107">
        <v>0.1172875816993464</v>
      </c>
      <c r="AA107" s="1" t="s">
        <v>1259</v>
      </c>
      <c r="AB107">
        <v>0</v>
      </c>
      <c r="AC107">
        <v>1</v>
      </c>
      <c r="AD107" s="1">
        <v>2.5511284480356644</v>
      </c>
      <c r="AE107">
        <v>4</v>
      </c>
      <c r="AF107">
        <f>COUNTIFS(tblStock[sku],tblSKU[[#This Row],[sku]])</f>
        <v>1</v>
      </c>
      <c r="AG107" cm="1">
        <f t="array" ref="AG107">SUM(SUMIFS(tblStock[qty_units],tblStock[sku],tblSKU[[#This Row],[sku]],tblStock[stock_type],{"Saleable","FOC"}))</f>
        <v>2289</v>
      </c>
      <c r="AH107" s="3">
        <f>SUMIFS(tblStock[value_nzd],tblStock[sku],tblSKU[[#This Row],[sku]])</f>
        <v>24057.39</v>
      </c>
      <c r="AI107" s="4">
        <f>SUMIFS(tblStock[cbm],tblStock[sku],tblSKU[[#This Row],[sku]])</f>
        <v>0.91140350000000003</v>
      </c>
      <c r="AJ107" s="1">
        <f>SUMIFS(tblStock[positions],tblStock[sku],tblSKU[[#This Row],[sku]])</f>
        <v>2</v>
      </c>
      <c r="AK107" s="3">
        <f>SUMIFS(tblStock[value_nzd],tblStock[sku],tblSKU[[#This Row],[sku]],tblStock[stock_type],"Expired")</f>
        <v>0</v>
      </c>
      <c r="AL107" s="3" cm="1">
        <f t="array" ref="AL107">SUM(SUMIFS(tblStock[value_nzd],tblStock[sku],tblSKU[[#This Row],[sku]],tblStock[stock_type],{"Saleable","FOC"},tblStock[expiry_date],"&lt;"&amp;EDATE(SnapshotDate,6)))</f>
        <v>0</v>
      </c>
    </row>
    <row r="108" spans="1:38">
      <c r="A108" s="1" t="s">
        <v>262</v>
      </c>
      <c r="B108" s="1" t="s">
        <v>263</v>
      </c>
      <c r="C108" s="1" t="s">
        <v>67</v>
      </c>
      <c r="D108" s="1" t="s">
        <v>37</v>
      </c>
      <c r="E108" s="1" t="s">
        <v>38</v>
      </c>
      <c r="F108" s="1" t="s">
        <v>39</v>
      </c>
      <c r="G108">
        <v>120</v>
      </c>
      <c r="H108">
        <v>30.3</v>
      </c>
      <c r="I108">
        <v>29</v>
      </c>
      <c r="J108">
        <v>17.899999999999999</v>
      </c>
      <c r="K108">
        <v>1.5730000000000001E-2</v>
      </c>
      <c r="L108">
        <v>2.4900000000000002</v>
      </c>
      <c r="M108">
        <v>3.36</v>
      </c>
      <c r="N108">
        <v>12</v>
      </c>
      <c r="O108">
        <v>6</v>
      </c>
      <c r="P108">
        <v>72</v>
      </c>
      <c r="Q108">
        <v>122.39999999999999</v>
      </c>
      <c r="R108">
        <v>204.28000000000003</v>
      </c>
      <c r="S108">
        <v>1.13256</v>
      </c>
      <c r="T108">
        <v>72</v>
      </c>
      <c r="U108">
        <v>5799</v>
      </c>
      <c r="V108">
        <v>19484.64</v>
      </c>
      <c r="W108" s="1" t="s">
        <v>1258</v>
      </c>
      <c r="X108" s="1" t="s">
        <v>1262</v>
      </c>
      <c r="Y108">
        <v>0.84705882352941175</v>
      </c>
      <c r="Z108">
        <v>3.9481209150326796E-2</v>
      </c>
      <c r="AA108" s="1" t="s">
        <v>1259</v>
      </c>
      <c r="AB108">
        <v>0</v>
      </c>
      <c r="AC108">
        <v>1</v>
      </c>
      <c r="AD108" s="1">
        <v>2.1231246766683909</v>
      </c>
      <c r="AE108">
        <v>2</v>
      </c>
      <c r="AF108">
        <f>COUNTIFS(tblStock[sku],tblSKU[[#This Row],[sku]])</f>
        <v>3</v>
      </c>
      <c r="AG108" cm="1">
        <f t="array" ref="AG108">SUM(SUMIFS(tblStock[qty_units],tblStock[sku],tblSKU[[#This Row],[sku]],tblStock[stock_type],{"Saleable","FOC"}))</f>
        <v>3078</v>
      </c>
      <c r="AH108" s="3">
        <f>SUMIFS(tblStock[value_nzd],tblStock[sku],tblSKU[[#This Row],[sku]])</f>
        <v>11168.64</v>
      </c>
      <c r="AI108" s="4">
        <f>SUMIFS(tblStock[cbm],tblStock[sku],tblSKU[[#This Row],[sku]])</f>
        <v>0.43572100000000002</v>
      </c>
      <c r="AJ108" s="1">
        <f>SUMIFS(tblStock[positions],tblStock[sku],tblSKU[[#This Row],[sku]])</f>
        <v>1</v>
      </c>
      <c r="AK108" s="3">
        <f>SUMIFS(tblStock[value_nzd],tblStock[sku],tblSKU[[#This Row],[sku]],tblStock[stock_type],"Expired")</f>
        <v>826.56</v>
      </c>
      <c r="AL108" s="3" cm="1">
        <f t="array" ref="AL108">SUM(SUMIFS(tblStock[value_nzd],tblStock[sku],tblSKU[[#This Row],[sku]],tblStock[stock_type],{"Saleable","FOC"},tblStock[expiry_date],"&lt;"&amp;EDATE(SnapshotDate,6)))</f>
        <v>0</v>
      </c>
    </row>
    <row r="109" spans="1:38">
      <c r="A109" s="1" t="s">
        <v>264</v>
      </c>
      <c r="B109" s="1" t="s">
        <v>265</v>
      </c>
      <c r="C109" s="1" t="s">
        <v>43</v>
      </c>
      <c r="D109" s="1" t="s">
        <v>37</v>
      </c>
      <c r="E109" s="1" t="s">
        <v>38</v>
      </c>
      <c r="F109" s="1" t="s">
        <v>39</v>
      </c>
      <c r="G109">
        <v>120</v>
      </c>
      <c r="H109">
        <v>48</v>
      </c>
      <c r="I109">
        <v>31.8</v>
      </c>
      <c r="J109">
        <v>20.9</v>
      </c>
      <c r="K109">
        <v>3.1899999999999998E-2</v>
      </c>
      <c r="L109">
        <v>9.2899999999999991</v>
      </c>
      <c r="M109">
        <v>10.48</v>
      </c>
      <c r="N109">
        <v>6</v>
      </c>
      <c r="O109">
        <v>4</v>
      </c>
      <c r="P109">
        <v>24</v>
      </c>
      <c r="Q109">
        <v>98.6</v>
      </c>
      <c r="R109">
        <v>247.95999999999998</v>
      </c>
      <c r="S109">
        <v>0.76559999999999995</v>
      </c>
      <c r="T109">
        <v>69</v>
      </c>
      <c r="U109">
        <v>3394</v>
      </c>
      <c r="V109">
        <v>35569.120000000003</v>
      </c>
      <c r="W109" s="1" t="s">
        <v>1258</v>
      </c>
      <c r="X109" s="1" t="s">
        <v>1258</v>
      </c>
      <c r="Y109">
        <v>0.81176470588235294</v>
      </c>
      <c r="Z109">
        <v>6.9321895424836605E-2</v>
      </c>
      <c r="AA109" s="1" t="s">
        <v>1259</v>
      </c>
      <c r="AB109">
        <v>0</v>
      </c>
      <c r="AC109">
        <v>1</v>
      </c>
      <c r="AD109" s="1">
        <v>4.8697701826753095</v>
      </c>
      <c r="AE109">
        <v>4</v>
      </c>
      <c r="AF109">
        <f>COUNTIFS(tblStock[sku],tblSKU[[#This Row],[sku]])</f>
        <v>2</v>
      </c>
      <c r="AG109" cm="1">
        <f t="array" ref="AG109">SUM(SUMIFS(tblStock[qty_units],tblStock[sku],tblSKU[[#This Row],[sku]],tblStock[stock_type],{"Saleable","FOC"}))</f>
        <v>4132</v>
      </c>
      <c r="AH109" s="3">
        <f>SUMIFS(tblStock[value_nzd],tblStock[sku],tblSKU[[#This Row],[sku]])</f>
        <v>43303.360000000001</v>
      </c>
      <c r="AI109" s="4">
        <f>SUMIFS(tblStock[cbm],tblStock[sku],tblSKU[[#This Row],[sku]])</f>
        <v>1.0984233333333333</v>
      </c>
      <c r="AJ109" s="1">
        <f>SUMIFS(tblStock[positions],tblStock[sku],tblSKU[[#This Row],[sku]])</f>
        <v>2</v>
      </c>
      <c r="AK109" s="3">
        <f>SUMIFS(tblStock[value_nzd],tblStock[sku],tblSKU[[#This Row],[sku]],tblStock[stock_type],"Expired")</f>
        <v>0</v>
      </c>
      <c r="AL109" s="3" cm="1">
        <f t="array" ref="AL109">SUM(SUMIFS(tblStock[value_nzd],tblStock[sku],tblSKU[[#This Row],[sku]],tblStock[stock_type],{"Saleable","FOC"},tblStock[expiry_date],"&lt;"&amp;EDATE(SnapshotDate,6)))</f>
        <v>20813.280000000002</v>
      </c>
    </row>
    <row r="110" spans="1:38">
      <c r="A110" s="1" t="s">
        <v>266</v>
      </c>
      <c r="B110" s="1" t="s">
        <v>267</v>
      </c>
      <c r="C110" s="1" t="s">
        <v>48</v>
      </c>
      <c r="D110" s="1" t="s">
        <v>37</v>
      </c>
      <c r="E110" s="1" t="s">
        <v>38</v>
      </c>
      <c r="F110" s="1" t="s">
        <v>39</v>
      </c>
      <c r="G110">
        <v>180</v>
      </c>
      <c r="H110">
        <v>41.3</v>
      </c>
      <c r="I110">
        <v>30.8</v>
      </c>
      <c r="J110">
        <v>18.5</v>
      </c>
      <c r="K110">
        <v>2.3529999999999999E-2</v>
      </c>
      <c r="L110">
        <v>6.42</v>
      </c>
      <c r="M110">
        <v>3.27</v>
      </c>
      <c r="N110">
        <v>6</v>
      </c>
      <c r="O110">
        <v>5</v>
      </c>
      <c r="P110">
        <v>30</v>
      </c>
      <c r="Q110">
        <v>107.5</v>
      </c>
      <c r="R110">
        <v>217.6</v>
      </c>
      <c r="S110">
        <v>0.70589999999999997</v>
      </c>
      <c r="T110">
        <v>235</v>
      </c>
      <c r="U110">
        <v>24284</v>
      </c>
      <c r="V110">
        <v>79408.680000000008</v>
      </c>
      <c r="W110" s="1" t="s">
        <v>1264</v>
      </c>
      <c r="X110" s="1" t="s">
        <v>1258</v>
      </c>
      <c r="Y110">
        <v>2.7647058823529411</v>
      </c>
      <c r="Z110">
        <v>0.26453159041394331</v>
      </c>
      <c r="AA110" s="1" t="s">
        <v>1265</v>
      </c>
      <c r="AB110">
        <v>1</v>
      </c>
      <c r="AC110">
        <v>0</v>
      </c>
      <c r="AD110" s="1">
        <v>2.8375885356613408</v>
      </c>
      <c r="AE110">
        <v>4</v>
      </c>
      <c r="AF110">
        <f>COUNTIFS(tblStock[sku],tblSKU[[#This Row],[sku]])</f>
        <v>3</v>
      </c>
      <c r="AG110" cm="1">
        <f t="array" ref="AG110">SUM(SUMIFS(tblStock[qty_units],tblStock[sku],tblSKU[[#This Row],[sku]],tblStock[stock_type],{"Saleable","FOC"}))</f>
        <v>17227</v>
      </c>
      <c r="AH110" s="3">
        <f>SUMIFS(tblStock[value_nzd],tblStock[sku],tblSKU[[#This Row],[sku]])</f>
        <v>56332.289999999994</v>
      </c>
      <c r="AI110" s="4">
        <f>SUMIFS(tblStock[cbm],tblStock[sku],tblSKU[[#This Row],[sku]])</f>
        <v>2.2519517222222221</v>
      </c>
      <c r="AJ110" s="1">
        <f>SUMIFS(tblStock[positions],tblStock[sku],tblSKU[[#This Row],[sku]])</f>
        <v>4</v>
      </c>
      <c r="AK110" s="3">
        <f>SUMIFS(tblStock[value_nzd],tblStock[sku],tblSKU[[#This Row],[sku]],tblStock[stock_type],"Expired")</f>
        <v>0</v>
      </c>
      <c r="AL110" s="3" cm="1">
        <f t="array" ref="AL110">SUM(SUMIFS(tblStock[value_nzd],tblStock[sku],tblSKU[[#This Row],[sku]],tblStock[stock_type],{"Saleable","FOC"},tblStock[expiry_date],"&lt;"&amp;EDATE(SnapshotDate,6)))</f>
        <v>0</v>
      </c>
    </row>
    <row r="111" spans="1:38">
      <c r="A111" s="1" t="s">
        <v>268</v>
      </c>
      <c r="B111" s="1" t="s">
        <v>269</v>
      </c>
      <c r="C111" s="1" t="s">
        <v>52</v>
      </c>
      <c r="D111" s="1" t="s">
        <v>37</v>
      </c>
      <c r="E111" s="1" t="s">
        <v>38</v>
      </c>
      <c r="F111" s="1" t="s">
        <v>39</v>
      </c>
      <c r="G111">
        <v>60</v>
      </c>
      <c r="H111">
        <v>46.1</v>
      </c>
      <c r="I111">
        <v>40.299999999999997</v>
      </c>
      <c r="J111">
        <v>21.8</v>
      </c>
      <c r="K111">
        <v>4.0500000000000001E-2</v>
      </c>
      <c r="L111">
        <v>9.9700000000000006</v>
      </c>
      <c r="M111">
        <v>10.27</v>
      </c>
      <c r="N111">
        <v>4</v>
      </c>
      <c r="O111">
        <v>5</v>
      </c>
      <c r="P111">
        <v>20</v>
      </c>
      <c r="Q111">
        <v>124</v>
      </c>
      <c r="R111">
        <v>224.4</v>
      </c>
      <c r="S111">
        <v>0.81</v>
      </c>
      <c r="T111">
        <v>35</v>
      </c>
      <c r="U111">
        <v>1638</v>
      </c>
      <c r="V111">
        <v>16822.259999999998</v>
      </c>
      <c r="W111" s="1" t="s">
        <v>1258</v>
      </c>
      <c r="X111" s="1" t="s">
        <v>1262</v>
      </c>
      <c r="Y111">
        <v>0.41176470588235292</v>
      </c>
      <c r="Z111">
        <v>8.0294117647058821E-2</v>
      </c>
      <c r="AA111" s="1" t="s">
        <v>1259</v>
      </c>
      <c r="AB111">
        <v>0</v>
      </c>
      <c r="AC111">
        <v>1</v>
      </c>
      <c r="AD111" s="1">
        <v>4.0683760683760681</v>
      </c>
      <c r="AE111">
        <v>2</v>
      </c>
      <c r="AF111">
        <f>COUNTIFS(tblStock[sku],tblSKU[[#This Row],[sku]])</f>
        <v>1</v>
      </c>
      <c r="AG111" cm="1">
        <f t="array" ref="AG111">SUM(SUMIFS(tblStock[qty_units],tblStock[sku],tblSKU[[#This Row],[sku]],tblStock[stock_type],{"Saleable","FOC"}))</f>
        <v>1666</v>
      </c>
      <c r="AH111" s="3">
        <f>SUMIFS(tblStock[value_nzd],tblStock[sku],tblSKU[[#This Row],[sku]])</f>
        <v>17109.82</v>
      </c>
      <c r="AI111" s="4">
        <f>SUMIFS(tblStock[cbm],tblStock[sku],tblSKU[[#This Row],[sku]])</f>
        <v>1.1245499999999999</v>
      </c>
      <c r="AJ111" s="1">
        <f>SUMIFS(tblStock[positions],tblStock[sku],tblSKU[[#This Row],[sku]])</f>
        <v>2</v>
      </c>
      <c r="AK111" s="3">
        <f>SUMIFS(tblStock[value_nzd],tblStock[sku],tblSKU[[#This Row],[sku]],tblStock[stock_type],"Expired")</f>
        <v>0</v>
      </c>
      <c r="AL111" s="3" cm="1">
        <f t="array" ref="AL111">SUM(SUMIFS(tblStock[value_nzd],tblStock[sku],tblSKU[[#This Row],[sku]],tblStock[stock_type],{"Saleable","FOC"},tblStock[expiry_date],"&lt;"&amp;EDATE(SnapshotDate,6)))</f>
        <v>0</v>
      </c>
    </row>
    <row r="112" spans="1:38">
      <c r="A112" s="1" t="s">
        <v>270</v>
      </c>
      <c r="B112" s="1" t="s">
        <v>271</v>
      </c>
      <c r="C112" s="1" t="s">
        <v>52</v>
      </c>
      <c r="D112" s="1" t="s">
        <v>37</v>
      </c>
      <c r="E112" s="1" t="s">
        <v>38</v>
      </c>
      <c r="F112" s="1" t="s">
        <v>39</v>
      </c>
      <c r="G112">
        <v>180</v>
      </c>
      <c r="H112">
        <v>34.1</v>
      </c>
      <c r="I112">
        <v>36.9</v>
      </c>
      <c r="J112">
        <v>19.100000000000001</v>
      </c>
      <c r="K112">
        <v>2.4029999999999999E-2</v>
      </c>
      <c r="L112">
        <v>6.09</v>
      </c>
      <c r="M112">
        <v>18.72</v>
      </c>
      <c r="N112">
        <v>6</v>
      </c>
      <c r="O112">
        <v>6</v>
      </c>
      <c r="P112">
        <v>36</v>
      </c>
      <c r="Q112">
        <v>129.60000000000002</v>
      </c>
      <c r="R112">
        <v>244.24</v>
      </c>
      <c r="S112">
        <v>0.86507999999999996</v>
      </c>
      <c r="T112">
        <v>86</v>
      </c>
      <c r="U112">
        <v>10203</v>
      </c>
      <c r="V112">
        <v>191000.15999999997</v>
      </c>
      <c r="W112" s="1" t="s">
        <v>1264</v>
      </c>
      <c r="X112" s="1" t="s">
        <v>1264</v>
      </c>
      <c r="Y112">
        <v>1.0117647058823529</v>
      </c>
      <c r="Z112">
        <v>9.2619825708061002E-2</v>
      </c>
      <c r="AA112" s="1" t="s">
        <v>1265</v>
      </c>
      <c r="AB112">
        <v>1</v>
      </c>
      <c r="AC112">
        <v>0</v>
      </c>
      <c r="AD112" s="1">
        <v>1.9041458394589827</v>
      </c>
      <c r="AE112">
        <v>12</v>
      </c>
      <c r="AF112">
        <f>COUNTIFS(tblStock[sku],tblSKU[[#This Row],[sku]])</f>
        <v>1</v>
      </c>
      <c r="AG112" cm="1">
        <f t="array" ref="AG112">SUM(SUMIFS(tblStock[qty_units],tblStock[sku],tblSKU[[#This Row],[sku]],tblStock[stock_type],{"Saleable","FOC"}))</f>
        <v>4857</v>
      </c>
      <c r="AH112" s="3">
        <f>SUMIFS(tblStock[value_nzd],tblStock[sku],tblSKU[[#This Row],[sku]])</f>
        <v>90923.04</v>
      </c>
      <c r="AI112" s="4">
        <f>SUMIFS(tblStock[cbm],tblStock[sku],tblSKU[[#This Row],[sku]])</f>
        <v>0.64840949999999997</v>
      </c>
      <c r="AJ112" s="1">
        <f>SUMIFS(tblStock[positions],tblStock[sku],tblSKU[[#This Row],[sku]])</f>
        <v>1</v>
      </c>
      <c r="AK112" s="3">
        <f>SUMIFS(tblStock[value_nzd],tblStock[sku],tblSKU[[#This Row],[sku]],tblStock[stock_type],"Expired")</f>
        <v>0</v>
      </c>
      <c r="AL112" s="3" cm="1">
        <f t="array" ref="AL112">SUM(SUMIFS(tblStock[value_nzd],tblStock[sku],tblSKU[[#This Row],[sku]],tblStock[stock_type],{"Saleable","FOC"},tblStock[expiry_date],"&lt;"&amp;EDATE(SnapshotDate,6)))</f>
        <v>0</v>
      </c>
    </row>
    <row r="113" spans="1:38">
      <c r="A113" s="1" t="s">
        <v>272</v>
      </c>
      <c r="B113" s="1" t="s">
        <v>273</v>
      </c>
      <c r="C113" s="1" t="s">
        <v>70</v>
      </c>
      <c r="D113" s="1" t="s">
        <v>37</v>
      </c>
      <c r="E113" s="1" t="s">
        <v>38</v>
      </c>
      <c r="F113" s="1" t="s">
        <v>39</v>
      </c>
      <c r="G113">
        <v>120</v>
      </c>
      <c r="H113">
        <v>40.299999999999997</v>
      </c>
      <c r="I113">
        <v>28.1</v>
      </c>
      <c r="J113">
        <v>23.6</v>
      </c>
      <c r="K113">
        <v>2.673E-2</v>
      </c>
      <c r="L113">
        <v>6.75</v>
      </c>
      <c r="M113">
        <v>3.27</v>
      </c>
      <c r="N113">
        <v>8</v>
      </c>
      <c r="O113">
        <v>5</v>
      </c>
      <c r="P113">
        <v>40</v>
      </c>
      <c r="Q113">
        <v>133</v>
      </c>
      <c r="R113">
        <v>295</v>
      </c>
      <c r="S113">
        <v>1.0691999999999999</v>
      </c>
      <c r="T113">
        <v>7</v>
      </c>
      <c r="U113">
        <v>513</v>
      </c>
      <c r="V113">
        <v>1677.51</v>
      </c>
      <c r="W113" s="1" t="s">
        <v>1262</v>
      </c>
      <c r="X113" s="1" t="s">
        <v>1262</v>
      </c>
      <c r="Y113">
        <v>8.2352941176470587E-2</v>
      </c>
      <c r="Z113">
        <v>6.2867647058823545E-3</v>
      </c>
      <c r="AA113" s="1" t="s">
        <v>1263</v>
      </c>
      <c r="AB113">
        <v>0</v>
      </c>
      <c r="AC113">
        <v>0</v>
      </c>
      <c r="AD113" s="1">
        <v>9.9103313840155938</v>
      </c>
      <c r="AE113">
        <v>2</v>
      </c>
      <c r="AF113">
        <f>COUNTIFS(tblStock[sku],tblSKU[[#This Row],[sku]])</f>
        <v>1</v>
      </c>
      <c r="AG113" cm="1">
        <f t="array" ref="AG113">SUM(SUMIFS(tblStock[qty_units],tblStock[sku],tblSKU[[#This Row],[sku]],tblStock[stock_type],{"Saleable","FOC"}))</f>
        <v>1271</v>
      </c>
      <c r="AH113" s="3">
        <f>SUMIFS(tblStock[value_nzd],tblStock[sku],tblSKU[[#This Row],[sku]])</f>
        <v>4156.17</v>
      </c>
      <c r="AI113" s="4">
        <f>SUMIFS(tblStock[cbm],tblStock[sku],tblSKU[[#This Row],[sku]])</f>
        <v>0.28311524999999998</v>
      </c>
      <c r="AJ113" s="1">
        <f>SUMIFS(tblStock[positions],tblStock[sku],tblSKU[[#This Row],[sku]])</f>
        <v>1</v>
      </c>
      <c r="AK113" s="3">
        <f>SUMIFS(tblStock[value_nzd],tblStock[sku],tblSKU[[#This Row],[sku]],tblStock[stock_type],"Expired")</f>
        <v>0</v>
      </c>
      <c r="AL113" s="3" cm="1">
        <f t="array" ref="AL113">SUM(SUMIFS(tblStock[value_nzd],tblStock[sku],tblSKU[[#This Row],[sku]],tblStock[stock_type],{"Saleable","FOC"},tblStock[expiry_date],"&lt;"&amp;EDATE(SnapshotDate,6)))</f>
        <v>0</v>
      </c>
    </row>
    <row r="114" spans="1:38">
      <c r="A114" s="1" t="s">
        <v>274</v>
      </c>
      <c r="B114" s="1" t="s">
        <v>275</v>
      </c>
      <c r="C114" s="1" t="s">
        <v>43</v>
      </c>
      <c r="D114" s="1" t="s">
        <v>37</v>
      </c>
      <c r="E114" s="1" t="s">
        <v>38</v>
      </c>
      <c r="F114" s="1" t="s">
        <v>39</v>
      </c>
      <c r="G114">
        <v>120</v>
      </c>
      <c r="H114">
        <v>57.7</v>
      </c>
      <c r="I114">
        <v>29.1</v>
      </c>
      <c r="J114">
        <v>19.7</v>
      </c>
      <c r="K114">
        <v>3.3079999999999998E-2</v>
      </c>
      <c r="L114">
        <v>8.25</v>
      </c>
      <c r="M114">
        <v>13.3</v>
      </c>
      <c r="N114">
        <v>6</v>
      </c>
      <c r="O114">
        <v>5</v>
      </c>
      <c r="P114">
        <v>30</v>
      </c>
      <c r="Q114">
        <v>113.5</v>
      </c>
      <c r="R114">
        <v>272.5</v>
      </c>
      <c r="S114">
        <v>0.99239999999999995</v>
      </c>
      <c r="T114">
        <v>4</v>
      </c>
      <c r="U114">
        <v>148</v>
      </c>
      <c r="V114">
        <v>1968.4</v>
      </c>
      <c r="W114" s="1" t="s">
        <v>1262</v>
      </c>
      <c r="X114" s="1" t="s">
        <v>1262</v>
      </c>
      <c r="Y114">
        <v>4.7058823529411764E-2</v>
      </c>
      <c r="Z114">
        <v>2.4183006535947716E-3</v>
      </c>
      <c r="AA114" s="1" t="s">
        <v>1263</v>
      </c>
      <c r="AB114">
        <v>0</v>
      </c>
      <c r="AC114">
        <v>0</v>
      </c>
      <c r="AD114" s="1">
        <v>8.4324324324324316</v>
      </c>
      <c r="AE114">
        <v>2</v>
      </c>
      <c r="AF114">
        <f>COUNTIFS(tblStock[sku],tblSKU[[#This Row],[sku]])</f>
        <v>1</v>
      </c>
      <c r="AG114" cm="1">
        <f t="array" ref="AG114">SUM(SUMIFS(tblStock[qty_units],tblStock[sku],tblSKU[[#This Row],[sku]],tblStock[stock_type],{"Saleable","FOC"}))</f>
        <v>312</v>
      </c>
      <c r="AH114" s="3">
        <f>SUMIFS(tblStock[value_nzd],tblStock[sku],tblSKU[[#This Row],[sku]])</f>
        <v>4149.6000000000004</v>
      </c>
      <c r="AI114" s="4">
        <f>SUMIFS(tblStock[cbm],tblStock[sku],tblSKU[[#This Row],[sku]])</f>
        <v>8.6008000000000001E-2</v>
      </c>
      <c r="AJ114" s="1">
        <f>SUMIFS(tblStock[positions],tblStock[sku],tblSKU[[#This Row],[sku]])</f>
        <v>0</v>
      </c>
      <c r="AK114" s="3">
        <f>SUMIFS(tblStock[value_nzd],tblStock[sku],tblSKU[[#This Row],[sku]],tblStock[stock_type],"Expired")</f>
        <v>0</v>
      </c>
      <c r="AL114" s="3" cm="1">
        <f t="array" ref="AL114">SUM(SUMIFS(tblStock[value_nzd],tblStock[sku],tblSKU[[#This Row],[sku]],tblStock[stock_type],{"Saleable","FOC"},tblStock[expiry_date],"&lt;"&amp;EDATE(SnapshotDate,6)))</f>
        <v>0</v>
      </c>
    </row>
    <row r="115" spans="1:38">
      <c r="A115" s="1" t="s">
        <v>276</v>
      </c>
      <c r="B115" s="1" t="s">
        <v>277</v>
      </c>
      <c r="C115" s="1" t="s">
        <v>36</v>
      </c>
      <c r="D115" s="1" t="s">
        <v>37</v>
      </c>
      <c r="E115" s="1" t="s">
        <v>38</v>
      </c>
      <c r="F115" s="1" t="s">
        <v>39</v>
      </c>
      <c r="G115">
        <v>240</v>
      </c>
      <c r="H115">
        <v>55.8</v>
      </c>
      <c r="I115">
        <v>44</v>
      </c>
      <c r="J115">
        <v>26.2</v>
      </c>
      <c r="K115">
        <v>6.4329999999999998E-2</v>
      </c>
      <c r="L115">
        <v>9.93</v>
      </c>
      <c r="M115">
        <v>15.46</v>
      </c>
      <c r="N115">
        <v>4</v>
      </c>
      <c r="O115">
        <v>5</v>
      </c>
      <c r="P115">
        <v>20</v>
      </c>
      <c r="Q115">
        <v>146</v>
      </c>
      <c r="R115">
        <v>223.6</v>
      </c>
      <c r="S115">
        <v>1.2866</v>
      </c>
      <c r="T115">
        <v>18</v>
      </c>
      <c r="U115">
        <v>2129</v>
      </c>
      <c r="V115">
        <v>32914.340000000004</v>
      </c>
      <c r="W115" s="1" t="s">
        <v>1262</v>
      </c>
      <c r="X115" s="1" t="s">
        <v>1258</v>
      </c>
      <c r="Y115">
        <v>0.21176470588235294</v>
      </c>
      <c r="Z115">
        <v>2.6090686274509806E-2</v>
      </c>
      <c r="AA115" s="1" t="s">
        <v>1263</v>
      </c>
      <c r="AB115">
        <v>0</v>
      </c>
      <c r="AC115">
        <v>0</v>
      </c>
      <c r="AD115" s="1">
        <v>4.1935180836073274</v>
      </c>
      <c r="AE115">
        <v>4</v>
      </c>
      <c r="AF115">
        <f>COUNTIFS(tblStock[sku],tblSKU[[#This Row],[sku]])</f>
        <v>2</v>
      </c>
      <c r="AG115" cm="1">
        <f t="array" ref="AG115">SUM(SUMIFS(tblStock[qty_units],tblStock[sku],tblSKU[[#This Row],[sku]],tblStock[stock_type],{"Saleable","FOC"}))</f>
        <v>2232</v>
      </c>
      <c r="AH115" s="3">
        <f>SUMIFS(tblStock[value_nzd],tblStock[sku],tblSKU[[#This Row],[sku]])</f>
        <v>34506.720000000001</v>
      </c>
      <c r="AI115" s="4">
        <f>SUMIFS(tblStock[cbm],tblStock[sku],tblSKU[[#This Row],[sku]])</f>
        <v>0.59826900000000005</v>
      </c>
      <c r="AJ115" s="1">
        <f>SUMIFS(tblStock[positions],tblStock[sku],tblSKU[[#This Row],[sku]])</f>
        <v>1</v>
      </c>
      <c r="AK115" s="3">
        <f>SUMIFS(tblStock[value_nzd],tblStock[sku],tblSKU[[#This Row],[sku]],tblStock[stock_type],"Expired")</f>
        <v>0</v>
      </c>
      <c r="AL115" s="3" cm="1">
        <f t="array" ref="AL115">SUM(SUMIFS(tblStock[value_nzd],tblStock[sku],tblSKU[[#This Row],[sku]],tblStock[stock_type],{"Saleable","FOC"},tblStock[expiry_date],"&lt;"&amp;EDATE(SnapshotDate,6)))</f>
        <v>0</v>
      </c>
    </row>
    <row r="116" spans="1:38">
      <c r="A116" s="1" t="s">
        <v>278</v>
      </c>
      <c r="B116" s="1" t="s">
        <v>279</v>
      </c>
      <c r="C116" s="1" t="s">
        <v>43</v>
      </c>
      <c r="D116" s="1" t="s">
        <v>37</v>
      </c>
      <c r="E116" s="1" t="s">
        <v>38</v>
      </c>
      <c r="F116" s="1" t="s">
        <v>39</v>
      </c>
      <c r="G116">
        <v>100</v>
      </c>
      <c r="H116">
        <v>50.7</v>
      </c>
      <c r="I116">
        <v>35.9</v>
      </c>
      <c r="J116">
        <v>21.1</v>
      </c>
      <c r="K116">
        <v>3.8399999999999997E-2</v>
      </c>
      <c r="L116">
        <v>6.55</v>
      </c>
      <c r="M116">
        <v>19.12</v>
      </c>
      <c r="N116">
        <v>4</v>
      </c>
      <c r="O116">
        <v>4</v>
      </c>
      <c r="P116">
        <v>16</v>
      </c>
      <c r="Q116">
        <v>99.4</v>
      </c>
      <c r="R116">
        <v>129.80000000000001</v>
      </c>
      <c r="S116">
        <v>0.61439999999999995</v>
      </c>
      <c r="T116">
        <v>23</v>
      </c>
      <c r="U116">
        <v>1134</v>
      </c>
      <c r="V116">
        <v>21682.080000000002</v>
      </c>
      <c r="W116" s="1" t="s">
        <v>1262</v>
      </c>
      <c r="X116" s="1" t="s">
        <v>1262</v>
      </c>
      <c r="Y116">
        <v>0.27058823529411763</v>
      </c>
      <c r="Z116">
        <v>4.1691176470588232E-2</v>
      </c>
      <c r="AA116" s="1" t="s">
        <v>1263</v>
      </c>
      <c r="AB116">
        <v>0</v>
      </c>
      <c r="AC116">
        <v>0</v>
      </c>
      <c r="AD116" s="1">
        <v>2.5784832451499118</v>
      </c>
      <c r="AE116">
        <v>2</v>
      </c>
      <c r="AF116">
        <f>COUNTIFS(tblStock[sku],tblSKU[[#This Row],[sku]])</f>
        <v>2</v>
      </c>
      <c r="AG116" cm="1">
        <f t="array" ref="AG116">SUM(SUMIFS(tblStock[qty_units],tblStock[sku],tblSKU[[#This Row],[sku]],tblStock[stock_type],{"Saleable","FOC"}))</f>
        <v>731</v>
      </c>
      <c r="AH116" s="3">
        <f>SUMIFS(tblStock[value_nzd],tblStock[sku],tblSKU[[#This Row],[sku]])</f>
        <v>13976.720000000001</v>
      </c>
      <c r="AI116" s="4">
        <f>SUMIFS(tblStock[cbm],tblStock[sku],tblSKU[[#This Row],[sku]])</f>
        <v>0.28070399999999995</v>
      </c>
      <c r="AJ116" s="1">
        <f>SUMIFS(tblStock[positions],tblStock[sku],tblSKU[[#This Row],[sku]])</f>
        <v>1</v>
      </c>
      <c r="AK116" s="3">
        <f>SUMIFS(tblStock[value_nzd],tblStock[sku],tblSKU[[#This Row],[sku]],tblStock[stock_type],"Expired")</f>
        <v>0</v>
      </c>
      <c r="AL116" s="3" cm="1">
        <f t="array" ref="AL116">SUM(SUMIFS(tblStock[value_nzd],tblStock[sku],tblSKU[[#This Row],[sku]],tblStock[stock_type],{"Saleable","FOC"},tblStock[expiry_date],"&lt;"&amp;EDATE(SnapshotDate,6)))</f>
        <v>0</v>
      </c>
    </row>
    <row r="117" spans="1:38">
      <c r="A117" s="1" t="s">
        <v>280</v>
      </c>
      <c r="B117" s="1" t="s">
        <v>281</v>
      </c>
      <c r="C117" s="1" t="s">
        <v>48</v>
      </c>
      <c r="D117" s="1" t="s">
        <v>37</v>
      </c>
      <c r="E117" s="1" t="s">
        <v>38</v>
      </c>
      <c r="F117" s="1" t="s">
        <v>39</v>
      </c>
      <c r="G117">
        <v>240</v>
      </c>
      <c r="H117">
        <v>51</v>
      </c>
      <c r="I117">
        <v>34.200000000000003</v>
      </c>
      <c r="J117">
        <v>23</v>
      </c>
      <c r="K117">
        <v>4.0120000000000003E-2</v>
      </c>
      <c r="L117">
        <v>8.74</v>
      </c>
      <c r="M117">
        <v>17.59</v>
      </c>
      <c r="N117">
        <v>4</v>
      </c>
      <c r="O117">
        <v>5</v>
      </c>
      <c r="P117">
        <v>20</v>
      </c>
      <c r="Q117">
        <v>130</v>
      </c>
      <c r="R117">
        <v>199.8</v>
      </c>
      <c r="S117">
        <v>0.8024</v>
      </c>
      <c r="T117">
        <v>448</v>
      </c>
      <c r="U117">
        <v>63749</v>
      </c>
      <c r="V117">
        <v>1121344.9099999999</v>
      </c>
      <c r="W117" s="1" t="s">
        <v>1264</v>
      </c>
      <c r="X117" s="1" t="s">
        <v>1264</v>
      </c>
      <c r="Y117">
        <v>5.2705882352941176</v>
      </c>
      <c r="Z117">
        <v>0.78123774509803923</v>
      </c>
      <c r="AA117" s="1" t="s">
        <v>1265</v>
      </c>
      <c r="AB117">
        <v>1</v>
      </c>
      <c r="AC117">
        <v>0</v>
      </c>
      <c r="AD117" s="1">
        <v>3.389355127139249</v>
      </c>
      <c r="AE117">
        <v>12</v>
      </c>
      <c r="AF117">
        <f>COUNTIFS(tblStock[sku],tblSKU[[#This Row],[sku]])</f>
        <v>1</v>
      </c>
      <c r="AG117" cm="1">
        <f t="array" ref="AG117">SUM(SUMIFS(tblStock[qty_units],tblStock[sku],tblSKU[[#This Row],[sku]],tblStock[stock_type],{"Saleable","FOC"}))</f>
        <v>54017</v>
      </c>
      <c r="AH117" s="3">
        <f>SUMIFS(tblStock[value_nzd],tblStock[sku],tblSKU[[#This Row],[sku]])</f>
        <v>950159.03</v>
      </c>
      <c r="AI117" s="4">
        <f>SUMIFS(tblStock[cbm],tblStock[sku],tblSKU[[#This Row],[sku]])</f>
        <v>9.0298418333333341</v>
      </c>
      <c r="AJ117" s="1">
        <f>SUMIFS(tblStock[positions],tblStock[sku],tblSKU[[#This Row],[sku]])</f>
        <v>12</v>
      </c>
      <c r="AK117" s="3">
        <f>SUMIFS(tblStock[value_nzd],tblStock[sku],tblSKU[[#This Row],[sku]],tblStock[stock_type],"Expired")</f>
        <v>0</v>
      </c>
      <c r="AL117" s="3" cm="1">
        <f t="array" ref="AL117">SUM(SUMIFS(tblStock[value_nzd],tblStock[sku],tblSKU[[#This Row],[sku]],tblStock[stock_type],{"Saleable","FOC"},tblStock[expiry_date],"&lt;"&amp;EDATE(SnapshotDate,6)))</f>
        <v>0</v>
      </c>
    </row>
    <row r="118" spans="1:38">
      <c r="A118" s="1" t="s">
        <v>282</v>
      </c>
      <c r="B118" s="1" t="s">
        <v>283</v>
      </c>
      <c r="C118" s="1" t="s">
        <v>43</v>
      </c>
      <c r="D118" s="1" t="s">
        <v>37</v>
      </c>
      <c r="E118" s="1" t="s">
        <v>38</v>
      </c>
      <c r="F118" s="1" t="s">
        <v>39</v>
      </c>
      <c r="G118">
        <v>180</v>
      </c>
      <c r="H118">
        <v>51</v>
      </c>
      <c r="I118">
        <v>44.6</v>
      </c>
      <c r="J118">
        <v>28.7</v>
      </c>
      <c r="K118">
        <v>6.5280000000000005E-2</v>
      </c>
      <c r="L118">
        <v>10.039999999999999</v>
      </c>
      <c r="M118">
        <v>12.43</v>
      </c>
      <c r="N118">
        <v>3</v>
      </c>
      <c r="O118">
        <v>3</v>
      </c>
      <c r="P118">
        <v>9</v>
      </c>
      <c r="Q118">
        <v>101.1</v>
      </c>
      <c r="R118">
        <v>115.35999999999999</v>
      </c>
      <c r="S118">
        <v>0.58752000000000004</v>
      </c>
      <c r="T118">
        <v>95</v>
      </c>
      <c r="U118">
        <v>10655</v>
      </c>
      <c r="V118">
        <v>132441.65</v>
      </c>
      <c r="W118" s="1" t="s">
        <v>1264</v>
      </c>
      <c r="X118" s="1" t="s">
        <v>1264</v>
      </c>
      <c r="Y118">
        <v>1.1176470588235294</v>
      </c>
      <c r="Z118">
        <v>0.38689179375453886</v>
      </c>
      <c r="AA118" s="1" t="s">
        <v>1265</v>
      </c>
      <c r="AB118">
        <v>1</v>
      </c>
      <c r="AC118">
        <v>0</v>
      </c>
      <c r="AD118" s="1">
        <v>4.8656968559361804</v>
      </c>
      <c r="AE118">
        <v>12</v>
      </c>
      <c r="AF118">
        <f>COUNTIFS(tblStock[sku],tblSKU[[#This Row],[sku]])</f>
        <v>3</v>
      </c>
      <c r="AG118" cm="1">
        <f t="array" ref="AG118">SUM(SUMIFS(tblStock[qty_units],tblStock[sku],tblSKU[[#This Row],[sku]],tblStock[stock_type],{"Saleable","FOC"}))</f>
        <v>12961</v>
      </c>
      <c r="AH118" s="3">
        <f>SUMIFS(tblStock[value_nzd],tblStock[sku],tblSKU[[#This Row],[sku]])</f>
        <v>173982.71000000002</v>
      </c>
      <c r="AI118" s="4">
        <f>SUMIFS(tblStock[cbm],tblStock[sku],tblSKU[[#This Row],[sku]])</f>
        <v>5.0762453333333335</v>
      </c>
      <c r="AJ118" s="1">
        <f>SUMIFS(tblStock[positions],tblStock[sku],tblSKU[[#This Row],[sku]])</f>
        <v>9</v>
      </c>
      <c r="AK118" s="3">
        <f>SUMIFS(tblStock[value_nzd],tblStock[sku],tblSKU[[#This Row],[sku]],tblStock[stock_type],"Expired")</f>
        <v>12877.48</v>
      </c>
      <c r="AL118" s="3" cm="1">
        <f t="array" ref="AL118">SUM(SUMIFS(tblStock[value_nzd],tblStock[sku],tblSKU[[#This Row],[sku]],tblStock[stock_type],{"Saleable","FOC"},tblStock[expiry_date],"&lt;"&amp;EDATE(SnapshotDate,6)))</f>
        <v>124474.02</v>
      </c>
    </row>
    <row r="119" spans="1:38">
      <c r="A119" s="1" t="s">
        <v>284</v>
      </c>
      <c r="B119" s="1" t="s">
        <v>285</v>
      </c>
      <c r="C119" s="1" t="s">
        <v>43</v>
      </c>
      <c r="D119" s="1" t="s">
        <v>37</v>
      </c>
      <c r="E119" s="1" t="s">
        <v>38</v>
      </c>
      <c r="F119" s="1" t="s">
        <v>39</v>
      </c>
      <c r="G119">
        <v>120</v>
      </c>
      <c r="H119">
        <v>39.200000000000003</v>
      </c>
      <c r="I119">
        <v>28.6</v>
      </c>
      <c r="J119">
        <v>15.9</v>
      </c>
      <c r="K119">
        <v>1.7829999999999999E-2</v>
      </c>
      <c r="L119">
        <v>5.18</v>
      </c>
      <c r="M119">
        <v>9.5299999999999994</v>
      </c>
      <c r="N119">
        <v>9</v>
      </c>
      <c r="O119">
        <v>4</v>
      </c>
      <c r="P119">
        <v>36</v>
      </c>
      <c r="Q119">
        <v>78.599999999999994</v>
      </c>
      <c r="R119">
        <v>211.48</v>
      </c>
      <c r="S119">
        <v>0.64188000000000001</v>
      </c>
      <c r="T119">
        <v>248</v>
      </c>
      <c r="U119">
        <v>18499</v>
      </c>
      <c r="V119">
        <v>176295.47</v>
      </c>
      <c r="W119" s="1" t="s">
        <v>1264</v>
      </c>
      <c r="X119" s="1" t="s">
        <v>1264</v>
      </c>
      <c r="Y119">
        <v>2.9176470588235293</v>
      </c>
      <c r="Z119">
        <v>0.2518927015250545</v>
      </c>
      <c r="AA119" s="1" t="s">
        <v>1265</v>
      </c>
      <c r="AB119">
        <v>1</v>
      </c>
      <c r="AC119">
        <v>0</v>
      </c>
      <c r="AD119" s="1">
        <v>3.9375101356830098</v>
      </c>
      <c r="AE119">
        <v>12</v>
      </c>
      <c r="AF119">
        <f>COUNTIFS(tblStock[sku],tblSKU[[#This Row],[sku]])</f>
        <v>3</v>
      </c>
      <c r="AG119" cm="1">
        <f t="array" ref="AG119">SUM(SUMIFS(tblStock[qty_units],tblStock[sku],tblSKU[[#This Row],[sku]],tblStock[stock_type],{"Saleable","FOC"}))</f>
        <v>18210</v>
      </c>
      <c r="AH119" s="3">
        <f>SUMIFS(tblStock[value_nzd],tblStock[sku],tblSKU[[#This Row],[sku]])</f>
        <v>190885.9</v>
      </c>
      <c r="AI119" s="4">
        <f>SUMIFS(tblStock[cbm],tblStock[sku],tblSKU[[#This Row],[sku]])</f>
        <v>2.9761241666666662</v>
      </c>
      <c r="AJ119" s="1">
        <f>SUMIFS(tblStock[positions],tblStock[sku],tblSKU[[#This Row],[sku]])</f>
        <v>5</v>
      </c>
      <c r="AK119" s="3">
        <f>SUMIFS(tblStock[value_nzd],tblStock[sku],tblSKU[[#This Row],[sku]],tblStock[stock_type],"Expired")</f>
        <v>13875.679999999998</v>
      </c>
      <c r="AL119" s="3" cm="1">
        <f t="array" ref="AL119">SUM(SUMIFS(tblStock[value_nzd],tblStock[sku],tblSKU[[#This Row],[sku]],tblStock[stock_type],{"Saleable","FOC"},tblStock[expiry_date],"&lt;"&amp;EDATE(SnapshotDate,6)))</f>
        <v>0</v>
      </c>
    </row>
    <row r="120" spans="1:38">
      <c r="A120" s="1" t="s">
        <v>286</v>
      </c>
      <c r="B120" s="1" t="s">
        <v>287</v>
      </c>
      <c r="C120" s="1" t="s">
        <v>70</v>
      </c>
      <c r="D120" s="1" t="s">
        <v>37</v>
      </c>
      <c r="E120" s="1" t="s">
        <v>38</v>
      </c>
      <c r="F120" s="1" t="s">
        <v>39</v>
      </c>
      <c r="G120">
        <v>100</v>
      </c>
      <c r="H120">
        <v>58.1</v>
      </c>
      <c r="I120">
        <v>27</v>
      </c>
      <c r="J120">
        <v>27.1</v>
      </c>
      <c r="K120">
        <v>4.2509999999999999E-2</v>
      </c>
      <c r="L120">
        <v>8.86</v>
      </c>
      <c r="M120">
        <v>17.3</v>
      </c>
      <c r="N120">
        <v>6</v>
      </c>
      <c r="O120">
        <v>4</v>
      </c>
      <c r="P120">
        <v>24</v>
      </c>
      <c r="Q120">
        <v>123.4</v>
      </c>
      <c r="R120">
        <v>237.64</v>
      </c>
      <c r="S120">
        <v>1.02024</v>
      </c>
      <c r="T120">
        <v>68</v>
      </c>
      <c r="U120">
        <v>5181</v>
      </c>
      <c r="V120">
        <v>89631.3</v>
      </c>
      <c r="W120" s="1" t="s">
        <v>1258</v>
      </c>
      <c r="X120" s="1" t="s">
        <v>1258</v>
      </c>
      <c r="Y120">
        <v>0.8</v>
      </c>
      <c r="Z120">
        <v>0.12698529411764706</v>
      </c>
      <c r="AA120" s="1" t="s">
        <v>1259</v>
      </c>
      <c r="AB120">
        <v>0</v>
      </c>
      <c r="AC120">
        <v>1</v>
      </c>
      <c r="AD120" s="1">
        <v>16.821463038023548</v>
      </c>
      <c r="AE120">
        <v>4</v>
      </c>
      <c r="AF120">
        <f>COUNTIFS(tblStock[sku],tblSKU[[#This Row],[sku]])</f>
        <v>1</v>
      </c>
      <c r="AG120" cm="1">
        <f t="array" ref="AG120">SUM(SUMIFS(tblStock[qty_units],tblStock[sku],tblSKU[[#This Row],[sku]],tblStock[stock_type],{"Saleable","FOC"}))</f>
        <v>21788</v>
      </c>
      <c r="AH120" s="3">
        <f>SUMIFS(tblStock[value_nzd],tblStock[sku],tblSKU[[#This Row],[sku]])</f>
        <v>376932.4</v>
      </c>
      <c r="AI120" s="4">
        <f>SUMIFS(tblStock[cbm],tblStock[sku],tblSKU[[#This Row],[sku]])</f>
        <v>9.2620787999999994</v>
      </c>
      <c r="AJ120" s="1">
        <f>SUMIFS(tblStock[positions],tblStock[sku],tblSKU[[#This Row],[sku]])</f>
        <v>10</v>
      </c>
      <c r="AK120" s="3">
        <f>SUMIFS(tblStock[value_nzd],tblStock[sku],tblSKU[[#This Row],[sku]],tblStock[stock_type],"Expired")</f>
        <v>0</v>
      </c>
      <c r="AL120" s="3" cm="1">
        <f t="array" ref="AL120">SUM(SUMIFS(tblStock[value_nzd],tblStock[sku],tblSKU[[#This Row],[sku]],tblStock[stock_type],{"Saleable","FOC"},tblStock[expiry_date],"&lt;"&amp;EDATE(SnapshotDate,6)))</f>
        <v>376932.4</v>
      </c>
    </row>
    <row r="121" spans="1:38">
      <c r="A121" s="1" t="s">
        <v>288</v>
      </c>
      <c r="B121" s="1" t="s">
        <v>289</v>
      </c>
      <c r="C121" s="1" t="s">
        <v>43</v>
      </c>
      <c r="D121" s="1" t="s">
        <v>37</v>
      </c>
      <c r="E121" s="1" t="s">
        <v>38</v>
      </c>
      <c r="F121" s="1" t="s">
        <v>39</v>
      </c>
      <c r="G121">
        <v>240</v>
      </c>
      <c r="H121">
        <v>36.299999999999997</v>
      </c>
      <c r="I121">
        <v>40.700000000000003</v>
      </c>
      <c r="J121">
        <v>25.7</v>
      </c>
      <c r="K121">
        <v>3.7969999999999997E-2</v>
      </c>
      <c r="L121">
        <v>6.46</v>
      </c>
      <c r="M121">
        <v>19.14</v>
      </c>
      <c r="N121">
        <v>6</v>
      </c>
      <c r="O121">
        <v>5</v>
      </c>
      <c r="P121">
        <v>30</v>
      </c>
      <c r="Q121">
        <v>143.5</v>
      </c>
      <c r="R121">
        <v>218.8</v>
      </c>
      <c r="S121">
        <v>1.1391</v>
      </c>
      <c r="T121">
        <v>92</v>
      </c>
      <c r="U121">
        <v>14143</v>
      </c>
      <c r="V121">
        <v>270697.02</v>
      </c>
      <c r="W121" s="1" t="s">
        <v>1264</v>
      </c>
      <c r="X121" s="1" t="s">
        <v>1264</v>
      </c>
      <c r="Y121">
        <v>1.0823529411764705</v>
      </c>
      <c r="Z121">
        <v>0.11554738562091503</v>
      </c>
      <c r="AA121" s="1" t="s">
        <v>1265</v>
      </c>
      <c r="AB121">
        <v>1</v>
      </c>
      <c r="AC121">
        <v>0</v>
      </c>
      <c r="AD121" s="1">
        <v>7.3831577458813546</v>
      </c>
      <c r="AE121">
        <v>12</v>
      </c>
      <c r="AF121">
        <f>COUNTIFS(tblStock[sku],tblSKU[[#This Row],[sku]])</f>
        <v>1</v>
      </c>
      <c r="AG121" cm="1">
        <f t="array" ref="AG121">SUM(SUMIFS(tblStock[qty_units],tblStock[sku],tblSKU[[#This Row],[sku]],tblStock[stock_type],{"Saleable","FOC"}))</f>
        <v>26105</v>
      </c>
      <c r="AH121" s="3">
        <f>SUMIFS(tblStock[value_nzd],tblStock[sku],tblSKU[[#This Row],[sku]])</f>
        <v>499649.7</v>
      </c>
      <c r="AI121" s="4">
        <f>SUMIFS(tblStock[cbm],tblStock[sku],tblSKU[[#This Row],[sku]])</f>
        <v>4.1300285416666664</v>
      </c>
      <c r="AJ121" s="1">
        <f>SUMIFS(tblStock[positions],tblStock[sku],tblSKU[[#This Row],[sku]])</f>
        <v>4</v>
      </c>
      <c r="AK121" s="3">
        <f>SUMIFS(tblStock[value_nzd],tblStock[sku],tblSKU[[#This Row],[sku]],tblStock[stock_type],"Expired")</f>
        <v>0</v>
      </c>
      <c r="AL121" s="3" cm="1">
        <f t="array" ref="AL121">SUM(SUMIFS(tblStock[value_nzd],tblStock[sku],tblSKU[[#This Row],[sku]],tblStock[stock_type],{"Saleable","FOC"},tblStock[expiry_date],"&lt;"&amp;EDATE(SnapshotDate,6)))</f>
        <v>0</v>
      </c>
    </row>
    <row r="122" spans="1:38">
      <c r="A122" s="1" t="s">
        <v>290</v>
      </c>
      <c r="B122" s="1" t="s">
        <v>291</v>
      </c>
      <c r="C122" s="1" t="s">
        <v>48</v>
      </c>
      <c r="D122" s="1" t="s">
        <v>37</v>
      </c>
      <c r="E122" s="1" t="s">
        <v>38</v>
      </c>
      <c r="F122" s="1" t="s">
        <v>39</v>
      </c>
      <c r="G122">
        <v>120</v>
      </c>
      <c r="H122">
        <v>42.1</v>
      </c>
      <c r="I122">
        <v>35.5</v>
      </c>
      <c r="J122">
        <v>27.2</v>
      </c>
      <c r="K122">
        <v>4.0649999999999999E-2</v>
      </c>
      <c r="L122">
        <v>10.050000000000001</v>
      </c>
      <c r="M122">
        <v>5.5</v>
      </c>
      <c r="N122">
        <v>6</v>
      </c>
      <c r="O122">
        <v>5</v>
      </c>
      <c r="P122">
        <v>30</v>
      </c>
      <c r="Q122">
        <v>151</v>
      </c>
      <c r="R122">
        <v>326.5</v>
      </c>
      <c r="S122">
        <v>1.2195</v>
      </c>
      <c r="T122">
        <v>24</v>
      </c>
      <c r="U122">
        <v>2409</v>
      </c>
      <c r="V122">
        <v>13249.5</v>
      </c>
      <c r="W122" s="1" t="s">
        <v>1262</v>
      </c>
      <c r="X122" s="1" t="s">
        <v>1262</v>
      </c>
      <c r="Y122">
        <v>0.28235294117647058</v>
      </c>
      <c r="Z122">
        <v>3.9362745098039213E-2</v>
      </c>
      <c r="AA122" s="1" t="s">
        <v>1263</v>
      </c>
      <c r="AB122">
        <v>0</v>
      </c>
      <c r="AC122">
        <v>0</v>
      </c>
      <c r="AD122" s="1">
        <v>7.9136571191365714</v>
      </c>
      <c r="AE122">
        <v>2</v>
      </c>
      <c r="AF122">
        <f>COUNTIFS(tblStock[sku],tblSKU[[#This Row],[sku]])</f>
        <v>5</v>
      </c>
      <c r="AG122" cm="1">
        <f t="array" ref="AG122">SUM(SUMIFS(tblStock[qty_units],tblStock[sku],tblSKU[[#This Row],[sku]],tblStock[stock_type],{"Saleable","FOC"}))</f>
        <v>4766</v>
      </c>
      <c r="AH122" s="3">
        <f>SUMIFS(tblStock[value_nzd],tblStock[sku],tblSKU[[#This Row],[sku]])</f>
        <v>26213</v>
      </c>
      <c r="AI122" s="4">
        <f>SUMIFS(tblStock[cbm],tblStock[sku],tblSKU[[#This Row],[sku]])</f>
        <v>1.6144825</v>
      </c>
      <c r="AJ122" s="1">
        <f>SUMIFS(tblStock[positions],tblStock[sku],tblSKU[[#This Row],[sku]])</f>
        <v>2</v>
      </c>
      <c r="AK122" s="3">
        <f>SUMIFS(tblStock[value_nzd],tblStock[sku],tblSKU[[#This Row],[sku]],tblStock[stock_type],"Expired")</f>
        <v>0</v>
      </c>
      <c r="AL122" s="3" cm="1">
        <f t="array" ref="AL122">SUM(SUMIFS(tblStock[value_nzd],tblStock[sku],tblSKU[[#This Row],[sku]],tblStock[stock_type],{"Saleable","FOC"},tblStock[expiry_date],"&lt;"&amp;EDATE(SnapshotDate,6)))</f>
        <v>0</v>
      </c>
    </row>
    <row r="123" spans="1:38">
      <c r="A123" s="1" t="s">
        <v>292</v>
      </c>
      <c r="B123" s="1" t="s">
        <v>293</v>
      </c>
      <c r="C123" s="1" t="s">
        <v>43</v>
      </c>
      <c r="D123" s="1" t="s">
        <v>37</v>
      </c>
      <c r="E123" s="1" t="s">
        <v>38</v>
      </c>
      <c r="F123" s="1" t="s">
        <v>39</v>
      </c>
      <c r="G123">
        <v>180</v>
      </c>
      <c r="H123">
        <v>41.1</v>
      </c>
      <c r="I123">
        <v>32.6</v>
      </c>
      <c r="J123">
        <v>29.1</v>
      </c>
      <c r="K123">
        <v>3.8989999999999997E-2</v>
      </c>
      <c r="L123">
        <v>10.49</v>
      </c>
      <c r="M123">
        <v>10.79</v>
      </c>
      <c r="N123">
        <v>5</v>
      </c>
      <c r="O123">
        <v>5</v>
      </c>
      <c r="P123">
        <v>25</v>
      </c>
      <c r="Q123">
        <v>160.5</v>
      </c>
      <c r="R123">
        <v>287.25</v>
      </c>
      <c r="S123">
        <v>0.97474999999999989</v>
      </c>
      <c r="T123">
        <v>90</v>
      </c>
      <c r="U123">
        <v>4905</v>
      </c>
      <c r="V123">
        <v>52924.95</v>
      </c>
      <c r="W123" s="1" t="s">
        <v>1264</v>
      </c>
      <c r="X123" s="1" t="s">
        <v>1258</v>
      </c>
      <c r="Y123">
        <v>1.0588235294117647</v>
      </c>
      <c r="Z123">
        <v>6.4117647058823529E-2</v>
      </c>
      <c r="AA123" s="1" t="s">
        <v>1265</v>
      </c>
      <c r="AB123">
        <v>1</v>
      </c>
      <c r="AC123">
        <v>0</v>
      </c>
      <c r="AD123" s="1">
        <v>6.1887869520897043</v>
      </c>
      <c r="AE123">
        <v>4</v>
      </c>
      <c r="AF123">
        <f>COUNTIFS(tblStock[sku],tblSKU[[#This Row],[sku]])</f>
        <v>3</v>
      </c>
      <c r="AG123" cm="1">
        <f t="array" ref="AG123">SUM(SUMIFS(tblStock[qty_units],tblStock[sku],tblSKU[[#This Row],[sku]],tblStock[stock_type],{"Saleable","FOC"}))</f>
        <v>7589</v>
      </c>
      <c r="AH123" s="3">
        <f>SUMIFS(tblStock[value_nzd],tblStock[sku],tblSKU[[#This Row],[sku]])</f>
        <v>88434.84</v>
      </c>
      <c r="AI123" s="4">
        <f>SUMIFS(tblStock[cbm],tblStock[sku],tblSKU[[#This Row],[sku]])</f>
        <v>1.7753446666666668</v>
      </c>
      <c r="AJ123" s="1">
        <f>SUMIFS(tblStock[positions],tblStock[sku],tblSKU[[#This Row],[sku]])</f>
        <v>2</v>
      </c>
      <c r="AK123" s="3">
        <f>SUMIFS(tblStock[value_nzd],tblStock[sku],tblSKU[[#This Row],[sku]],tblStock[stock_type],"Expired")</f>
        <v>6549.53</v>
      </c>
      <c r="AL123" s="3" cm="1">
        <f t="array" ref="AL123">SUM(SUMIFS(tblStock[value_nzd],tblStock[sku],tblSKU[[#This Row],[sku]],tblStock[stock_type],{"Saleable","FOC"},tblStock[expiry_date],"&lt;"&amp;EDATE(SnapshotDate,6)))</f>
        <v>0</v>
      </c>
    </row>
    <row r="124" spans="1:38">
      <c r="A124" s="1" t="s">
        <v>294</v>
      </c>
      <c r="B124" s="1" t="s">
        <v>295</v>
      </c>
      <c r="C124" s="1" t="s">
        <v>48</v>
      </c>
      <c r="D124" s="1" t="s">
        <v>37</v>
      </c>
      <c r="E124" s="1" t="s">
        <v>38</v>
      </c>
      <c r="F124" s="1" t="s">
        <v>39</v>
      </c>
      <c r="G124">
        <v>180</v>
      </c>
      <c r="H124">
        <v>39</v>
      </c>
      <c r="I124">
        <v>27.1</v>
      </c>
      <c r="J124">
        <v>16.7</v>
      </c>
      <c r="K124">
        <v>1.7649999999999999E-2</v>
      </c>
      <c r="L124">
        <v>4.41</v>
      </c>
      <c r="M124">
        <v>7.11</v>
      </c>
      <c r="N124">
        <v>9</v>
      </c>
      <c r="O124">
        <v>8</v>
      </c>
      <c r="P124">
        <v>72</v>
      </c>
      <c r="Q124">
        <v>148.6</v>
      </c>
      <c r="R124">
        <v>342.52</v>
      </c>
      <c r="S124">
        <v>1.2707999999999999</v>
      </c>
      <c r="T124">
        <v>8</v>
      </c>
      <c r="U124">
        <v>109</v>
      </c>
      <c r="V124">
        <v>774.99</v>
      </c>
      <c r="W124" s="1" t="s">
        <v>1262</v>
      </c>
      <c r="X124" s="1" t="s">
        <v>1262</v>
      </c>
      <c r="Y124">
        <v>9.4117647058823528E-2</v>
      </c>
      <c r="Z124">
        <v>4.947349310094408E-4</v>
      </c>
      <c r="AA124" s="1" t="s">
        <v>1263</v>
      </c>
      <c r="AB124">
        <v>0</v>
      </c>
      <c r="AC124">
        <v>0</v>
      </c>
      <c r="AD124" s="1">
        <v>5.6513761467889907</v>
      </c>
      <c r="AE124">
        <v>2</v>
      </c>
      <c r="AF124">
        <f>COUNTIFS(tblStock[sku],tblSKU[[#This Row],[sku]])</f>
        <v>3</v>
      </c>
      <c r="AG124" cm="1">
        <f t="array" ref="AG124">SUM(SUMIFS(tblStock[qty_units],tblStock[sku],tblSKU[[#This Row],[sku]],tblStock[stock_type],{"Saleable","FOC"}))</f>
        <v>154</v>
      </c>
      <c r="AH124" s="3">
        <f>SUMIFS(tblStock[value_nzd],tblStock[sku],tblSKU[[#This Row],[sku]])</f>
        <v>1094.94</v>
      </c>
      <c r="AI124" s="4">
        <f>SUMIFS(tblStock[cbm],tblStock[sku],tblSKU[[#This Row],[sku]])</f>
        <v>1.5100555555555553E-2</v>
      </c>
      <c r="AJ124" s="1">
        <f>SUMIFS(tblStock[positions],tblStock[sku],tblSKU[[#This Row],[sku]])</f>
        <v>0</v>
      </c>
      <c r="AK124" s="3">
        <f>SUMIFS(tblStock[value_nzd],tblStock[sku],tblSKU[[#This Row],[sku]],tblStock[stock_type],"Expired")</f>
        <v>0</v>
      </c>
      <c r="AL124" s="3" cm="1">
        <f t="array" ref="AL124">SUM(SUMIFS(tblStock[value_nzd],tblStock[sku],tblSKU[[#This Row],[sku]],tblStock[stock_type],{"Saleable","FOC"},tblStock[expiry_date],"&lt;"&amp;EDATE(SnapshotDate,6)))</f>
        <v>966.96</v>
      </c>
    </row>
    <row r="125" spans="1:38">
      <c r="A125" s="1" t="s">
        <v>296</v>
      </c>
      <c r="B125" s="1" t="s">
        <v>297</v>
      </c>
      <c r="C125" s="1" t="s">
        <v>48</v>
      </c>
      <c r="D125" s="1" t="s">
        <v>37</v>
      </c>
      <c r="E125" s="1" t="s">
        <v>38</v>
      </c>
      <c r="F125" s="1" t="s">
        <v>39</v>
      </c>
      <c r="G125">
        <v>240</v>
      </c>
      <c r="H125">
        <v>50.5</v>
      </c>
      <c r="I125">
        <v>25.3</v>
      </c>
      <c r="J125">
        <v>29.9</v>
      </c>
      <c r="K125">
        <v>3.8199999999999998E-2</v>
      </c>
      <c r="L125">
        <v>11.2</v>
      </c>
      <c r="M125">
        <v>24.75</v>
      </c>
      <c r="N125">
        <v>6</v>
      </c>
      <c r="O125">
        <v>5</v>
      </c>
      <c r="P125">
        <v>30</v>
      </c>
      <c r="Q125">
        <v>164.5</v>
      </c>
      <c r="R125">
        <v>361</v>
      </c>
      <c r="S125">
        <v>1.1459999999999999</v>
      </c>
      <c r="T125">
        <v>16</v>
      </c>
      <c r="U125">
        <v>2937</v>
      </c>
      <c r="V125">
        <v>72690.75</v>
      </c>
      <c r="W125" s="1" t="s">
        <v>1262</v>
      </c>
      <c r="X125" s="1" t="s">
        <v>1258</v>
      </c>
      <c r="Y125">
        <v>0.18823529411764706</v>
      </c>
      <c r="Z125">
        <v>2.3995098039215689E-2</v>
      </c>
      <c r="AA125" s="1" t="s">
        <v>1263</v>
      </c>
      <c r="AB125">
        <v>0</v>
      </c>
      <c r="AC125">
        <v>0</v>
      </c>
      <c r="AD125" s="1">
        <v>3.3217568947906027</v>
      </c>
      <c r="AE125">
        <v>4</v>
      </c>
      <c r="AF125">
        <f>COUNTIFS(tblStock[sku],tblSKU[[#This Row],[sku]])</f>
        <v>1</v>
      </c>
      <c r="AG125" cm="1">
        <f t="array" ref="AG125">SUM(SUMIFS(tblStock[qty_units],tblStock[sku],tblSKU[[#This Row],[sku]],tblStock[stock_type],{"Saleable","FOC"}))</f>
        <v>2439</v>
      </c>
      <c r="AH125" s="3">
        <f>SUMIFS(tblStock[value_nzd],tblStock[sku],tblSKU[[#This Row],[sku]])</f>
        <v>60365.25</v>
      </c>
      <c r="AI125" s="4">
        <f>SUMIFS(tblStock[cbm],tblStock[sku],tblSKU[[#This Row],[sku]])</f>
        <v>0.38820749999999998</v>
      </c>
      <c r="AJ125" s="1">
        <f>SUMIFS(tblStock[positions],tblStock[sku],tblSKU[[#This Row],[sku]])</f>
        <v>1</v>
      </c>
      <c r="AK125" s="3">
        <f>SUMIFS(tblStock[value_nzd],tblStock[sku],tblSKU[[#This Row],[sku]],tblStock[stock_type],"Expired")</f>
        <v>0</v>
      </c>
      <c r="AL125" s="3" cm="1">
        <f t="array" ref="AL125">SUM(SUMIFS(tblStock[value_nzd],tblStock[sku],tblSKU[[#This Row],[sku]],tblStock[stock_type],{"Saleable","FOC"},tblStock[expiry_date],"&lt;"&amp;EDATE(SnapshotDate,6)))</f>
        <v>0</v>
      </c>
    </row>
    <row r="126" spans="1:38">
      <c r="A126" s="1" t="s">
        <v>298</v>
      </c>
      <c r="B126" s="1" t="s">
        <v>299</v>
      </c>
      <c r="C126" s="1" t="s">
        <v>43</v>
      </c>
      <c r="D126" s="1" t="s">
        <v>37</v>
      </c>
      <c r="E126" s="1" t="s">
        <v>38</v>
      </c>
      <c r="F126" s="1" t="s">
        <v>39</v>
      </c>
      <c r="G126">
        <v>180</v>
      </c>
      <c r="H126">
        <v>46.7</v>
      </c>
      <c r="I126">
        <v>26.4</v>
      </c>
      <c r="J126">
        <v>16.2</v>
      </c>
      <c r="K126">
        <v>1.9970000000000002E-2</v>
      </c>
      <c r="L126">
        <v>5.65</v>
      </c>
      <c r="M126">
        <v>9.07</v>
      </c>
      <c r="N126">
        <v>8</v>
      </c>
      <c r="O126">
        <v>6</v>
      </c>
      <c r="P126">
        <v>48</v>
      </c>
      <c r="Q126">
        <v>112.19999999999999</v>
      </c>
      <c r="R126">
        <v>296.20000000000005</v>
      </c>
      <c r="S126">
        <v>0.95856000000000008</v>
      </c>
      <c r="T126">
        <v>0</v>
      </c>
      <c r="U126">
        <v>0</v>
      </c>
      <c r="V126">
        <v>0</v>
      </c>
      <c r="W126" s="1" t="s">
        <v>1260</v>
      </c>
      <c r="X126" s="1" t="s">
        <v>1260</v>
      </c>
      <c r="Y126">
        <v>0</v>
      </c>
      <c r="Z126">
        <v>0</v>
      </c>
      <c r="AA126" s="1" t="s">
        <v>1261</v>
      </c>
      <c r="AB126">
        <v>0</v>
      </c>
      <c r="AC126">
        <v>0</v>
      </c>
      <c r="AD126" s="1"/>
      <c r="AE126">
        <v>1</v>
      </c>
      <c r="AF126">
        <f>COUNTIFS(tblStock[sku],tblSKU[[#This Row],[sku]])</f>
        <v>4</v>
      </c>
      <c r="AG126" cm="1">
        <f t="array" ref="AG126">SUM(SUMIFS(tblStock[qty_units],tblStock[sku],tblSKU[[#This Row],[sku]],tblStock[stock_type],{"Saleable","FOC"}))</f>
        <v>538</v>
      </c>
      <c r="AH126" s="3">
        <f>SUMIFS(tblStock[value_nzd],tblStock[sku],tblSKU[[#This Row],[sku]])</f>
        <v>4879.66</v>
      </c>
      <c r="AI126" s="4">
        <f>SUMIFS(tblStock[cbm],tblStock[sku],tblSKU[[#This Row],[sku]])</f>
        <v>5.9688111111111115E-2</v>
      </c>
      <c r="AJ126" s="1">
        <f>SUMIFS(tblStock[positions],tblStock[sku],tblSKU[[#This Row],[sku]])</f>
        <v>0</v>
      </c>
      <c r="AK126" s="3">
        <f>SUMIFS(tblStock[value_nzd],tblStock[sku],tblSKU[[#This Row],[sku]],tblStock[stock_type],"Expired")</f>
        <v>0</v>
      </c>
      <c r="AL126" s="3" cm="1">
        <f t="array" ref="AL126">SUM(SUMIFS(tblStock[value_nzd],tblStock[sku],tblSKU[[#This Row],[sku]],tblStock[stock_type],{"Saleable","FOC"},tblStock[expiry_date],"&lt;"&amp;EDATE(SnapshotDate,6)))</f>
        <v>0</v>
      </c>
    </row>
    <row r="127" spans="1:38">
      <c r="A127" s="1" t="s">
        <v>300</v>
      </c>
      <c r="B127" s="1" t="s">
        <v>301</v>
      </c>
      <c r="C127" s="1" t="s">
        <v>48</v>
      </c>
      <c r="D127" s="1" t="s">
        <v>37</v>
      </c>
      <c r="E127" s="1" t="s">
        <v>38</v>
      </c>
      <c r="F127" s="1" t="s">
        <v>39</v>
      </c>
      <c r="G127">
        <v>100</v>
      </c>
      <c r="H127">
        <v>39.9</v>
      </c>
      <c r="I127">
        <v>41.6</v>
      </c>
      <c r="J127">
        <v>30.2</v>
      </c>
      <c r="K127">
        <v>5.0130000000000001E-2</v>
      </c>
      <c r="L127">
        <v>11.73</v>
      </c>
      <c r="M127">
        <v>18.63</v>
      </c>
      <c r="N127">
        <v>6</v>
      </c>
      <c r="O127">
        <v>2</v>
      </c>
      <c r="P127">
        <v>12</v>
      </c>
      <c r="Q127">
        <v>75.400000000000006</v>
      </c>
      <c r="R127">
        <v>165.76</v>
      </c>
      <c r="S127">
        <v>0.60155999999999998</v>
      </c>
      <c r="T127">
        <v>64</v>
      </c>
      <c r="U127">
        <v>3811</v>
      </c>
      <c r="V127">
        <v>70998.929999999993</v>
      </c>
      <c r="W127" s="1" t="s">
        <v>1258</v>
      </c>
      <c r="X127" s="1" t="s">
        <v>1258</v>
      </c>
      <c r="Y127">
        <v>0.75294117647058822</v>
      </c>
      <c r="Z127">
        <v>0.18681372549019606</v>
      </c>
      <c r="AA127" s="1" t="s">
        <v>1259</v>
      </c>
      <c r="AB127">
        <v>0</v>
      </c>
      <c r="AC127">
        <v>1</v>
      </c>
      <c r="AD127" s="1">
        <v>2.0488060876410392</v>
      </c>
      <c r="AE127">
        <v>4</v>
      </c>
      <c r="AF127">
        <f>COUNTIFS(tblStock[sku],tblSKU[[#This Row],[sku]])</f>
        <v>1</v>
      </c>
      <c r="AG127" cm="1">
        <f t="array" ref="AG127">SUM(SUMIFS(tblStock[qty_units],tblStock[sku],tblSKU[[#This Row],[sku]],tblStock[stock_type],{"Saleable","FOC"}))</f>
        <v>1952</v>
      </c>
      <c r="AH127" s="3">
        <f>SUMIFS(tblStock[value_nzd],tblStock[sku],tblSKU[[#This Row],[sku]])</f>
        <v>36365.759999999995</v>
      </c>
      <c r="AI127" s="4">
        <f>SUMIFS(tblStock[cbm],tblStock[sku],tblSKU[[#This Row],[sku]])</f>
        <v>0.97853760000000001</v>
      </c>
      <c r="AJ127" s="1">
        <f>SUMIFS(tblStock[positions],tblStock[sku],tblSKU[[#This Row],[sku]])</f>
        <v>2</v>
      </c>
      <c r="AK127" s="3">
        <f>SUMIFS(tblStock[value_nzd],tblStock[sku],tblSKU[[#This Row],[sku]],tblStock[stock_type],"Expired")</f>
        <v>0</v>
      </c>
      <c r="AL127" s="3" cm="1">
        <f t="array" ref="AL127">SUM(SUMIFS(tblStock[value_nzd],tblStock[sku],tblSKU[[#This Row],[sku]],tblStock[stock_type],{"Saleable","FOC"},tblStock[expiry_date],"&lt;"&amp;EDATE(SnapshotDate,6)))</f>
        <v>0</v>
      </c>
    </row>
    <row r="128" spans="1:38">
      <c r="A128" s="1" t="s">
        <v>302</v>
      </c>
      <c r="B128" s="1" t="s">
        <v>303</v>
      </c>
      <c r="C128" s="1" t="s">
        <v>70</v>
      </c>
      <c r="D128" s="1" t="s">
        <v>37</v>
      </c>
      <c r="E128" s="1" t="s">
        <v>38</v>
      </c>
      <c r="F128" s="1" t="s">
        <v>39</v>
      </c>
      <c r="G128">
        <v>120</v>
      </c>
      <c r="H128">
        <v>34</v>
      </c>
      <c r="I128">
        <v>40.1</v>
      </c>
      <c r="J128">
        <v>16.899999999999999</v>
      </c>
      <c r="K128">
        <v>2.3040000000000001E-2</v>
      </c>
      <c r="L128">
        <v>6.13</v>
      </c>
      <c r="M128">
        <v>11</v>
      </c>
      <c r="N128">
        <v>6</v>
      </c>
      <c r="O128">
        <v>5</v>
      </c>
      <c r="P128">
        <v>30</v>
      </c>
      <c r="Q128">
        <v>99.5</v>
      </c>
      <c r="R128">
        <v>208.9</v>
      </c>
      <c r="S128">
        <v>0.69120000000000004</v>
      </c>
      <c r="T128">
        <v>136</v>
      </c>
      <c r="U128">
        <v>9016</v>
      </c>
      <c r="V128">
        <v>99176</v>
      </c>
      <c r="W128" s="1" t="s">
        <v>1264</v>
      </c>
      <c r="X128" s="1" t="s">
        <v>1264</v>
      </c>
      <c r="Y128">
        <v>1.6</v>
      </c>
      <c r="Z128">
        <v>0.1473202614379085</v>
      </c>
      <c r="AA128" s="1" t="s">
        <v>1265</v>
      </c>
      <c r="AB128">
        <v>1</v>
      </c>
      <c r="AC128">
        <v>0</v>
      </c>
      <c r="AD128" s="1">
        <v>6.1588287488908611</v>
      </c>
      <c r="AE128">
        <v>12</v>
      </c>
      <c r="AF128">
        <f>COUNTIFS(tblStock[sku],tblSKU[[#This Row],[sku]])</f>
        <v>1</v>
      </c>
      <c r="AG128" cm="1">
        <f t="array" ref="AG128">SUM(SUMIFS(tblStock[qty_units],tblStock[sku],tblSKU[[#This Row],[sku]],tblStock[stock_type],{"Saleable","FOC"}))</f>
        <v>13882</v>
      </c>
      <c r="AH128" s="3">
        <f>SUMIFS(tblStock[value_nzd],tblStock[sku],tblSKU[[#This Row],[sku]])</f>
        <v>152702</v>
      </c>
      <c r="AI128" s="4">
        <f>SUMIFS(tblStock[cbm],tblStock[sku],tblSKU[[#This Row],[sku]])</f>
        <v>2.6653440000000002</v>
      </c>
      <c r="AJ128" s="1">
        <f>SUMIFS(tblStock[positions],tblStock[sku],tblSKU[[#This Row],[sku]])</f>
        <v>4</v>
      </c>
      <c r="AK128" s="3">
        <f>SUMIFS(tblStock[value_nzd],tblStock[sku],tblSKU[[#This Row],[sku]],tblStock[stock_type],"Expired")</f>
        <v>0</v>
      </c>
      <c r="AL128" s="3" cm="1">
        <f t="array" ref="AL128">SUM(SUMIFS(tblStock[value_nzd],tblStock[sku],tblSKU[[#This Row],[sku]],tblStock[stock_type],{"Saleable","FOC"},tblStock[expiry_date],"&lt;"&amp;EDATE(SnapshotDate,6)))</f>
        <v>0</v>
      </c>
    </row>
    <row r="129" spans="1:38">
      <c r="A129" s="1" t="s">
        <v>304</v>
      </c>
      <c r="B129" s="1" t="s">
        <v>305</v>
      </c>
      <c r="C129" s="1" t="s">
        <v>48</v>
      </c>
      <c r="D129" s="1" t="s">
        <v>37</v>
      </c>
      <c r="E129" s="1" t="s">
        <v>38</v>
      </c>
      <c r="F129" s="1" t="s">
        <v>39</v>
      </c>
      <c r="G129">
        <v>60</v>
      </c>
      <c r="H129">
        <v>37</v>
      </c>
      <c r="I129">
        <v>35.299999999999997</v>
      </c>
      <c r="J129">
        <v>18.8</v>
      </c>
      <c r="K129">
        <v>2.4549999999999999E-2</v>
      </c>
      <c r="L129">
        <v>6.52</v>
      </c>
      <c r="M129">
        <v>20.72</v>
      </c>
      <c r="N129">
        <v>6</v>
      </c>
      <c r="O129">
        <v>7</v>
      </c>
      <c r="P129">
        <v>42</v>
      </c>
      <c r="Q129">
        <v>146.6</v>
      </c>
      <c r="R129">
        <v>298.83999999999997</v>
      </c>
      <c r="S129">
        <v>1.0310999999999999</v>
      </c>
      <c r="T129">
        <v>110</v>
      </c>
      <c r="U129">
        <v>4606</v>
      </c>
      <c r="V129">
        <v>95436.319999999992</v>
      </c>
      <c r="W129" s="1" t="s">
        <v>1264</v>
      </c>
      <c r="X129" s="1" t="s">
        <v>1258</v>
      </c>
      <c r="Y129">
        <v>1.2941176470588236</v>
      </c>
      <c r="Z129">
        <v>0.10751633986928104</v>
      </c>
      <c r="AA129" s="1" t="s">
        <v>1265</v>
      </c>
      <c r="AB129">
        <v>1</v>
      </c>
      <c r="AC129">
        <v>0</v>
      </c>
      <c r="AD129" s="1">
        <v>4.257924446374294</v>
      </c>
      <c r="AE129">
        <v>4</v>
      </c>
      <c r="AF129">
        <f>COUNTIFS(tblStock[sku],tblSKU[[#This Row],[sku]])</f>
        <v>2</v>
      </c>
      <c r="AG129" cm="1">
        <f t="array" ref="AG129">SUM(SUMIFS(tblStock[qty_units],tblStock[sku],tblSKU[[#This Row],[sku]],tblStock[stock_type],{"Saleable","FOC"}))</f>
        <v>4903</v>
      </c>
      <c r="AH129" s="3">
        <f>SUMIFS(tblStock[value_nzd],tblStock[sku],tblSKU[[#This Row],[sku]])</f>
        <v>101590.15999999999</v>
      </c>
      <c r="AI129" s="4">
        <f>SUMIFS(tblStock[cbm],tblStock[sku],tblSKU[[#This Row],[sku]])</f>
        <v>2.0061441666666666</v>
      </c>
      <c r="AJ129" s="1">
        <f>SUMIFS(tblStock[positions],tblStock[sku],tblSKU[[#This Row],[sku]])</f>
        <v>3</v>
      </c>
      <c r="AK129" s="3">
        <f>SUMIFS(tblStock[value_nzd],tblStock[sku],tblSKU[[#This Row],[sku]],tblStock[stock_type],"Expired")</f>
        <v>0</v>
      </c>
      <c r="AL129" s="3" cm="1">
        <f t="array" ref="AL129">SUM(SUMIFS(tblStock[value_nzd],tblStock[sku],tblSKU[[#This Row],[sku]],tblStock[stock_type],{"Saleable","FOC"},tblStock[expiry_date],"&lt;"&amp;EDATE(SnapshotDate,6)))</f>
        <v>41212.079999999994</v>
      </c>
    </row>
    <row r="130" spans="1:38">
      <c r="A130" s="1" t="s">
        <v>306</v>
      </c>
      <c r="B130" s="1" t="s">
        <v>307</v>
      </c>
      <c r="C130" s="1" t="s">
        <v>52</v>
      </c>
      <c r="D130" s="1" t="s">
        <v>37</v>
      </c>
      <c r="E130" s="1" t="s">
        <v>38</v>
      </c>
      <c r="F130" s="1" t="s">
        <v>39</v>
      </c>
      <c r="G130">
        <v>60</v>
      </c>
      <c r="H130">
        <v>56.7</v>
      </c>
      <c r="I130">
        <v>34.700000000000003</v>
      </c>
      <c r="J130">
        <v>33.299999999999997</v>
      </c>
      <c r="K130">
        <v>6.5519999999999995E-2</v>
      </c>
      <c r="L130">
        <v>13.41</v>
      </c>
      <c r="M130">
        <v>19.149999999999999</v>
      </c>
      <c r="N130">
        <v>4</v>
      </c>
      <c r="O130">
        <v>3</v>
      </c>
      <c r="P130">
        <v>12</v>
      </c>
      <c r="Q130">
        <v>114.89999999999999</v>
      </c>
      <c r="R130">
        <v>185.92000000000002</v>
      </c>
      <c r="S130">
        <v>0.78623999999999994</v>
      </c>
      <c r="T130">
        <v>46</v>
      </c>
      <c r="U130">
        <v>2827</v>
      </c>
      <c r="V130">
        <v>54137.049999999996</v>
      </c>
      <c r="W130" s="1" t="s">
        <v>1258</v>
      </c>
      <c r="X130" s="1" t="s">
        <v>1258</v>
      </c>
      <c r="Y130">
        <v>0.54117647058823526</v>
      </c>
      <c r="Z130">
        <v>0.23096405228758168</v>
      </c>
      <c r="AA130" s="1" t="s">
        <v>1259</v>
      </c>
      <c r="AB130">
        <v>0</v>
      </c>
      <c r="AC130">
        <v>1</v>
      </c>
      <c r="AD130" s="1">
        <v>3.5146798726565263</v>
      </c>
      <c r="AE130">
        <v>4</v>
      </c>
      <c r="AF130">
        <f>COUNTIFS(tblStock[sku],tblSKU[[#This Row],[sku]])</f>
        <v>1</v>
      </c>
      <c r="AG130" cm="1">
        <f t="array" ref="AG130">SUM(SUMIFS(tblStock[qty_units],tblStock[sku],tblSKU[[#This Row],[sku]],tblStock[stock_type],{"Saleable","FOC"}))</f>
        <v>2484</v>
      </c>
      <c r="AH130" s="3">
        <f>SUMIFS(tblStock[value_nzd],tblStock[sku],tblSKU[[#This Row],[sku]])</f>
        <v>47568.6</v>
      </c>
      <c r="AI130" s="4">
        <f>SUMIFS(tblStock[cbm],tblStock[sku],tblSKU[[#This Row],[sku]])</f>
        <v>2.7125279999999998</v>
      </c>
      <c r="AJ130" s="1">
        <f>SUMIFS(tblStock[positions],tblStock[sku],tblSKU[[#This Row],[sku]])</f>
        <v>4</v>
      </c>
      <c r="AK130" s="3">
        <f>SUMIFS(tblStock[value_nzd],tblStock[sku],tblSKU[[#This Row],[sku]],tblStock[stock_type],"Expired")</f>
        <v>0</v>
      </c>
      <c r="AL130" s="3" cm="1">
        <f t="array" ref="AL130">SUM(SUMIFS(tblStock[value_nzd],tblStock[sku],tblSKU[[#This Row],[sku]],tblStock[stock_type],{"Saleable","FOC"},tblStock[expiry_date],"&lt;"&amp;EDATE(SnapshotDate,6)))</f>
        <v>0</v>
      </c>
    </row>
    <row r="131" spans="1:38">
      <c r="A131" s="1" t="s">
        <v>308</v>
      </c>
      <c r="B131" s="1" t="s">
        <v>309</v>
      </c>
      <c r="C131" s="1" t="s">
        <v>70</v>
      </c>
      <c r="D131" s="1" t="s">
        <v>37</v>
      </c>
      <c r="E131" s="1" t="s">
        <v>38</v>
      </c>
      <c r="F131" s="1" t="s">
        <v>39</v>
      </c>
      <c r="G131">
        <v>60</v>
      </c>
      <c r="H131">
        <v>46.8</v>
      </c>
      <c r="I131">
        <v>28.7</v>
      </c>
      <c r="J131">
        <v>32.200000000000003</v>
      </c>
      <c r="K131">
        <v>4.3249999999999997E-2</v>
      </c>
      <c r="L131">
        <v>11.81</v>
      </c>
      <c r="M131">
        <v>13.84</v>
      </c>
      <c r="N131">
        <v>8</v>
      </c>
      <c r="O131">
        <v>4</v>
      </c>
      <c r="P131">
        <v>32</v>
      </c>
      <c r="Q131">
        <v>143.80000000000001</v>
      </c>
      <c r="R131">
        <v>402.92</v>
      </c>
      <c r="S131">
        <v>1.3839999999999999</v>
      </c>
      <c r="T131">
        <v>22</v>
      </c>
      <c r="U131">
        <v>1548</v>
      </c>
      <c r="V131">
        <v>21424.32</v>
      </c>
      <c r="W131" s="1" t="s">
        <v>1262</v>
      </c>
      <c r="X131" s="1" t="s">
        <v>1262</v>
      </c>
      <c r="Y131">
        <v>0.25882352941176473</v>
      </c>
      <c r="Z131">
        <v>4.7426470588235292E-2</v>
      </c>
      <c r="AA131" s="1" t="s">
        <v>1263</v>
      </c>
      <c r="AB131">
        <v>0</v>
      </c>
      <c r="AC131">
        <v>0</v>
      </c>
      <c r="AD131" s="1">
        <v>2.8242894056847545</v>
      </c>
      <c r="AE131">
        <v>2</v>
      </c>
      <c r="AF131">
        <f>COUNTIFS(tblStock[sku],tblSKU[[#This Row],[sku]])</f>
        <v>2</v>
      </c>
      <c r="AG131" cm="1">
        <f t="array" ref="AG131">SUM(SUMIFS(tblStock[qty_units],tblStock[sku],tblSKU[[#This Row],[sku]],tblStock[stock_type],{"Saleable","FOC"}))</f>
        <v>1093</v>
      </c>
      <c r="AH131" s="3">
        <f>SUMIFS(tblStock[value_nzd],tblStock[sku],tblSKU[[#This Row],[sku]])</f>
        <v>15127.12</v>
      </c>
      <c r="AI131" s="4">
        <f>SUMIFS(tblStock[cbm],tblStock[sku],tblSKU[[#This Row],[sku]])</f>
        <v>0.7878708333333333</v>
      </c>
      <c r="AJ131" s="1">
        <f>SUMIFS(tblStock[positions],tblStock[sku],tblSKU[[#This Row],[sku]])</f>
        <v>1</v>
      </c>
      <c r="AK131" s="3">
        <f>SUMIFS(tblStock[value_nzd],tblStock[sku],tblSKU[[#This Row],[sku]],tblStock[stock_type],"Expired")</f>
        <v>0</v>
      </c>
      <c r="AL131" s="3" cm="1">
        <f t="array" ref="AL131">SUM(SUMIFS(tblStock[value_nzd],tblStock[sku],tblSKU[[#This Row],[sku]],tblStock[stock_type],{"Saleable","FOC"},tblStock[expiry_date],"&lt;"&amp;EDATE(SnapshotDate,6)))</f>
        <v>0</v>
      </c>
    </row>
    <row r="132" spans="1:38">
      <c r="A132" s="1" t="s">
        <v>310</v>
      </c>
      <c r="B132" s="1" t="s">
        <v>311</v>
      </c>
      <c r="C132" s="1" t="s">
        <v>67</v>
      </c>
      <c r="D132" s="1" t="s">
        <v>37</v>
      </c>
      <c r="E132" s="1" t="s">
        <v>38</v>
      </c>
      <c r="F132" s="1" t="s">
        <v>39</v>
      </c>
      <c r="G132">
        <v>120</v>
      </c>
      <c r="H132">
        <v>40.700000000000003</v>
      </c>
      <c r="I132">
        <v>35.5</v>
      </c>
      <c r="J132">
        <v>25.8</v>
      </c>
      <c r="K132">
        <v>3.7280000000000001E-2</v>
      </c>
      <c r="L132">
        <v>7.92</v>
      </c>
      <c r="M132">
        <v>4.57</v>
      </c>
      <c r="N132">
        <v>6</v>
      </c>
      <c r="O132">
        <v>4</v>
      </c>
      <c r="P132">
        <v>24</v>
      </c>
      <c r="Q132">
        <v>118.2</v>
      </c>
      <c r="R132">
        <v>215.07999999999998</v>
      </c>
      <c r="S132">
        <v>0.89471999999999996</v>
      </c>
      <c r="T132">
        <v>2</v>
      </c>
      <c r="U132">
        <v>128</v>
      </c>
      <c r="V132">
        <v>584.96</v>
      </c>
      <c r="W132" s="1" t="s">
        <v>1262</v>
      </c>
      <c r="X132" s="1" t="s">
        <v>1262</v>
      </c>
      <c r="Y132">
        <v>2.3529411764705882E-2</v>
      </c>
      <c r="Z132">
        <v>2.6143790849673201E-3</v>
      </c>
      <c r="AA132" s="1" t="s">
        <v>1263</v>
      </c>
      <c r="AB132">
        <v>0</v>
      </c>
      <c r="AC132">
        <v>0</v>
      </c>
      <c r="AD132" s="1">
        <v>6.5625</v>
      </c>
      <c r="AE132">
        <v>2</v>
      </c>
      <c r="AF132">
        <f>COUNTIFS(tblStock[sku],tblSKU[[#This Row],[sku]])</f>
        <v>2</v>
      </c>
      <c r="AG132" cm="1">
        <f t="array" ref="AG132">SUM(SUMIFS(tblStock[qty_units],tblStock[sku],tblSKU[[#This Row],[sku]],tblStock[stock_type],{"Saleable","FOC"}))</f>
        <v>210</v>
      </c>
      <c r="AH132" s="3">
        <f>SUMIFS(tblStock[value_nzd],tblStock[sku],tblSKU[[#This Row],[sku]])</f>
        <v>959.7</v>
      </c>
      <c r="AI132" s="4">
        <f>SUMIFS(tblStock[cbm],tblStock[sku],tblSKU[[#This Row],[sku]])</f>
        <v>6.5240000000000006E-2</v>
      </c>
      <c r="AJ132" s="1">
        <f>SUMIFS(tblStock[positions],tblStock[sku],tblSKU[[#This Row],[sku]])</f>
        <v>0</v>
      </c>
      <c r="AK132" s="3">
        <f>SUMIFS(tblStock[value_nzd],tblStock[sku],tblSKU[[#This Row],[sku]],tblStock[stock_type],"Expired")</f>
        <v>0</v>
      </c>
      <c r="AL132" s="3" cm="1">
        <f t="array" ref="AL132">SUM(SUMIFS(tblStock[value_nzd],tblStock[sku],tblSKU[[#This Row],[sku]],tblStock[stock_type],{"Saleable","FOC"},tblStock[expiry_date],"&lt;"&amp;EDATE(SnapshotDate,6)))</f>
        <v>0</v>
      </c>
    </row>
    <row r="133" spans="1:38">
      <c r="A133" s="1" t="s">
        <v>312</v>
      </c>
      <c r="B133" s="1" t="s">
        <v>313</v>
      </c>
      <c r="C133" s="1" t="s">
        <v>36</v>
      </c>
      <c r="D133" s="1" t="s">
        <v>37</v>
      </c>
      <c r="E133" s="1" t="s">
        <v>38</v>
      </c>
      <c r="F133" s="1" t="s">
        <v>39</v>
      </c>
      <c r="G133">
        <v>100</v>
      </c>
      <c r="H133">
        <v>40.6</v>
      </c>
      <c r="I133">
        <v>41.1</v>
      </c>
      <c r="J133">
        <v>23.1</v>
      </c>
      <c r="K133">
        <v>3.8550000000000001E-2</v>
      </c>
      <c r="L133">
        <v>9.3800000000000008</v>
      </c>
      <c r="M133">
        <v>3.69</v>
      </c>
      <c r="N133">
        <v>4</v>
      </c>
      <c r="O133">
        <v>3</v>
      </c>
      <c r="P133">
        <v>12</v>
      </c>
      <c r="Q133">
        <v>84.300000000000011</v>
      </c>
      <c r="R133">
        <v>137.56</v>
      </c>
      <c r="S133">
        <v>0.46260000000000001</v>
      </c>
      <c r="T133">
        <v>13</v>
      </c>
      <c r="U133">
        <v>484</v>
      </c>
      <c r="V133">
        <v>1785.96</v>
      </c>
      <c r="W133" s="1" t="s">
        <v>1262</v>
      </c>
      <c r="X133" s="1" t="s">
        <v>1262</v>
      </c>
      <c r="Y133">
        <v>0.15294117647058825</v>
      </c>
      <c r="Z133">
        <v>2.372549019607843E-2</v>
      </c>
      <c r="AA133" s="1" t="s">
        <v>1263</v>
      </c>
      <c r="AB133">
        <v>0</v>
      </c>
      <c r="AC133">
        <v>0</v>
      </c>
      <c r="AD133" s="1">
        <v>7.3471074380165291</v>
      </c>
      <c r="AE133">
        <v>2</v>
      </c>
      <c r="AF133">
        <f>COUNTIFS(tblStock[sku],tblSKU[[#This Row],[sku]])</f>
        <v>4</v>
      </c>
      <c r="AG133" cm="1">
        <f t="array" ref="AG133">SUM(SUMIFS(tblStock[qty_units],tblStock[sku],tblSKU[[#This Row],[sku]],tblStock[stock_type],{"Saleable","FOC"}))</f>
        <v>889</v>
      </c>
      <c r="AH133" s="3">
        <f>SUMIFS(tblStock[value_nzd],tblStock[sku],tblSKU[[#This Row],[sku]])</f>
        <v>3280.41</v>
      </c>
      <c r="AI133" s="4">
        <f>SUMIFS(tblStock[cbm],tblStock[sku],tblSKU[[#This Row],[sku]])</f>
        <v>0.3427095</v>
      </c>
      <c r="AJ133" s="1">
        <f>SUMIFS(tblStock[positions],tblStock[sku],tblSKU[[#This Row],[sku]])</f>
        <v>0</v>
      </c>
      <c r="AK133" s="3">
        <f>SUMIFS(tblStock[value_nzd],tblStock[sku],tblSKU[[#This Row],[sku]],tblStock[stock_type],"Expired")</f>
        <v>0</v>
      </c>
      <c r="AL133" s="3" cm="1">
        <f t="array" ref="AL133">SUM(SUMIFS(tblStock[value_nzd],tblStock[sku],tblSKU[[#This Row],[sku]],tblStock[stock_type],{"Saleable","FOC"},tblStock[expiry_date],"&lt;"&amp;EDATE(SnapshotDate,6)))</f>
        <v>0</v>
      </c>
    </row>
    <row r="134" spans="1:38">
      <c r="A134" s="1" t="s">
        <v>314</v>
      </c>
      <c r="B134" s="1" t="s">
        <v>315</v>
      </c>
      <c r="C134" s="1" t="s">
        <v>36</v>
      </c>
      <c r="D134" s="1" t="s">
        <v>37</v>
      </c>
      <c r="E134" s="1" t="s">
        <v>38</v>
      </c>
      <c r="F134" s="1" t="s">
        <v>39</v>
      </c>
      <c r="G134">
        <v>100</v>
      </c>
      <c r="H134">
        <v>34</v>
      </c>
      <c r="I134">
        <v>33.200000000000003</v>
      </c>
      <c r="J134">
        <v>33.299999999999997</v>
      </c>
      <c r="K134">
        <v>3.7589999999999998E-2</v>
      </c>
      <c r="L134">
        <v>5.89</v>
      </c>
      <c r="M134">
        <v>16.75</v>
      </c>
      <c r="N134">
        <v>9</v>
      </c>
      <c r="O134">
        <v>3</v>
      </c>
      <c r="P134">
        <v>27</v>
      </c>
      <c r="Q134">
        <v>114.89999999999999</v>
      </c>
      <c r="R134">
        <v>184.03</v>
      </c>
      <c r="S134">
        <v>1.0149299999999999</v>
      </c>
      <c r="T134">
        <v>22</v>
      </c>
      <c r="U134">
        <v>1720</v>
      </c>
      <c r="V134">
        <v>28810</v>
      </c>
      <c r="W134" s="1" t="s">
        <v>1262</v>
      </c>
      <c r="X134" s="1" t="s">
        <v>1258</v>
      </c>
      <c r="Y134">
        <v>0.25882352941176473</v>
      </c>
      <c r="Z134">
        <v>3.7472766884531591E-2</v>
      </c>
      <c r="AA134" s="1" t="s">
        <v>1263</v>
      </c>
      <c r="AB134">
        <v>0</v>
      </c>
      <c r="AC134">
        <v>0</v>
      </c>
      <c r="AD134" s="1">
        <v>4.5837209302325581</v>
      </c>
      <c r="AE134">
        <v>4</v>
      </c>
      <c r="AF134">
        <f>COUNTIFS(tblStock[sku],tblSKU[[#This Row],[sku]])</f>
        <v>2</v>
      </c>
      <c r="AG134" cm="1">
        <f t="array" ref="AG134">SUM(SUMIFS(tblStock[qty_units],tblStock[sku],tblSKU[[#This Row],[sku]],tblStock[stock_type],{"Saleable","FOC"}))</f>
        <v>1971</v>
      </c>
      <c r="AH134" s="3">
        <f>SUMIFS(tblStock[value_nzd],tblStock[sku],tblSKU[[#This Row],[sku]])</f>
        <v>33667.5</v>
      </c>
      <c r="AI134" s="4">
        <f>SUMIFS(tblStock[cbm],tblStock[sku],tblSKU[[#This Row],[sku]])</f>
        <v>0.75555899999999998</v>
      </c>
      <c r="AJ134" s="1">
        <f>SUMIFS(tblStock[positions],tblStock[sku],tblSKU[[#This Row],[sku]])</f>
        <v>1</v>
      </c>
      <c r="AK134" s="3">
        <f>SUMIFS(tblStock[value_nzd],tblStock[sku],tblSKU[[#This Row],[sku]],tblStock[stock_type],"Expired")</f>
        <v>0</v>
      </c>
      <c r="AL134" s="3" cm="1">
        <f t="array" ref="AL134">SUM(SUMIFS(tblStock[value_nzd],tblStock[sku],tblSKU[[#This Row],[sku]],tblStock[stock_type],{"Saleable","FOC"},tblStock[expiry_date],"&lt;"&amp;EDATE(SnapshotDate,6)))</f>
        <v>0</v>
      </c>
    </row>
    <row r="135" spans="1:38">
      <c r="A135" s="1" t="s">
        <v>316</v>
      </c>
      <c r="B135" s="1" t="s">
        <v>317</v>
      </c>
      <c r="C135" s="1" t="s">
        <v>48</v>
      </c>
      <c r="D135" s="1" t="s">
        <v>37</v>
      </c>
      <c r="E135" s="1" t="s">
        <v>38</v>
      </c>
      <c r="F135" s="1" t="s">
        <v>39</v>
      </c>
      <c r="G135">
        <v>100</v>
      </c>
      <c r="H135">
        <v>58.4</v>
      </c>
      <c r="I135">
        <v>37.799999999999997</v>
      </c>
      <c r="J135">
        <v>30.1</v>
      </c>
      <c r="K135">
        <v>6.6449999999999995E-2</v>
      </c>
      <c r="L135">
        <v>14.85</v>
      </c>
      <c r="M135">
        <v>18.34</v>
      </c>
      <c r="N135">
        <v>4</v>
      </c>
      <c r="O135">
        <v>2</v>
      </c>
      <c r="P135">
        <v>8</v>
      </c>
      <c r="Q135">
        <v>75.2</v>
      </c>
      <c r="R135">
        <v>143.80000000000001</v>
      </c>
      <c r="S135">
        <v>0.53159999999999996</v>
      </c>
      <c r="T135">
        <v>87</v>
      </c>
      <c r="U135">
        <v>7398</v>
      </c>
      <c r="V135">
        <v>135679.32</v>
      </c>
      <c r="W135" s="1" t="s">
        <v>1264</v>
      </c>
      <c r="X135" s="1" t="s">
        <v>1264</v>
      </c>
      <c r="Y135">
        <v>1.0235294117647058</v>
      </c>
      <c r="Z135">
        <v>0.54397058823529421</v>
      </c>
      <c r="AA135" s="1" t="s">
        <v>1265</v>
      </c>
      <c r="AB135">
        <v>1</v>
      </c>
      <c r="AC135">
        <v>0</v>
      </c>
      <c r="AD135" s="1">
        <v>2.2508786158421197</v>
      </c>
      <c r="AE135">
        <v>12</v>
      </c>
      <c r="AF135">
        <f>COUNTIFS(tblStock[sku],tblSKU[[#This Row],[sku]])</f>
        <v>1</v>
      </c>
      <c r="AG135" cm="1">
        <f t="array" ref="AG135">SUM(SUMIFS(tblStock[qty_units],tblStock[sku],tblSKU[[#This Row],[sku]],tblStock[stock_type],{"Saleable","FOC"}))</f>
        <v>4163</v>
      </c>
      <c r="AH135" s="3">
        <f>SUMIFS(tblStock[value_nzd],tblStock[sku],tblSKU[[#This Row],[sku]])</f>
        <v>76349.42</v>
      </c>
      <c r="AI135" s="4">
        <f>SUMIFS(tblStock[cbm],tblStock[sku],tblSKU[[#This Row],[sku]])</f>
        <v>2.7663134999999999</v>
      </c>
      <c r="AJ135" s="1">
        <f>SUMIFS(tblStock[positions],tblStock[sku],tblSKU[[#This Row],[sku]])</f>
        <v>6</v>
      </c>
      <c r="AK135" s="3">
        <f>SUMIFS(tblStock[value_nzd],tblStock[sku],tblSKU[[#This Row],[sku]],tblStock[stock_type],"Expired")</f>
        <v>0</v>
      </c>
      <c r="AL135" s="3" cm="1">
        <f t="array" ref="AL135">SUM(SUMIFS(tblStock[value_nzd],tblStock[sku],tblSKU[[#This Row],[sku]],tblStock[stock_type],{"Saleable","FOC"},tblStock[expiry_date],"&lt;"&amp;EDATE(SnapshotDate,6)))</f>
        <v>0</v>
      </c>
    </row>
    <row r="136" spans="1:38">
      <c r="A136" s="1" t="s">
        <v>318</v>
      </c>
      <c r="B136" s="1" t="s">
        <v>319</v>
      </c>
      <c r="C136" s="1" t="s">
        <v>48</v>
      </c>
      <c r="D136" s="1" t="s">
        <v>37</v>
      </c>
      <c r="E136" s="1" t="s">
        <v>38</v>
      </c>
      <c r="F136" s="1" t="s">
        <v>39</v>
      </c>
      <c r="G136">
        <v>180</v>
      </c>
      <c r="H136">
        <v>37.799999999999997</v>
      </c>
      <c r="I136">
        <v>39.1</v>
      </c>
      <c r="J136">
        <v>19.7</v>
      </c>
      <c r="K136">
        <v>2.912E-2</v>
      </c>
      <c r="L136">
        <v>5.31</v>
      </c>
      <c r="M136">
        <v>15.9</v>
      </c>
      <c r="N136">
        <v>6</v>
      </c>
      <c r="O136">
        <v>3</v>
      </c>
      <c r="P136">
        <v>18</v>
      </c>
      <c r="Q136">
        <v>74.099999999999994</v>
      </c>
      <c r="R136">
        <v>120.58</v>
      </c>
      <c r="S136">
        <v>0.52415999999999996</v>
      </c>
      <c r="T136">
        <v>230</v>
      </c>
      <c r="U136">
        <v>24182</v>
      </c>
      <c r="V136">
        <v>384493.8</v>
      </c>
      <c r="W136" s="1" t="s">
        <v>1264</v>
      </c>
      <c r="X136" s="1" t="s">
        <v>1264</v>
      </c>
      <c r="Y136">
        <v>2.7058823529411766</v>
      </c>
      <c r="Z136">
        <v>0.43903413217138704</v>
      </c>
      <c r="AA136" s="1" t="s">
        <v>1265</v>
      </c>
      <c r="AB136">
        <v>1</v>
      </c>
      <c r="AC136">
        <v>0</v>
      </c>
      <c r="AD136" s="1">
        <v>3.350756761227359</v>
      </c>
      <c r="AE136">
        <v>12</v>
      </c>
      <c r="AF136">
        <f>COUNTIFS(tblStock[sku],tblSKU[[#This Row],[sku]])</f>
        <v>3</v>
      </c>
      <c r="AG136" cm="1">
        <f t="array" ref="AG136">SUM(SUMIFS(tblStock[qty_units],tblStock[sku],tblSKU[[#This Row],[sku]],tblStock[stock_type],{"Saleable","FOC"}))</f>
        <v>20257</v>
      </c>
      <c r="AH136" s="3">
        <f>SUMIFS(tblStock[value_nzd],tblStock[sku],tblSKU[[#This Row],[sku]])</f>
        <v>322086.3</v>
      </c>
      <c r="AI136" s="4">
        <f>SUMIFS(tblStock[cbm],tblStock[sku],tblSKU[[#This Row],[sku]])</f>
        <v>3.2771324444444443</v>
      </c>
      <c r="AJ136" s="1">
        <f>SUMIFS(tblStock[positions],tblStock[sku],tblSKU[[#This Row],[sku]])</f>
        <v>7</v>
      </c>
      <c r="AK136" s="3">
        <f>SUMIFS(tblStock[value_nzd],tblStock[sku],tblSKU[[#This Row],[sku]],tblStock[stock_type],"Expired")</f>
        <v>0</v>
      </c>
      <c r="AL136" s="3" cm="1">
        <f t="array" ref="AL136">SUM(SUMIFS(tblStock[value_nzd],tblStock[sku],tblSKU[[#This Row],[sku]],tblStock[stock_type],{"Saleable","FOC"},tblStock[expiry_date],"&lt;"&amp;EDATE(SnapshotDate,6)))</f>
        <v>32038.5</v>
      </c>
    </row>
    <row r="137" spans="1:38">
      <c r="A137" s="1" t="s">
        <v>320</v>
      </c>
      <c r="B137" s="1" t="s">
        <v>321</v>
      </c>
      <c r="C137" s="1" t="s">
        <v>70</v>
      </c>
      <c r="D137" s="1" t="s">
        <v>37</v>
      </c>
      <c r="E137" s="1" t="s">
        <v>38</v>
      </c>
      <c r="F137" s="1" t="s">
        <v>39</v>
      </c>
      <c r="G137">
        <v>120</v>
      </c>
      <c r="H137">
        <v>49.4</v>
      </c>
      <c r="I137">
        <v>29.6</v>
      </c>
      <c r="J137">
        <v>30.4</v>
      </c>
      <c r="K137">
        <v>4.4450000000000003E-2</v>
      </c>
      <c r="L137">
        <v>12.44</v>
      </c>
      <c r="M137">
        <v>23.77</v>
      </c>
      <c r="N137">
        <v>8</v>
      </c>
      <c r="O137">
        <v>3</v>
      </c>
      <c r="P137">
        <v>24</v>
      </c>
      <c r="Q137">
        <v>106.19999999999999</v>
      </c>
      <c r="R137">
        <v>323.56</v>
      </c>
      <c r="S137">
        <v>1.0668000000000002</v>
      </c>
      <c r="T137">
        <v>152</v>
      </c>
      <c r="U137">
        <v>9691</v>
      </c>
      <c r="V137">
        <v>230355.07</v>
      </c>
      <c r="W137" s="1" t="s">
        <v>1264</v>
      </c>
      <c r="X137" s="1" t="s">
        <v>1264</v>
      </c>
      <c r="Y137">
        <v>1.7882352941176471</v>
      </c>
      <c r="Z137">
        <v>0.19793709150326799</v>
      </c>
      <c r="AA137" s="1" t="s">
        <v>1265</v>
      </c>
      <c r="AB137">
        <v>1</v>
      </c>
      <c r="AC137">
        <v>0</v>
      </c>
      <c r="AD137" s="1">
        <v>3.9236404911773812</v>
      </c>
      <c r="AE137">
        <v>12</v>
      </c>
      <c r="AF137">
        <f>COUNTIFS(tblStock[sku],tblSKU[[#This Row],[sku]])</f>
        <v>2</v>
      </c>
      <c r="AG137" cm="1">
        <f t="array" ref="AG137">SUM(SUMIFS(tblStock[qty_units],tblStock[sku],tblSKU[[#This Row],[sku]],tblStock[stock_type],{"Saleable","FOC"}))</f>
        <v>9506</v>
      </c>
      <c r="AH137" s="3">
        <f>SUMIFS(tblStock[value_nzd],tblStock[sku],tblSKU[[#This Row],[sku]])</f>
        <v>225957.62</v>
      </c>
      <c r="AI137" s="4">
        <f>SUMIFS(tblStock[cbm],tblStock[sku],tblSKU[[#This Row],[sku]])</f>
        <v>3.5211808333333336</v>
      </c>
      <c r="AJ137" s="1">
        <f>SUMIFS(tblStock[positions],tblStock[sku],tblSKU[[#This Row],[sku]])</f>
        <v>4</v>
      </c>
      <c r="AK137" s="3">
        <f>SUMIFS(tblStock[value_nzd],tblStock[sku],tblSKU[[#This Row],[sku]],tblStock[stock_type],"Expired")</f>
        <v>0</v>
      </c>
      <c r="AL137" s="3" cm="1">
        <f t="array" ref="AL137">SUM(SUMIFS(tblStock[value_nzd],tblStock[sku],tblSKU[[#This Row],[sku]],tblStock[stock_type],{"Saleable","FOC"},tblStock[expiry_date],"&lt;"&amp;EDATE(SnapshotDate,6)))</f>
        <v>0</v>
      </c>
    </row>
    <row r="138" spans="1:38">
      <c r="A138" s="1" t="s">
        <v>322</v>
      </c>
      <c r="B138" s="1" t="s">
        <v>323</v>
      </c>
      <c r="C138" s="1" t="s">
        <v>67</v>
      </c>
      <c r="D138" s="1" t="s">
        <v>37</v>
      </c>
      <c r="E138" s="1" t="s">
        <v>38</v>
      </c>
      <c r="F138" s="1" t="s">
        <v>39</v>
      </c>
      <c r="G138">
        <v>60</v>
      </c>
      <c r="H138">
        <v>57.7</v>
      </c>
      <c r="I138">
        <v>43.1</v>
      </c>
      <c r="J138">
        <v>34.700000000000003</v>
      </c>
      <c r="K138">
        <v>8.6290000000000006E-2</v>
      </c>
      <c r="L138">
        <v>24.99</v>
      </c>
      <c r="M138">
        <v>9.19</v>
      </c>
      <c r="N138">
        <v>3</v>
      </c>
      <c r="O138">
        <v>4</v>
      </c>
      <c r="P138">
        <v>12</v>
      </c>
      <c r="Q138">
        <v>153.80000000000001</v>
      </c>
      <c r="R138">
        <v>324.88</v>
      </c>
      <c r="S138">
        <v>1.0354800000000002</v>
      </c>
      <c r="T138">
        <v>6</v>
      </c>
      <c r="U138">
        <v>72</v>
      </c>
      <c r="V138">
        <v>661.68</v>
      </c>
      <c r="W138" s="1" t="s">
        <v>1262</v>
      </c>
      <c r="X138" s="1" t="s">
        <v>1262</v>
      </c>
      <c r="Y138">
        <v>7.0588235294117646E-2</v>
      </c>
      <c r="Z138">
        <v>5.8823529411764705E-3</v>
      </c>
      <c r="AA138" s="1" t="s">
        <v>1263</v>
      </c>
      <c r="AB138">
        <v>0</v>
      </c>
      <c r="AC138">
        <v>0</v>
      </c>
      <c r="AD138" s="1">
        <v>25.611111111111111</v>
      </c>
      <c r="AE138">
        <v>2</v>
      </c>
      <c r="AF138">
        <f>COUNTIFS(tblStock[sku],tblSKU[[#This Row],[sku]])</f>
        <v>4</v>
      </c>
      <c r="AG138" cm="1">
        <f t="array" ref="AG138">SUM(SUMIFS(tblStock[qty_units],tblStock[sku],tblSKU[[#This Row],[sku]],tblStock[stock_type],{"Saleable","FOC"}))</f>
        <v>461</v>
      </c>
      <c r="AH138" s="3">
        <f>SUMIFS(tblStock[value_nzd],tblStock[sku],tblSKU[[#This Row],[sku]])</f>
        <v>4236.59</v>
      </c>
      <c r="AI138" s="4">
        <f>SUMIFS(tblStock[cbm],tblStock[sku],tblSKU[[#This Row],[sku]])</f>
        <v>0.66299483333333331</v>
      </c>
      <c r="AJ138" s="1">
        <f>SUMIFS(tblStock[positions],tblStock[sku],tblSKU[[#This Row],[sku]])</f>
        <v>0</v>
      </c>
      <c r="AK138" s="3">
        <f>SUMIFS(tblStock[value_nzd],tblStock[sku],tblSKU[[#This Row],[sku]],tblStock[stock_type],"Expired")</f>
        <v>0</v>
      </c>
      <c r="AL138" s="3" cm="1">
        <f t="array" ref="AL138">SUM(SUMIFS(tblStock[value_nzd],tblStock[sku],tblSKU[[#This Row],[sku]],tblStock[stock_type],{"Saleable","FOC"},tblStock[expiry_date],"&lt;"&amp;EDATE(SnapshotDate,6)))</f>
        <v>937.38</v>
      </c>
    </row>
    <row r="139" spans="1:38">
      <c r="A139" s="1" t="s">
        <v>324</v>
      </c>
      <c r="B139" s="1" t="s">
        <v>325</v>
      </c>
      <c r="C139" s="1" t="s">
        <v>48</v>
      </c>
      <c r="D139" s="1" t="s">
        <v>37</v>
      </c>
      <c r="E139" s="1" t="s">
        <v>38</v>
      </c>
      <c r="F139" s="1" t="s">
        <v>39</v>
      </c>
      <c r="G139">
        <v>60</v>
      </c>
      <c r="H139">
        <v>56</v>
      </c>
      <c r="I139">
        <v>44.9</v>
      </c>
      <c r="J139">
        <v>27.4</v>
      </c>
      <c r="K139">
        <v>6.8890000000000007E-2</v>
      </c>
      <c r="L139">
        <v>19.07</v>
      </c>
      <c r="M139">
        <v>5.92</v>
      </c>
      <c r="N139">
        <v>4</v>
      </c>
      <c r="O139">
        <v>5</v>
      </c>
      <c r="P139">
        <v>20</v>
      </c>
      <c r="Q139">
        <v>152</v>
      </c>
      <c r="R139">
        <v>406.4</v>
      </c>
      <c r="S139">
        <v>1.3778000000000001</v>
      </c>
      <c r="T139">
        <v>21</v>
      </c>
      <c r="U139">
        <v>1314</v>
      </c>
      <c r="V139">
        <v>7778.88</v>
      </c>
      <c r="W139" s="1" t="s">
        <v>1262</v>
      </c>
      <c r="X139" s="1" t="s">
        <v>1262</v>
      </c>
      <c r="Y139">
        <v>0.24705882352941178</v>
      </c>
      <c r="Z139">
        <v>6.4411764705882349E-2</v>
      </c>
      <c r="AA139" s="1" t="s">
        <v>1263</v>
      </c>
      <c r="AB139">
        <v>0</v>
      </c>
      <c r="AC139">
        <v>0</v>
      </c>
      <c r="AD139" s="1">
        <v>1.7503805175038052</v>
      </c>
      <c r="AE139">
        <v>2</v>
      </c>
      <c r="AF139">
        <f>COUNTIFS(tblStock[sku],tblSKU[[#This Row],[sku]])</f>
        <v>1</v>
      </c>
      <c r="AG139" cm="1">
        <f t="array" ref="AG139">SUM(SUMIFS(tblStock[qty_units],tblStock[sku],tblSKU[[#This Row],[sku]],tblStock[stock_type],{"Saleable","FOC"}))</f>
        <v>575</v>
      </c>
      <c r="AH139" s="3">
        <f>SUMIFS(tblStock[value_nzd],tblStock[sku],tblSKU[[#This Row],[sku]])</f>
        <v>3404</v>
      </c>
      <c r="AI139" s="4">
        <f>SUMIFS(tblStock[cbm],tblStock[sku],tblSKU[[#This Row],[sku]])</f>
        <v>0.66019583333333343</v>
      </c>
      <c r="AJ139" s="1">
        <f>SUMIFS(tblStock[positions],tblStock[sku],tblSKU[[#This Row],[sku]])</f>
        <v>1</v>
      </c>
      <c r="AK139" s="3">
        <f>SUMIFS(tblStock[value_nzd],tblStock[sku],tblSKU[[#This Row],[sku]],tblStock[stock_type],"Expired")</f>
        <v>0</v>
      </c>
      <c r="AL139" s="3" cm="1">
        <f t="array" ref="AL139">SUM(SUMIFS(tblStock[value_nzd],tblStock[sku],tblSKU[[#This Row],[sku]],tblStock[stock_type],{"Saleable","FOC"},tblStock[expiry_date],"&lt;"&amp;EDATE(SnapshotDate,6)))</f>
        <v>0</v>
      </c>
    </row>
    <row r="140" spans="1:38">
      <c r="A140" s="1" t="s">
        <v>326</v>
      </c>
      <c r="B140" s="1" t="s">
        <v>327</v>
      </c>
      <c r="C140" s="1" t="s">
        <v>48</v>
      </c>
      <c r="D140" s="1" t="s">
        <v>37</v>
      </c>
      <c r="E140" s="1" t="s">
        <v>38</v>
      </c>
      <c r="F140" s="1" t="s">
        <v>39</v>
      </c>
      <c r="G140">
        <v>240</v>
      </c>
      <c r="H140">
        <v>56.3</v>
      </c>
      <c r="I140">
        <v>39.4</v>
      </c>
      <c r="J140">
        <v>33.5</v>
      </c>
      <c r="K140">
        <v>7.4310000000000001E-2</v>
      </c>
      <c r="L140">
        <v>19.239999999999998</v>
      </c>
      <c r="M140">
        <v>23.41</v>
      </c>
      <c r="N140">
        <v>4</v>
      </c>
      <c r="O140">
        <v>3</v>
      </c>
      <c r="P140">
        <v>12</v>
      </c>
      <c r="Q140">
        <v>115.5</v>
      </c>
      <c r="R140">
        <v>255.88</v>
      </c>
      <c r="S140">
        <v>0.89172000000000007</v>
      </c>
      <c r="T140">
        <v>4</v>
      </c>
      <c r="U140">
        <v>131</v>
      </c>
      <c r="V140">
        <v>3066.71</v>
      </c>
      <c r="W140" s="1" t="s">
        <v>1262</v>
      </c>
      <c r="X140" s="1" t="s">
        <v>1262</v>
      </c>
      <c r="Y140">
        <v>4.7058823529411764E-2</v>
      </c>
      <c r="Z140">
        <v>2.6756535947712414E-3</v>
      </c>
      <c r="AA140" s="1" t="s">
        <v>1263</v>
      </c>
      <c r="AB140">
        <v>0</v>
      </c>
      <c r="AC140">
        <v>0</v>
      </c>
      <c r="AD140" s="1">
        <v>3.9389312977099236</v>
      </c>
      <c r="AE140">
        <v>2</v>
      </c>
      <c r="AF140">
        <f>COUNTIFS(tblStock[sku],tblSKU[[#This Row],[sku]])</f>
        <v>2</v>
      </c>
      <c r="AG140" cm="1">
        <f t="array" ref="AG140">SUM(SUMIFS(tblStock[qty_units],tblStock[sku],tblSKU[[#This Row],[sku]],tblStock[stock_type],{"Saleable","FOC"}))</f>
        <v>129</v>
      </c>
      <c r="AH140" s="3">
        <f>SUMIFS(tblStock[value_nzd],tblStock[sku],tblSKU[[#This Row],[sku]])</f>
        <v>3019.89</v>
      </c>
      <c r="AI140" s="4">
        <f>SUMIFS(tblStock[cbm],tblStock[sku],tblSKU[[#This Row],[sku]])</f>
        <v>3.9941624999999994E-2</v>
      </c>
      <c r="AJ140" s="1">
        <f>SUMIFS(tblStock[positions],tblStock[sku],tblSKU[[#This Row],[sku]])</f>
        <v>0</v>
      </c>
      <c r="AK140" s="3">
        <f>SUMIFS(tblStock[value_nzd],tblStock[sku],tblSKU[[#This Row],[sku]],tblStock[stock_type],"Expired")</f>
        <v>0</v>
      </c>
      <c r="AL140" s="3" cm="1">
        <f t="array" ref="AL140">SUM(SUMIFS(tblStock[value_nzd],tblStock[sku],tblSKU[[#This Row],[sku]],tblStock[stock_type],{"Saleable","FOC"},tblStock[expiry_date],"&lt;"&amp;EDATE(SnapshotDate,6)))</f>
        <v>140.46</v>
      </c>
    </row>
    <row r="141" spans="1:38">
      <c r="A141" s="1" t="s">
        <v>328</v>
      </c>
      <c r="B141" s="1" t="s">
        <v>329</v>
      </c>
      <c r="C141" s="1" t="s">
        <v>70</v>
      </c>
      <c r="D141" s="1" t="s">
        <v>37</v>
      </c>
      <c r="E141" s="1" t="s">
        <v>38</v>
      </c>
      <c r="F141" s="1" t="s">
        <v>39</v>
      </c>
      <c r="G141">
        <v>60</v>
      </c>
      <c r="H141">
        <v>46.6</v>
      </c>
      <c r="I141">
        <v>28</v>
      </c>
      <c r="J141">
        <v>34.200000000000003</v>
      </c>
      <c r="K141">
        <v>4.462E-2</v>
      </c>
      <c r="L141">
        <v>12.85</v>
      </c>
      <c r="M141">
        <v>21.01</v>
      </c>
      <c r="N141">
        <v>8</v>
      </c>
      <c r="O141">
        <v>3</v>
      </c>
      <c r="P141">
        <v>24</v>
      </c>
      <c r="Q141">
        <v>117.60000000000001</v>
      </c>
      <c r="R141">
        <v>333.4</v>
      </c>
      <c r="S141">
        <v>1.0708800000000001</v>
      </c>
      <c r="T141">
        <v>2</v>
      </c>
      <c r="U141">
        <v>7</v>
      </c>
      <c r="V141">
        <v>147.07000000000002</v>
      </c>
      <c r="W141" s="1" t="s">
        <v>1262</v>
      </c>
      <c r="X141" s="1" t="s">
        <v>1262</v>
      </c>
      <c r="Y141">
        <v>2.3529411764705882E-2</v>
      </c>
      <c r="Z141">
        <v>2.8594771241830067E-4</v>
      </c>
      <c r="AA141" s="1" t="s">
        <v>1263</v>
      </c>
      <c r="AB141">
        <v>0</v>
      </c>
      <c r="AC141">
        <v>0</v>
      </c>
      <c r="AD141" s="1">
        <v>11.428571428571429</v>
      </c>
      <c r="AE141">
        <v>2</v>
      </c>
      <c r="AF141">
        <f>COUNTIFS(tblStock[sku],tblSKU[[#This Row],[sku]])</f>
        <v>1</v>
      </c>
      <c r="AG141" cm="1">
        <f t="array" ref="AG141">SUM(SUMIFS(tblStock[qty_units],tblStock[sku],tblSKU[[#This Row],[sku]],tblStock[stock_type],{"Saleable","FOC"}))</f>
        <v>20</v>
      </c>
      <c r="AH141" s="3">
        <f>SUMIFS(tblStock[value_nzd],tblStock[sku],tblSKU[[#This Row],[sku]])</f>
        <v>420.20000000000005</v>
      </c>
      <c r="AI141" s="4">
        <f>SUMIFS(tblStock[cbm],tblStock[sku],tblSKU[[#This Row],[sku]])</f>
        <v>1.4873333333333332E-2</v>
      </c>
      <c r="AJ141" s="1">
        <f>SUMIFS(tblStock[positions],tblStock[sku],tblSKU[[#This Row],[sku]])</f>
        <v>0</v>
      </c>
      <c r="AK141" s="3">
        <f>SUMIFS(tblStock[value_nzd],tblStock[sku],tblSKU[[#This Row],[sku]],tblStock[stock_type],"Expired")</f>
        <v>0</v>
      </c>
      <c r="AL141" s="3" cm="1">
        <f t="array" ref="AL141">SUM(SUMIFS(tblStock[value_nzd],tblStock[sku],tblSKU[[#This Row],[sku]],tblStock[stock_type],{"Saleable","FOC"},tblStock[expiry_date],"&lt;"&amp;EDATE(SnapshotDate,6)))</f>
        <v>0</v>
      </c>
    </row>
    <row r="142" spans="1:38">
      <c r="A142" s="1" t="s">
        <v>330</v>
      </c>
      <c r="B142" s="1" t="s">
        <v>331</v>
      </c>
      <c r="C142" s="1" t="s">
        <v>70</v>
      </c>
      <c r="D142" s="1" t="s">
        <v>37</v>
      </c>
      <c r="E142" s="1" t="s">
        <v>38</v>
      </c>
      <c r="F142" s="1" t="s">
        <v>39</v>
      </c>
      <c r="G142">
        <v>120</v>
      </c>
      <c r="H142">
        <v>58.2</v>
      </c>
      <c r="I142">
        <v>37.9</v>
      </c>
      <c r="J142">
        <v>19.399999999999999</v>
      </c>
      <c r="K142">
        <v>4.2790000000000002E-2</v>
      </c>
      <c r="L142">
        <v>6.51</v>
      </c>
      <c r="M142">
        <v>7.92</v>
      </c>
      <c r="N142">
        <v>4</v>
      </c>
      <c r="O142">
        <v>6</v>
      </c>
      <c r="P142">
        <v>24</v>
      </c>
      <c r="Q142">
        <v>131.39999999999998</v>
      </c>
      <c r="R142">
        <v>181.24</v>
      </c>
      <c r="S142">
        <v>1.0269600000000001</v>
      </c>
      <c r="T142">
        <v>6</v>
      </c>
      <c r="U142">
        <v>224</v>
      </c>
      <c r="V142">
        <v>1774.08</v>
      </c>
      <c r="W142" s="1" t="s">
        <v>1262</v>
      </c>
      <c r="X142" s="1" t="s">
        <v>1262</v>
      </c>
      <c r="Y142">
        <v>7.0588235294117646E-2</v>
      </c>
      <c r="Z142">
        <v>4.5751633986928107E-3</v>
      </c>
      <c r="AA142" s="1" t="s">
        <v>1263</v>
      </c>
      <c r="AB142">
        <v>0</v>
      </c>
      <c r="AC142">
        <v>0</v>
      </c>
      <c r="AD142" s="1">
        <v>7.8392857142857144</v>
      </c>
      <c r="AE142">
        <v>2</v>
      </c>
      <c r="AF142">
        <f>COUNTIFS(tblStock[sku],tblSKU[[#This Row],[sku]])</f>
        <v>4</v>
      </c>
      <c r="AG142" cm="1">
        <f t="array" ref="AG142">SUM(SUMIFS(tblStock[qty_units],tblStock[sku],tblSKU[[#This Row],[sku]],tblStock[stock_type],{"Saleable","FOC"}))</f>
        <v>439</v>
      </c>
      <c r="AH142" s="3">
        <f>SUMIFS(tblStock[value_nzd],tblStock[sku],tblSKU[[#This Row],[sku]])</f>
        <v>3579.84</v>
      </c>
      <c r="AI142" s="4">
        <f>SUMIFS(tblStock[cbm],tblStock[sku],tblSKU[[#This Row],[sku]])</f>
        <v>0.16117566666666663</v>
      </c>
      <c r="AJ142" s="1">
        <f>SUMIFS(tblStock[positions],tblStock[sku],tblSKU[[#This Row],[sku]])</f>
        <v>0</v>
      </c>
      <c r="AK142" s="3">
        <f>SUMIFS(tblStock[value_nzd],tblStock[sku],tblSKU[[#This Row],[sku]],tblStock[stock_type],"Expired")</f>
        <v>0</v>
      </c>
      <c r="AL142" s="3" cm="1">
        <f t="array" ref="AL142">SUM(SUMIFS(tblStock[value_nzd],tblStock[sku],tblSKU[[#This Row],[sku]],tblStock[stock_type],{"Saleable","FOC"},tblStock[expiry_date],"&lt;"&amp;EDATE(SnapshotDate,6)))</f>
        <v>0</v>
      </c>
    </row>
    <row r="143" spans="1:38">
      <c r="A143" s="1" t="s">
        <v>332</v>
      </c>
      <c r="B143" s="1" t="s">
        <v>333</v>
      </c>
      <c r="C143" s="1" t="s">
        <v>48</v>
      </c>
      <c r="D143" s="1" t="s">
        <v>37</v>
      </c>
      <c r="E143" s="1" t="s">
        <v>38</v>
      </c>
      <c r="F143" s="1" t="s">
        <v>39</v>
      </c>
      <c r="G143">
        <v>120</v>
      </c>
      <c r="H143">
        <v>38.1</v>
      </c>
      <c r="I143">
        <v>26.8</v>
      </c>
      <c r="J143">
        <v>22.6</v>
      </c>
      <c r="K143">
        <v>2.308E-2</v>
      </c>
      <c r="L143">
        <v>5.26</v>
      </c>
      <c r="M143">
        <v>12.44</v>
      </c>
      <c r="N143">
        <v>9</v>
      </c>
      <c r="O143">
        <v>5</v>
      </c>
      <c r="P143">
        <v>45</v>
      </c>
      <c r="Q143">
        <v>128</v>
      </c>
      <c r="R143">
        <v>261.7</v>
      </c>
      <c r="S143">
        <v>1.0386</v>
      </c>
      <c r="T143">
        <v>14</v>
      </c>
      <c r="U143">
        <v>2728</v>
      </c>
      <c r="V143">
        <v>33936.32</v>
      </c>
      <c r="W143" s="1" t="s">
        <v>1262</v>
      </c>
      <c r="X143" s="1" t="s">
        <v>1258</v>
      </c>
      <c r="Y143">
        <v>0.16470588235294117</v>
      </c>
      <c r="Z143">
        <v>2.9716775599128543E-2</v>
      </c>
      <c r="AA143" s="1" t="s">
        <v>1263</v>
      </c>
      <c r="AB143">
        <v>0</v>
      </c>
      <c r="AC143">
        <v>0</v>
      </c>
      <c r="AD143" s="1">
        <v>4.9266862170087977</v>
      </c>
      <c r="AE143">
        <v>4</v>
      </c>
      <c r="AF143">
        <f>COUNTIFS(tblStock[sku],tblSKU[[#This Row],[sku]])</f>
        <v>1</v>
      </c>
      <c r="AG143" cm="1">
        <f t="array" ref="AG143">SUM(SUMIFS(tblStock[qty_units],tblStock[sku],tblSKU[[#This Row],[sku]],tblStock[stock_type],{"Saleable","FOC"}))</f>
        <v>3360</v>
      </c>
      <c r="AH143" s="3">
        <f>SUMIFS(tblStock[value_nzd],tblStock[sku],tblSKU[[#This Row],[sku]])</f>
        <v>41798.400000000001</v>
      </c>
      <c r="AI143" s="4">
        <f>SUMIFS(tblStock[cbm],tblStock[sku],tblSKU[[#This Row],[sku]])</f>
        <v>0.64624000000000004</v>
      </c>
      <c r="AJ143" s="1">
        <f>SUMIFS(tblStock[positions],tblStock[sku],tblSKU[[#This Row],[sku]])</f>
        <v>1</v>
      </c>
      <c r="AK143" s="3">
        <f>SUMIFS(tblStock[value_nzd],tblStock[sku],tblSKU[[#This Row],[sku]],tblStock[stock_type],"Expired")</f>
        <v>0</v>
      </c>
      <c r="AL143" s="3" cm="1">
        <f t="array" ref="AL143">SUM(SUMIFS(tblStock[value_nzd],tblStock[sku],tblSKU[[#This Row],[sku]],tblStock[stock_type],{"Saleable","FOC"},tblStock[expiry_date],"&lt;"&amp;EDATE(SnapshotDate,6)))</f>
        <v>0</v>
      </c>
    </row>
    <row r="144" spans="1:38">
      <c r="A144" s="1" t="s">
        <v>334</v>
      </c>
      <c r="B144" s="1" t="s">
        <v>335</v>
      </c>
      <c r="C144" s="1" t="s">
        <v>43</v>
      </c>
      <c r="D144" s="1" t="s">
        <v>37</v>
      </c>
      <c r="E144" s="1" t="s">
        <v>38</v>
      </c>
      <c r="F144" s="1" t="s">
        <v>39</v>
      </c>
      <c r="G144">
        <v>100</v>
      </c>
      <c r="H144">
        <v>34.4</v>
      </c>
      <c r="I144">
        <v>29.7</v>
      </c>
      <c r="J144">
        <v>21.4</v>
      </c>
      <c r="K144">
        <v>2.1860000000000001E-2</v>
      </c>
      <c r="L144">
        <v>4.04</v>
      </c>
      <c r="M144">
        <v>7.87</v>
      </c>
      <c r="N144">
        <v>9</v>
      </c>
      <c r="O144">
        <v>4</v>
      </c>
      <c r="P144">
        <v>36</v>
      </c>
      <c r="Q144">
        <v>100.6</v>
      </c>
      <c r="R144">
        <v>170.44</v>
      </c>
      <c r="S144">
        <v>0.78695999999999999</v>
      </c>
      <c r="T144">
        <v>4</v>
      </c>
      <c r="U144">
        <v>93</v>
      </c>
      <c r="V144">
        <v>731.91</v>
      </c>
      <c r="W144" s="1" t="s">
        <v>1262</v>
      </c>
      <c r="X144" s="1" t="s">
        <v>1262</v>
      </c>
      <c r="Y144">
        <v>4.7058823529411764E-2</v>
      </c>
      <c r="Z144">
        <v>1.5196078431372548E-3</v>
      </c>
      <c r="AA144" s="1" t="s">
        <v>1263</v>
      </c>
      <c r="AB144">
        <v>0</v>
      </c>
      <c r="AC144">
        <v>0</v>
      </c>
      <c r="AD144" s="1">
        <v>36</v>
      </c>
      <c r="AE144">
        <v>2</v>
      </c>
      <c r="AF144">
        <f>COUNTIFS(tblStock[sku],tblSKU[[#This Row],[sku]])</f>
        <v>1</v>
      </c>
      <c r="AG144" cm="1">
        <f t="array" ref="AG144">SUM(SUMIFS(tblStock[qty_units],tblStock[sku],tblSKU[[#This Row],[sku]],tblStock[stock_type],{"Saleable","FOC"}))</f>
        <v>837</v>
      </c>
      <c r="AH144" s="3">
        <f>SUMIFS(tblStock[value_nzd],tblStock[sku],tblSKU[[#This Row],[sku]])</f>
        <v>6587.1900000000005</v>
      </c>
      <c r="AI144" s="4">
        <f>SUMIFS(tblStock[cbm],tblStock[sku],tblSKU[[#This Row],[sku]])</f>
        <v>0.1829682</v>
      </c>
      <c r="AJ144" s="1">
        <f>SUMIFS(tblStock[positions],tblStock[sku],tblSKU[[#This Row],[sku]])</f>
        <v>0</v>
      </c>
      <c r="AK144" s="3">
        <f>SUMIFS(tblStock[value_nzd],tblStock[sku],tblSKU[[#This Row],[sku]],tblStock[stock_type],"Expired")</f>
        <v>0</v>
      </c>
      <c r="AL144" s="3" cm="1">
        <f t="array" ref="AL144">SUM(SUMIFS(tblStock[value_nzd],tblStock[sku],tblSKU[[#This Row],[sku]],tblStock[stock_type],{"Saleable","FOC"},tblStock[expiry_date],"&lt;"&amp;EDATE(SnapshotDate,6)))</f>
        <v>0</v>
      </c>
    </row>
    <row r="145" spans="1:38">
      <c r="A145" s="1" t="s">
        <v>336</v>
      </c>
      <c r="B145" s="1" t="s">
        <v>337</v>
      </c>
      <c r="C145" s="1" t="s">
        <v>52</v>
      </c>
      <c r="D145" s="1" t="s">
        <v>37</v>
      </c>
      <c r="E145" s="1" t="s">
        <v>38</v>
      </c>
      <c r="F145" s="1" t="s">
        <v>39</v>
      </c>
      <c r="G145">
        <v>240</v>
      </c>
      <c r="H145">
        <v>31.9</v>
      </c>
      <c r="I145">
        <v>42.2</v>
      </c>
      <c r="J145">
        <v>27.5</v>
      </c>
      <c r="K145">
        <v>3.7019999999999997E-2</v>
      </c>
      <c r="L145">
        <v>10.56</v>
      </c>
      <c r="M145">
        <v>9.25</v>
      </c>
      <c r="N145">
        <v>6</v>
      </c>
      <c r="O145">
        <v>4</v>
      </c>
      <c r="P145">
        <v>24</v>
      </c>
      <c r="Q145">
        <v>125</v>
      </c>
      <c r="R145">
        <v>278.44</v>
      </c>
      <c r="S145">
        <v>0.88847999999999994</v>
      </c>
      <c r="T145">
        <v>331</v>
      </c>
      <c r="U145">
        <v>36991</v>
      </c>
      <c r="V145">
        <v>342166.75</v>
      </c>
      <c r="W145" s="1" t="s">
        <v>1264</v>
      </c>
      <c r="X145" s="1" t="s">
        <v>1264</v>
      </c>
      <c r="Y145">
        <v>3.8941176470588235</v>
      </c>
      <c r="Z145">
        <v>0.37776756535947714</v>
      </c>
      <c r="AA145" s="1" t="s">
        <v>1265</v>
      </c>
      <c r="AB145">
        <v>1</v>
      </c>
      <c r="AC145">
        <v>0</v>
      </c>
      <c r="AD145" s="1">
        <v>2.1337081992917195</v>
      </c>
      <c r="AE145">
        <v>12</v>
      </c>
      <c r="AF145">
        <f>COUNTIFS(tblStock[sku],tblSKU[[#This Row],[sku]])</f>
        <v>1</v>
      </c>
      <c r="AG145" cm="1">
        <f t="array" ref="AG145">SUM(SUMIFS(tblStock[qty_units],tblStock[sku],tblSKU[[#This Row],[sku]],tblStock[stock_type],{"Saleable","FOC"}))</f>
        <v>19732</v>
      </c>
      <c r="AH145" s="3">
        <f>SUMIFS(tblStock[value_nzd],tblStock[sku],tblSKU[[#This Row],[sku]])</f>
        <v>182521</v>
      </c>
      <c r="AI145" s="4">
        <f>SUMIFS(tblStock[cbm],tblStock[sku],tblSKU[[#This Row],[sku]])</f>
        <v>3.0436609999999997</v>
      </c>
      <c r="AJ145" s="1">
        <f>SUMIFS(tblStock[positions],tblStock[sku],tblSKU[[#This Row],[sku]])</f>
        <v>4</v>
      </c>
      <c r="AK145" s="3">
        <f>SUMIFS(tblStock[value_nzd],tblStock[sku],tblSKU[[#This Row],[sku]],tblStock[stock_type],"Expired")</f>
        <v>0</v>
      </c>
      <c r="AL145" s="3" cm="1">
        <f t="array" ref="AL145">SUM(SUMIFS(tblStock[value_nzd],tblStock[sku],tblSKU[[#This Row],[sku]],tblStock[stock_type],{"Saleable","FOC"},tblStock[expiry_date],"&lt;"&amp;EDATE(SnapshotDate,6)))</f>
        <v>0</v>
      </c>
    </row>
    <row r="146" spans="1:38">
      <c r="A146" s="1" t="s">
        <v>338</v>
      </c>
      <c r="B146" s="1" t="s">
        <v>339</v>
      </c>
      <c r="C146" s="1" t="s">
        <v>70</v>
      </c>
      <c r="D146" s="1" t="s">
        <v>37</v>
      </c>
      <c r="E146" s="1" t="s">
        <v>38</v>
      </c>
      <c r="F146" s="1" t="s">
        <v>39</v>
      </c>
      <c r="G146">
        <v>60</v>
      </c>
      <c r="H146">
        <v>58.8</v>
      </c>
      <c r="I146">
        <v>40.1</v>
      </c>
      <c r="J146">
        <v>19.5</v>
      </c>
      <c r="K146">
        <v>4.598E-2</v>
      </c>
      <c r="L146">
        <v>12.55</v>
      </c>
      <c r="M146">
        <v>16.8</v>
      </c>
      <c r="N146">
        <v>4</v>
      </c>
      <c r="O146">
        <v>6</v>
      </c>
      <c r="P146">
        <v>24</v>
      </c>
      <c r="Q146">
        <v>132</v>
      </c>
      <c r="R146">
        <v>326.20000000000005</v>
      </c>
      <c r="S146">
        <v>1.1035200000000001</v>
      </c>
      <c r="T146">
        <v>13</v>
      </c>
      <c r="U146">
        <v>792</v>
      </c>
      <c r="V146">
        <v>13305.6</v>
      </c>
      <c r="W146" s="1" t="s">
        <v>1262</v>
      </c>
      <c r="X146" s="1" t="s">
        <v>1262</v>
      </c>
      <c r="Y146">
        <v>0.15294117647058825</v>
      </c>
      <c r="Z146">
        <v>3.2352941176470584E-2</v>
      </c>
      <c r="AA146" s="1" t="s">
        <v>1263</v>
      </c>
      <c r="AB146">
        <v>0</v>
      </c>
      <c r="AC146">
        <v>0</v>
      </c>
      <c r="AD146" s="1">
        <v>4.9696969696969697</v>
      </c>
      <c r="AE146">
        <v>2</v>
      </c>
      <c r="AF146">
        <f>COUNTIFS(tblStock[sku],tblSKU[[#This Row],[sku]])</f>
        <v>2</v>
      </c>
      <c r="AG146" cm="1">
        <f t="array" ref="AG146">SUM(SUMIFS(tblStock[qty_units],tblStock[sku],tblSKU[[#This Row],[sku]],tblStock[stock_type],{"Saleable","FOC"}))</f>
        <v>984</v>
      </c>
      <c r="AH146" s="3">
        <f>SUMIFS(tblStock[value_nzd],tblStock[sku],tblSKU[[#This Row],[sku]])</f>
        <v>16531.2</v>
      </c>
      <c r="AI146" s="4">
        <f>SUMIFS(tblStock[cbm],tblStock[sku],tblSKU[[#This Row],[sku]])</f>
        <v>0.75407200000000008</v>
      </c>
      <c r="AJ146" s="1">
        <f>SUMIFS(tblStock[positions],tblStock[sku],tblSKU[[#This Row],[sku]])</f>
        <v>1</v>
      </c>
      <c r="AK146" s="3">
        <f>SUMIFS(tblStock[value_nzd],tblStock[sku],tblSKU[[#This Row],[sku]],tblStock[stock_type],"Expired")</f>
        <v>0</v>
      </c>
      <c r="AL146" s="3" cm="1">
        <f t="array" ref="AL146">SUM(SUMIFS(tblStock[value_nzd],tblStock[sku],tblSKU[[#This Row],[sku]],tblStock[stock_type],{"Saleable","FOC"},tblStock[expiry_date],"&lt;"&amp;EDATE(SnapshotDate,6)))</f>
        <v>0</v>
      </c>
    </row>
    <row r="147" spans="1:38">
      <c r="A147" s="1" t="s">
        <v>340</v>
      </c>
      <c r="B147" s="1" t="s">
        <v>341</v>
      </c>
      <c r="C147" s="1" t="s">
        <v>48</v>
      </c>
      <c r="D147" s="1" t="s">
        <v>37</v>
      </c>
      <c r="E147" s="1" t="s">
        <v>38</v>
      </c>
      <c r="F147" s="1" t="s">
        <v>39</v>
      </c>
      <c r="G147">
        <v>100</v>
      </c>
      <c r="H147">
        <v>51.9</v>
      </c>
      <c r="I147">
        <v>30.7</v>
      </c>
      <c r="J147">
        <v>15.4</v>
      </c>
      <c r="K147">
        <v>2.4539999999999999E-2</v>
      </c>
      <c r="L147">
        <v>4.8099999999999996</v>
      </c>
      <c r="M147">
        <v>12.56</v>
      </c>
      <c r="N147">
        <v>6</v>
      </c>
      <c r="O147">
        <v>7</v>
      </c>
      <c r="P147">
        <v>42</v>
      </c>
      <c r="Q147">
        <v>122.8</v>
      </c>
      <c r="R147">
        <v>227.01999999999998</v>
      </c>
      <c r="S147">
        <v>1.03068</v>
      </c>
      <c r="T147">
        <v>432</v>
      </c>
      <c r="U147">
        <v>28177</v>
      </c>
      <c r="V147">
        <v>353903.12</v>
      </c>
      <c r="W147" s="1" t="s">
        <v>1264</v>
      </c>
      <c r="X147" s="1" t="s">
        <v>1264</v>
      </c>
      <c r="Y147">
        <v>5.0823529411764703</v>
      </c>
      <c r="Z147">
        <v>0.3946358543417367</v>
      </c>
      <c r="AA147" s="1" t="s">
        <v>1265</v>
      </c>
      <c r="AB147">
        <v>1</v>
      </c>
      <c r="AC147">
        <v>0</v>
      </c>
      <c r="AD147" s="1">
        <v>6.2431060794264823</v>
      </c>
      <c r="AE147">
        <v>12</v>
      </c>
      <c r="AF147">
        <f>COUNTIFS(tblStock[sku],tblSKU[[#This Row],[sku]])</f>
        <v>2</v>
      </c>
      <c r="AG147" cm="1">
        <f t="array" ref="AG147">SUM(SUMIFS(tblStock[qty_units],tblStock[sku],tblSKU[[#This Row],[sku]],tblStock[stock_type],{"Saleable","FOC"}))</f>
        <v>43978</v>
      </c>
      <c r="AH147" s="3">
        <f>SUMIFS(tblStock[value_nzd],tblStock[sku],tblSKU[[#This Row],[sku]])</f>
        <v>552363.68000000005</v>
      </c>
      <c r="AI147" s="4">
        <f>SUMIFS(tblStock[cbm],tblStock[sku],tblSKU[[#This Row],[sku]])</f>
        <v>10.792201200000001</v>
      </c>
      <c r="AJ147" s="1">
        <f>SUMIFS(tblStock[positions],tblStock[sku],tblSKU[[#This Row],[sku]])</f>
        <v>12</v>
      </c>
      <c r="AK147" s="3">
        <f>SUMIFS(tblStock[value_nzd],tblStock[sku],tblSKU[[#This Row],[sku]],tblStock[stock_type],"Expired")</f>
        <v>0</v>
      </c>
      <c r="AL147" s="3" cm="1">
        <f t="array" ref="AL147">SUM(SUMIFS(tblStock[value_nzd],tblStock[sku],tblSKU[[#This Row],[sku]],tblStock[stock_type],{"Saleable","FOC"},tblStock[expiry_date],"&lt;"&amp;EDATE(SnapshotDate,6)))</f>
        <v>0</v>
      </c>
    </row>
    <row r="148" spans="1:38">
      <c r="A148" s="1" t="s">
        <v>342</v>
      </c>
      <c r="B148" s="1" t="s">
        <v>343</v>
      </c>
      <c r="C148" s="1" t="s">
        <v>52</v>
      </c>
      <c r="D148" s="1" t="s">
        <v>37</v>
      </c>
      <c r="E148" s="1" t="s">
        <v>38</v>
      </c>
      <c r="F148" s="1" t="s">
        <v>39</v>
      </c>
      <c r="G148">
        <v>240</v>
      </c>
      <c r="H148">
        <v>56.4</v>
      </c>
      <c r="I148">
        <v>30</v>
      </c>
      <c r="J148">
        <v>28.6</v>
      </c>
      <c r="K148">
        <v>4.8390000000000002E-2</v>
      </c>
      <c r="L148">
        <v>8.1</v>
      </c>
      <c r="M148">
        <v>17</v>
      </c>
      <c r="N148">
        <v>5</v>
      </c>
      <c r="O148">
        <v>3</v>
      </c>
      <c r="P148">
        <v>15</v>
      </c>
      <c r="Q148">
        <v>100.80000000000001</v>
      </c>
      <c r="R148">
        <v>146.5</v>
      </c>
      <c r="S148">
        <v>0.72585</v>
      </c>
      <c r="T148">
        <v>0</v>
      </c>
      <c r="U148">
        <v>0</v>
      </c>
      <c r="V148">
        <v>0</v>
      </c>
      <c r="W148" s="1" t="s">
        <v>1260</v>
      </c>
      <c r="X148" s="1" t="s">
        <v>1260</v>
      </c>
      <c r="Y148">
        <v>0</v>
      </c>
      <c r="Z148">
        <v>0</v>
      </c>
      <c r="AA148" s="1" t="s">
        <v>1261</v>
      </c>
      <c r="AB148">
        <v>0</v>
      </c>
      <c r="AC148">
        <v>0</v>
      </c>
      <c r="AD148" s="1"/>
      <c r="AE148">
        <v>1</v>
      </c>
      <c r="AF148">
        <f>COUNTIFS(tblStock[sku],tblSKU[[#This Row],[sku]])</f>
        <v>1</v>
      </c>
      <c r="AG148" cm="1">
        <f t="array" ref="AG148">SUM(SUMIFS(tblStock[qty_units],tblStock[sku],tblSKU[[#This Row],[sku]],tblStock[stock_type],{"Saleable","FOC"}))</f>
        <v>480</v>
      </c>
      <c r="AH148" s="3">
        <f>SUMIFS(tblStock[value_nzd],tblStock[sku],tblSKU[[#This Row],[sku]])</f>
        <v>8160</v>
      </c>
      <c r="AI148" s="4">
        <f>SUMIFS(tblStock[cbm],tblStock[sku],tblSKU[[#This Row],[sku]])</f>
        <v>9.6780000000000005E-2</v>
      </c>
      <c r="AJ148" s="1">
        <f>SUMIFS(tblStock[positions],tblStock[sku],tblSKU[[#This Row],[sku]])</f>
        <v>0</v>
      </c>
      <c r="AK148" s="3">
        <f>SUMIFS(tblStock[value_nzd],tblStock[sku],tblSKU[[#This Row],[sku]],tblStock[stock_type],"Expired")</f>
        <v>0</v>
      </c>
      <c r="AL148" s="3" cm="1">
        <f t="array" ref="AL148">SUM(SUMIFS(tblStock[value_nzd],tblStock[sku],tblSKU[[#This Row],[sku]],tblStock[stock_type],{"Saleable","FOC"},tblStock[expiry_date],"&lt;"&amp;EDATE(SnapshotDate,6)))</f>
        <v>0</v>
      </c>
    </row>
    <row r="149" spans="1:38">
      <c r="A149" s="1" t="s">
        <v>344</v>
      </c>
      <c r="B149" s="1" t="s">
        <v>345</v>
      </c>
      <c r="C149" s="1" t="s">
        <v>36</v>
      </c>
      <c r="D149" s="1" t="s">
        <v>37</v>
      </c>
      <c r="E149" s="1" t="s">
        <v>38</v>
      </c>
      <c r="F149" s="1" t="s">
        <v>39</v>
      </c>
      <c r="G149">
        <v>120</v>
      </c>
      <c r="H149">
        <v>31.2</v>
      </c>
      <c r="I149">
        <v>30.6</v>
      </c>
      <c r="J149">
        <v>32.700000000000003</v>
      </c>
      <c r="K149">
        <v>3.1220000000000001E-2</v>
      </c>
      <c r="L149">
        <v>7.37</v>
      </c>
      <c r="M149">
        <v>20.61</v>
      </c>
      <c r="N149">
        <v>9</v>
      </c>
      <c r="O149">
        <v>4</v>
      </c>
      <c r="P149">
        <v>36</v>
      </c>
      <c r="Q149">
        <v>145.80000000000001</v>
      </c>
      <c r="R149">
        <v>290.32</v>
      </c>
      <c r="S149">
        <v>1.12392</v>
      </c>
      <c r="T149">
        <v>60</v>
      </c>
      <c r="U149">
        <v>5663</v>
      </c>
      <c r="V149">
        <v>116714.43</v>
      </c>
      <c r="W149" s="1" t="s">
        <v>1258</v>
      </c>
      <c r="X149" s="1" t="s">
        <v>1264</v>
      </c>
      <c r="Y149">
        <v>0.70588235294117652</v>
      </c>
      <c r="Z149">
        <v>7.7110566448801751E-2</v>
      </c>
      <c r="AA149" s="1" t="s">
        <v>1259</v>
      </c>
      <c r="AB149">
        <v>0</v>
      </c>
      <c r="AC149">
        <v>1</v>
      </c>
      <c r="AD149" s="1">
        <v>3.8029313084937311</v>
      </c>
      <c r="AE149">
        <v>12</v>
      </c>
      <c r="AF149">
        <f>COUNTIFS(tblStock[sku],tblSKU[[#This Row],[sku]])</f>
        <v>2</v>
      </c>
      <c r="AG149" cm="1">
        <f t="array" ref="AG149">SUM(SUMIFS(tblStock[qty_units],tblStock[sku],tblSKU[[#This Row],[sku]],tblStock[stock_type],{"Saleable","FOC"}))</f>
        <v>5384</v>
      </c>
      <c r="AH149" s="3">
        <f>SUMIFS(tblStock[value_nzd],tblStock[sku],tblSKU[[#This Row],[sku]])</f>
        <v>110964.24</v>
      </c>
      <c r="AI149" s="4">
        <f>SUMIFS(tblStock[cbm],tblStock[sku],tblSKU[[#This Row],[sku]])</f>
        <v>1.4007373333333333</v>
      </c>
      <c r="AJ149" s="1">
        <f>SUMIFS(tblStock[positions],tblStock[sku],tblSKU[[#This Row],[sku]])</f>
        <v>2</v>
      </c>
      <c r="AK149" s="3">
        <f>SUMIFS(tblStock[value_nzd],tblStock[sku],tblSKU[[#This Row],[sku]],tblStock[stock_type],"Expired")</f>
        <v>0</v>
      </c>
      <c r="AL149" s="3" cm="1">
        <f t="array" ref="AL149">SUM(SUMIFS(tblStock[value_nzd],tblStock[sku],tblSKU[[#This Row],[sku]],tblStock[stock_type],{"Saleable","FOC"},tblStock[expiry_date],"&lt;"&amp;EDATE(SnapshotDate,6)))</f>
        <v>102040.11</v>
      </c>
    </row>
    <row r="150" spans="1:38">
      <c r="A150" s="1" t="s">
        <v>346</v>
      </c>
      <c r="B150" s="1" t="s">
        <v>347</v>
      </c>
      <c r="C150" s="1" t="s">
        <v>43</v>
      </c>
      <c r="D150" s="1" t="s">
        <v>37</v>
      </c>
      <c r="E150" s="1" t="s">
        <v>38</v>
      </c>
      <c r="F150" s="1" t="s">
        <v>39</v>
      </c>
      <c r="G150">
        <v>180</v>
      </c>
      <c r="H150">
        <v>50.2</v>
      </c>
      <c r="I150">
        <v>41.5</v>
      </c>
      <c r="J150">
        <v>29.6</v>
      </c>
      <c r="K150">
        <v>6.1670000000000003E-2</v>
      </c>
      <c r="L150">
        <v>9.82</v>
      </c>
      <c r="M150">
        <v>8.57</v>
      </c>
      <c r="N150">
        <v>4</v>
      </c>
      <c r="O150">
        <v>5</v>
      </c>
      <c r="P150">
        <v>20</v>
      </c>
      <c r="Q150">
        <v>163</v>
      </c>
      <c r="R150">
        <v>221.4</v>
      </c>
      <c r="S150">
        <v>1.2334000000000001</v>
      </c>
      <c r="T150">
        <v>85</v>
      </c>
      <c r="U150">
        <v>10412</v>
      </c>
      <c r="V150">
        <v>89230.84</v>
      </c>
      <c r="W150" s="1" t="s">
        <v>1264</v>
      </c>
      <c r="X150" s="1" t="s">
        <v>1258</v>
      </c>
      <c r="Y150">
        <v>1</v>
      </c>
      <c r="Z150">
        <v>0.17013071895424836</v>
      </c>
      <c r="AA150" s="1" t="s">
        <v>1265</v>
      </c>
      <c r="AB150">
        <v>1</v>
      </c>
      <c r="AC150">
        <v>0</v>
      </c>
      <c r="AD150" s="1">
        <v>9.9738762965808689</v>
      </c>
      <c r="AE150">
        <v>4</v>
      </c>
      <c r="AF150">
        <f>COUNTIFS(tblStock[sku],tblSKU[[#This Row],[sku]])</f>
        <v>2</v>
      </c>
      <c r="AG150" cm="1">
        <f t="array" ref="AG150">SUM(SUMIFS(tblStock[qty_units],tblStock[sku],tblSKU[[#This Row],[sku]],tblStock[stock_type],{"Saleable","FOC"}))</f>
        <v>25962</v>
      </c>
      <c r="AH150" s="3">
        <f>SUMIFS(tblStock[value_nzd],tblStock[sku],tblSKU[[#This Row],[sku]])</f>
        <v>222494.34000000003</v>
      </c>
      <c r="AI150" s="4">
        <f>SUMIFS(tblStock[cbm],tblStock[sku],tblSKU[[#This Row],[sku]])</f>
        <v>8.8948696666666685</v>
      </c>
      <c r="AJ150" s="1">
        <f>SUMIFS(tblStock[positions],tblStock[sku],tblSKU[[#This Row],[sku]])</f>
        <v>8</v>
      </c>
      <c r="AK150" s="3">
        <f>SUMIFS(tblStock[value_nzd],tblStock[sku],tblSKU[[#This Row],[sku]],tblStock[stock_type],"Expired")</f>
        <v>0</v>
      </c>
      <c r="AL150" s="3" cm="1">
        <f t="array" ref="AL150">SUM(SUMIFS(tblStock[value_nzd],tblStock[sku],tblSKU[[#This Row],[sku]],tblStock[stock_type],{"Saleable","FOC"},tblStock[expiry_date],"&lt;"&amp;EDATE(SnapshotDate,6)))</f>
        <v>0</v>
      </c>
    </row>
    <row r="151" spans="1:38">
      <c r="A151" s="1" t="s">
        <v>348</v>
      </c>
      <c r="B151" s="1" t="s">
        <v>349</v>
      </c>
      <c r="C151" s="1" t="s">
        <v>43</v>
      </c>
      <c r="D151" s="1" t="s">
        <v>37</v>
      </c>
      <c r="E151" s="1" t="s">
        <v>38</v>
      </c>
      <c r="F151" s="1" t="s">
        <v>39</v>
      </c>
      <c r="G151">
        <v>120</v>
      </c>
      <c r="H151">
        <v>38.4</v>
      </c>
      <c r="I151">
        <v>34.4</v>
      </c>
      <c r="J151">
        <v>21.6</v>
      </c>
      <c r="K151">
        <v>2.853E-2</v>
      </c>
      <c r="L151">
        <v>6.26</v>
      </c>
      <c r="M151">
        <v>16.809999999999999</v>
      </c>
      <c r="N151">
        <v>6</v>
      </c>
      <c r="O151">
        <v>6</v>
      </c>
      <c r="P151">
        <v>36</v>
      </c>
      <c r="Q151">
        <v>144.60000000000002</v>
      </c>
      <c r="R151">
        <v>250.35999999999999</v>
      </c>
      <c r="S151">
        <v>1.02708</v>
      </c>
      <c r="T151">
        <v>2</v>
      </c>
      <c r="U151">
        <v>278</v>
      </c>
      <c r="V151">
        <v>4673.1799999999994</v>
      </c>
      <c r="W151" s="1" t="s">
        <v>1262</v>
      </c>
      <c r="X151" s="1" t="s">
        <v>1262</v>
      </c>
      <c r="Y151">
        <v>2.3529411764705882E-2</v>
      </c>
      <c r="Z151">
        <v>3.7854030501089327E-3</v>
      </c>
      <c r="AA151" s="1" t="s">
        <v>1263</v>
      </c>
      <c r="AB151">
        <v>0</v>
      </c>
      <c r="AC151">
        <v>0</v>
      </c>
      <c r="AD151" s="1">
        <v>6.6330935251798557</v>
      </c>
      <c r="AE151">
        <v>2</v>
      </c>
      <c r="AF151">
        <f>COUNTIFS(tblStock[sku],tblSKU[[#This Row],[sku]])</f>
        <v>3</v>
      </c>
      <c r="AG151" cm="1">
        <f t="array" ref="AG151">SUM(SUMIFS(tblStock[qty_units],tblStock[sku],tblSKU[[#This Row],[sku]],tblStock[stock_type],{"Saleable","FOC"}))</f>
        <v>461</v>
      </c>
      <c r="AH151" s="3">
        <f>SUMIFS(tblStock[value_nzd],tblStock[sku],tblSKU[[#This Row],[sku]])</f>
        <v>7749.41</v>
      </c>
      <c r="AI151" s="4">
        <f>SUMIFS(tblStock[cbm],tblStock[sku],tblSKU[[#This Row],[sku]])</f>
        <v>0.10960274999999998</v>
      </c>
      <c r="AJ151" s="1">
        <f>SUMIFS(tblStock[positions],tblStock[sku],tblSKU[[#This Row],[sku]])</f>
        <v>0</v>
      </c>
      <c r="AK151" s="3">
        <f>SUMIFS(tblStock[value_nzd],tblStock[sku],tblSKU[[#This Row],[sku]],tblStock[stock_type],"Expired")</f>
        <v>0</v>
      </c>
      <c r="AL151" s="3" cm="1">
        <f t="array" ref="AL151">SUM(SUMIFS(tblStock[value_nzd],tblStock[sku],tblSKU[[#This Row],[sku]],tblStock[stock_type],{"Saleable","FOC"},tblStock[expiry_date],"&lt;"&amp;EDATE(SnapshotDate,6)))</f>
        <v>3698.2</v>
      </c>
    </row>
    <row r="152" spans="1:38">
      <c r="A152" s="1" t="s">
        <v>350</v>
      </c>
      <c r="B152" s="1" t="s">
        <v>351</v>
      </c>
      <c r="C152" s="1" t="s">
        <v>52</v>
      </c>
      <c r="D152" s="1" t="s">
        <v>37</v>
      </c>
      <c r="E152" s="1" t="s">
        <v>38</v>
      </c>
      <c r="F152" s="1" t="s">
        <v>39</v>
      </c>
      <c r="G152">
        <v>60</v>
      </c>
      <c r="H152">
        <v>35.700000000000003</v>
      </c>
      <c r="I152">
        <v>34.1</v>
      </c>
      <c r="J152">
        <v>21.8</v>
      </c>
      <c r="K152">
        <v>2.6540000000000001E-2</v>
      </c>
      <c r="L152">
        <v>4.22</v>
      </c>
      <c r="M152">
        <v>12.82</v>
      </c>
      <c r="N152">
        <v>6</v>
      </c>
      <c r="O152">
        <v>5</v>
      </c>
      <c r="P152">
        <v>30</v>
      </c>
      <c r="Q152">
        <v>124</v>
      </c>
      <c r="R152">
        <v>151.6</v>
      </c>
      <c r="S152">
        <v>0.79620000000000002</v>
      </c>
      <c r="T152">
        <v>162</v>
      </c>
      <c r="U152">
        <v>7698</v>
      </c>
      <c r="V152">
        <v>98688.36</v>
      </c>
      <c r="W152" s="1" t="s">
        <v>1264</v>
      </c>
      <c r="X152" s="1" t="s">
        <v>1264</v>
      </c>
      <c r="Y152">
        <v>1.9058823529411764</v>
      </c>
      <c r="Z152">
        <v>0.25156862745098041</v>
      </c>
      <c r="AA152" s="1" t="s">
        <v>1265</v>
      </c>
      <c r="AB152">
        <v>1</v>
      </c>
      <c r="AC152">
        <v>0</v>
      </c>
      <c r="AD152" s="1">
        <v>3.2803325539101067</v>
      </c>
      <c r="AE152">
        <v>12</v>
      </c>
      <c r="AF152">
        <f>COUNTIFS(tblStock[sku],tblSKU[[#This Row],[sku]])</f>
        <v>4</v>
      </c>
      <c r="AG152" cm="1">
        <f t="array" ref="AG152">SUM(SUMIFS(tblStock[qty_units],tblStock[sku],tblSKU[[#This Row],[sku]],tblStock[stock_type],{"Saleable","FOC"}))</f>
        <v>6313</v>
      </c>
      <c r="AH152" s="3">
        <f>SUMIFS(tblStock[value_nzd],tblStock[sku],tblSKU[[#This Row],[sku]])</f>
        <v>80932.66</v>
      </c>
      <c r="AI152" s="4">
        <f>SUMIFS(tblStock[cbm],tblStock[sku],tblSKU[[#This Row],[sku]])</f>
        <v>2.7924503333333335</v>
      </c>
      <c r="AJ152" s="1">
        <f>SUMIFS(tblStock[positions],tblStock[sku],tblSKU[[#This Row],[sku]])</f>
        <v>6</v>
      </c>
      <c r="AK152" s="3">
        <f>SUMIFS(tblStock[value_nzd],tblStock[sku],tblSKU[[#This Row],[sku]],tblStock[stock_type],"Expired")</f>
        <v>0</v>
      </c>
      <c r="AL152" s="3" cm="1">
        <f t="array" ref="AL152">SUM(SUMIFS(tblStock[value_nzd],tblStock[sku],tblSKU[[#This Row],[sku]],tblStock[stock_type],{"Saleable","FOC"},tblStock[expiry_date],"&lt;"&amp;EDATE(SnapshotDate,6)))</f>
        <v>0</v>
      </c>
    </row>
    <row r="153" spans="1:38">
      <c r="A153" s="1" t="s">
        <v>352</v>
      </c>
      <c r="B153" s="1" t="s">
        <v>353</v>
      </c>
      <c r="C153" s="1" t="s">
        <v>67</v>
      </c>
      <c r="D153" s="1" t="s">
        <v>37</v>
      </c>
      <c r="E153" s="1" t="s">
        <v>38</v>
      </c>
      <c r="F153" s="1" t="s">
        <v>39</v>
      </c>
      <c r="G153">
        <v>240</v>
      </c>
      <c r="H153">
        <v>51.2</v>
      </c>
      <c r="I153">
        <v>42.5</v>
      </c>
      <c r="J153">
        <v>25.1</v>
      </c>
      <c r="K153">
        <v>5.4620000000000002E-2</v>
      </c>
      <c r="L153">
        <v>15.2</v>
      </c>
      <c r="M153">
        <v>22.59</v>
      </c>
      <c r="N153">
        <v>4</v>
      </c>
      <c r="O153">
        <v>3</v>
      </c>
      <c r="P153">
        <v>12</v>
      </c>
      <c r="Q153">
        <v>90.300000000000011</v>
      </c>
      <c r="R153">
        <v>207.39999999999998</v>
      </c>
      <c r="S153">
        <v>0.65544000000000002</v>
      </c>
      <c r="T153">
        <v>20</v>
      </c>
      <c r="U153">
        <v>1800</v>
      </c>
      <c r="V153">
        <v>40662</v>
      </c>
      <c r="W153" s="1" t="s">
        <v>1262</v>
      </c>
      <c r="X153" s="1" t="s">
        <v>1258</v>
      </c>
      <c r="Y153">
        <v>0.23529411764705882</v>
      </c>
      <c r="Z153">
        <v>3.6764705882352942E-2</v>
      </c>
      <c r="AA153" s="1" t="s">
        <v>1263</v>
      </c>
      <c r="AB153">
        <v>0</v>
      </c>
      <c r="AC153">
        <v>0</v>
      </c>
      <c r="AD153" s="1">
        <v>4.2333333333333334</v>
      </c>
      <c r="AE153">
        <v>4</v>
      </c>
      <c r="AF153">
        <f>COUNTIFS(tblStock[sku],tblSKU[[#This Row],[sku]])</f>
        <v>3</v>
      </c>
      <c r="AG153" cm="1">
        <f t="array" ref="AG153">SUM(SUMIFS(tblStock[qty_units],tblStock[sku],tblSKU[[#This Row],[sku]],tblStock[stock_type],{"Saleable","FOC"}))</f>
        <v>1905</v>
      </c>
      <c r="AH153" s="3">
        <f>SUMIFS(tblStock[value_nzd],tblStock[sku],tblSKU[[#This Row],[sku]])</f>
        <v>43033.95</v>
      </c>
      <c r="AI153" s="4">
        <f>SUMIFS(tblStock[cbm],tblStock[sku],tblSKU[[#This Row],[sku]])</f>
        <v>0.43354625000000002</v>
      </c>
      <c r="AJ153" s="1">
        <f>SUMIFS(tblStock[positions],tblStock[sku],tblSKU[[#This Row],[sku]])</f>
        <v>0</v>
      </c>
      <c r="AK153" s="3">
        <f>SUMIFS(tblStock[value_nzd],tblStock[sku],tblSKU[[#This Row],[sku]],tblStock[stock_type],"Expired")</f>
        <v>0</v>
      </c>
      <c r="AL153" s="3" cm="1">
        <f t="array" ref="AL153">SUM(SUMIFS(tblStock[value_nzd],tblStock[sku],tblSKU[[#This Row],[sku]],tblStock[stock_type],{"Saleable","FOC"},tblStock[expiry_date],"&lt;"&amp;EDATE(SnapshotDate,6)))</f>
        <v>0</v>
      </c>
    </row>
    <row r="154" spans="1:38">
      <c r="A154" s="1" t="s">
        <v>354</v>
      </c>
      <c r="B154" s="1" t="s">
        <v>355</v>
      </c>
      <c r="C154" s="1" t="s">
        <v>43</v>
      </c>
      <c r="D154" s="1" t="s">
        <v>37</v>
      </c>
      <c r="E154" s="1" t="s">
        <v>38</v>
      </c>
      <c r="F154" s="1" t="s">
        <v>39</v>
      </c>
      <c r="G154">
        <v>240</v>
      </c>
      <c r="H154">
        <v>30.9</v>
      </c>
      <c r="I154">
        <v>42.6</v>
      </c>
      <c r="J154">
        <v>28.2</v>
      </c>
      <c r="K154">
        <v>3.712E-2</v>
      </c>
      <c r="L154">
        <v>6.22</v>
      </c>
      <c r="M154">
        <v>13.25</v>
      </c>
      <c r="N154">
        <v>6</v>
      </c>
      <c r="O154">
        <v>3</v>
      </c>
      <c r="P154">
        <v>18</v>
      </c>
      <c r="Q154">
        <v>99.6</v>
      </c>
      <c r="R154">
        <v>136.95999999999998</v>
      </c>
      <c r="S154">
        <v>0.66815999999999998</v>
      </c>
      <c r="T154">
        <v>50</v>
      </c>
      <c r="U154">
        <v>7575</v>
      </c>
      <c r="V154">
        <v>100368.75</v>
      </c>
      <c r="W154" s="1" t="s">
        <v>1258</v>
      </c>
      <c r="X154" s="1" t="s">
        <v>1264</v>
      </c>
      <c r="Y154">
        <v>0.58823529411764708</v>
      </c>
      <c r="Z154">
        <v>0.10314542483660132</v>
      </c>
      <c r="AA154" s="1" t="s">
        <v>1259</v>
      </c>
      <c r="AB154">
        <v>0</v>
      </c>
      <c r="AC154">
        <v>1</v>
      </c>
      <c r="AD154" s="1">
        <v>4.4087128712871291</v>
      </c>
      <c r="AE154">
        <v>12</v>
      </c>
      <c r="AF154">
        <f>COUNTIFS(tblStock[sku],tblSKU[[#This Row],[sku]])</f>
        <v>3</v>
      </c>
      <c r="AG154" cm="1">
        <f t="array" ref="AG154">SUM(SUMIFS(tblStock[qty_units],tblStock[sku],tblSKU[[#This Row],[sku]],tblStock[stock_type],{"Saleable","FOC"}))</f>
        <v>8349</v>
      </c>
      <c r="AH154" s="3">
        <f>SUMIFS(tblStock[value_nzd],tblStock[sku],tblSKU[[#This Row],[sku]])</f>
        <v>110624.25</v>
      </c>
      <c r="AI154" s="4">
        <f>SUMIFS(tblStock[cbm],tblStock[sku],tblSKU[[#This Row],[sku]])</f>
        <v>1.291312</v>
      </c>
      <c r="AJ154" s="1">
        <f>SUMIFS(tblStock[positions],tblStock[sku],tblSKU[[#This Row],[sku]])</f>
        <v>4</v>
      </c>
      <c r="AK154" s="3">
        <f>SUMIFS(tblStock[value_nzd],tblStock[sku],tblSKU[[#This Row],[sku]],tblStock[stock_type],"Expired")</f>
        <v>0</v>
      </c>
      <c r="AL154" s="3" cm="1">
        <f t="array" ref="AL154">SUM(SUMIFS(tblStock[value_nzd],tblStock[sku],tblSKU[[#This Row],[sku]],tblStock[stock_type],{"Saleable","FOC"},tblStock[expiry_date],"&lt;"&amp;EDATE(SnapshotDate,6)))</f>
        <v>0</v>
      </c>
    </row>
    <row r="155" spans="1:38">
      <c r="A155" s="1" t="s">
        <v>356</v>
      </c>
      <c r="B155" s="1" t="s">
        <v>357</v>
      </c>
      <c r="C155" s="1" t="s">
        <v>43</v>
      </c>
      <c r="D155" s="1" t="s">
        <v>37</v>
      </c>
      <c r="E155" s="1" t="s">
        <v>38</v>
      </c>
      <c r="F155" s="1" t="s">
        <v>39</v>
      </c>
      <c r="G155">
        <v>120</v>
      </c>
      <c r="H155">
        <v>32</v>
      </c>
      <c r="I155">
        <v>33.299999999999997</v>
      </c>
      <c r="J155">
        <v>18.2</v>
      </c>
      <c r="K155">
        <v>1.9390000000000001E-2</v>
      </c>
      <c r="L155">
        <v>5.53</v>
      </c>
      <c r="M155">
        <v>17.149999999999999</v>
      </c>
      <c r="N155">
        <v>9</v>
      </c>
      <c r="O155">
        <v>4</v>
      </c>
      <c r="P155">
        <v>36</v>
      </c>
      <c r="Q155">
        <v>87.8</v>
      </c>
      <c r="R155">
        <v>224.08</v>
      </c>
      <c r="S155">
        <v>0.69803999999999999</v>
      </c>
      <c r="T155">
        <v>165</v>
      </c>
      <c r="U155">
        <v>13213</v>
      </c>
      <c r="V155">
        <v>226602.94999999998</v>
      </c>
      <c r="W155" s="1" t="s">
        <v>1264</v>
      </c>
      <c r="X155" s="1" t="s">
        <v>1264</v>
      </c>
      <c r="Y155">
        <v>1.9411764705882353</v>
      </c>
      <c r="Z155">
        <v>0.17991557734204791</v>
      </c>
      <c r="AA155" s="1" t="s">
        <v>1265</v>
      </c>
      <c r="AB155">
        <v>1</v>
      </c>
      <c r="AC155">
        <v>0</v>
      </c>
      <c r="AD155" s="1">
        <v>6.5901763414818735</v>
      </c>
      <c r="AE155">
        <v>12</v>
      </c>
      <c r="AF155">
        <f>COUNTIFS(tblStock[sku],tblSKU[[#This Row],[sku]])</f>
        <v>1</v>
      </c>
      <c r="AG155" cm="1">
        <f t="array" ref="AG155">SUM(SUMIFS(tblStock[qty_units],tblStock[sku],tblSKU[[#This Row],[sku]],tblStock[stock_type],{"Saleable","FOC"}))</f>
        <v>21769</v>
      </c>
      <c r="AH155" s="3">
        <f>SUMIFS(tblStock[value_nzd],tblStock[sku],tblSKU[[#This Row],[sku]])</f>
        <v>373338.35</v>
      </c>
      <c r="AI155" s="4">
        <f>SUMIFS(tblStock[cbm],tblStock[sku],tblSKU[[#This Row],[sku]])</f>
        <v>3.5175075833333334</v>
      </c>
      <c r="AJ155" s="1">
        <f>SUMIFS(tblStock[positions],tblStock[sku],tblSKU[[#This Row],[sku]])</f>
        <v>6</v>
      </c>
      <c r="AK155" s="3">
        <f>SUMIFS(tblStock[value_nzd],tblStock[sku],tblSKU[[#This Row],[sku]],tblStock[stock_type],"Expired")</f>
        <v>0</v>
      </c>
      <c r="AL155" s="3" cm="1">
        <f t="array" ref="AL155">SUM(SUMIFS(tblStock[value_nzd],tblStock[sku],tblSKU[[#This Row],[sku]],tblStock[stock_type],{"Saleable","FOC"},tblStock[expiry_date],"&lt;"&amp;EDATE(SnapshotDate,6)))</f>
        <v>0</v>
      </c>
    </row>
    <row r="156" spans="1:38">
      <c r="A156" s="1" t="s">
        <v>358</v>
      </c>
      <c r="B156" s="1" t="s">
        <v>359</v>
      </c>
      <c r="C156" s="1" t="s">
        <v>52</v>
      </c>
      <c r="D156" s="1" t="s">
        <v>37</v>
      </c>
      <c r="E156" s="1" t="s">
        <v>38</v>
      </c>
      <c r="F156" s="1" t="s">
        <v>39</v>
      </c>
      <c r="G156">
        <v>60</v>
      </c>
      <c r="H156">
        <v>49.2</v>
      </c>
      <c r="I156">
        <v>44.6</v>
      </c>
      <c r="J156">
        <v>26.2</v>
      </c>
      <c r="K156">
        <v>5.7489999999999999E-2</v>
      </c>
      <c r="L156">
        <v>12.48</v>
      </c>
      <c r="M156">
        <v>18.079999999999998</v>
      </c>
      <c r="N156">
        <v>4</v>
      </c>
      <c r="O156">
        <v>5</v>
      </c>
      <c r="P156">
        <v>20</v>
      </c>
      <c r="Q156">
        <v>146</v>
      </c>
      <c r="R156">
        <v>274.60000000000002</v>
      </c>
      <c r="S156">
        <v>1.1497999999999999</v>
      </c>
      <c r="T156">
        <v>83</v>
      </c>
      <c r="U156">
        <v>6052</v>
      </c>
      <c r="V156">
        <v>109420.15999999999</v>
      </c>
      <c r="W156" s="1" t="s">
        <v>1264</v>
      </c>
      <c r="X156" s="1" t="s">
        <v>1264</v>
      </c>
      <c r="Y156">
        <v>0.97647058823529409</v>
      </c>
      <c r="Z156">
        <v>0.29666666666666663</v>
      </c>
      <c r="AA156" s="1" t="s">
        <v>1265</v>
      </c>
      <c r="AB156">
        <v>1</v>
      </c>
      <c r="AC156">
        <v>0</v>
      </c>
      <c r="AD156" s="1">
        <v>4.8869795109054861</v>
      </c>
      <c r="AE156">
        <v>12</v>
      </c>
      <c r="AF156">
        <f>COUNTIFS(tblStock[sku],tblSKU[[#This Row],[sku]])</f>
        <v>3</v>
      </c>
      <c r="AG156" cm="1">
        <f t="array" ref="AG156">SUM(SUMIFS(tblStock[qty_units],tblStock[sku],tblSKU[[#This Row],[sku]],tblStock[stock_type],{"Saleable","FOC"}))</f>
        <v>7394</v>
      </c>
      <c r="AH156" s="3">
        <f>SUMIFS(tblStock[value_nzd],tblStock[sku],tblSKU[[#This Row],[sku]])</f>
        <v>144368.79999999999</v>
      </c>
      <c r="AI156" s="4">
        <f>SUMIFS(tblStock[cbm],tblStock[sku],tblSKU[[#This Row],[sku]])</f>
        <v>7.6509608333333334</v>
      </c>
      <c r="AJ156" s="1">
        <f>SUMIFS(tblStock[positions],tblStock[sku],tblSKU[[#This Row],[sku]])</f>
        <v>8</v>
      </c>
      <c r="AK156" s="3">
        <f>SUMIFS(tblStock[value_nzd],tblStock[sku],tblSKU[[#This Row],[sku]],tblStock[stock_type],"Expired")</f>
        <v>10685.279999999999</v>
      </c>
      <c r="AL156" s="3" cm="1">
        <f t="array" ref="AL156">SUM(SUMIFS(tblStock[value_nzd],tblStock[sku],tblSKU[[#This Row],[sku]],tblStock[stock_type],{"Saleable","FOC"},tblStock[expiry_date],"&lt;"&amp;EDATE(SnapshotDate,6)))</f>
        <v>0</v>
      </c>
    </row>
    <row r="157" spans="1:38">
      <c r="A157" s="1" t="s">
        <v>360</v>
      </c>
      <c r="B157" s="1" t="s">
        <v>361</v>
      </c>
      <c r="C157" s="1" t="s">
        <v>52</v>
      </c>
      <c r="D157" s="1" t="s">
        <v>37</v>
      </c>
      <c r="E157" s="1" t="s">
        <v>38</v>
      </c>
      <c r="F157" s="1" t="s">
        <v>39</v>
      </c>
      <c r="G157">
        <v>100</v>
      </c>
      <c r="H157">
        <v>43</v>
      </c>
      <c r="I157">
        <v>28.8</v>
      </c>
      <c r="J157">
        <v>16.100000000000001</v>
      </c>
      <c r="K157">
        <v>1.9939999999999999E-2</v>
      </c>
      <c r="L157">
        <v>4.29</v>
      </c>
      <c r="M157">
        <v>3.54</v>
      </c>
      <c r="N157">
        <v>8</v>
      </c>
      <c r="O157">
        <v>9</v>
      </c>
      <c r="P157">
        <v>72</v>
      </c>
      <c r="Q157">
        <v>159.9</v>
      </c>
      <c r="R157">
        <v>333.88</v>
      </c>
      <c r="S157">
        <v>1.4356800000000001</v>
      </c>
      <c r="T157">
        <v>22</v>
      </c>
      <c r="U157">
        <v>922</v>
      </c>
      <c r="V157">
        <v>3263.88</v>
      </c>
      <c r="W157" s="1" t="s">
        <v>1262</v>
      </c>
      <c r="X157" s="1" t="s">
        <v>1262</v>
      </c>
      <c r="Y157">
        <v>0.25882352941176473</v>
      </c>
      <c r="Z157">
        <v>7.5326797385620913E-3</v>
      </c>
      <c r="AA157" s="1" t="s">
        <v>1263</v>
      </c>
      <c r="AB157">
        <v>0</v>
      </c>
      <c r="AC157">
        <v>0</v>
      </c>
      <c r="AD157" s="1">
        <v>2.7505422993492408</v>
      </c>
      <c r="AE157">
        <v>2</v>
      </c>
      <c r="AF157">
        <f>COUNTIFS(tblStock[sku],tblSKU[[#This Row],[sku]])</f>
        <v>3</v>
      </c>
      <c r="AG157" cm="1">
        <f t="array" ref="AG157">SUM(SUMIFS(tblStock[qty_units],tblStock[sku],tblSKU[[#This Row],[sku]],tblStock[stock_type],{"Saleable","FOC"}))</f>
        <v>634</v>
      </c>
      <c r="AH157" s="3">
        <f>SUMIFS(tblStock[value_nzd],tblStock[sku],tblSKU[[#This Row],[sku]])</f>
        <v>2244.36</v>
      </c>
      <c r="AI157" s="4">
        <f>SUMIFS(tblStock[cbm],tblStock[sku],tblSKU[[#This Row],[sku]])</f>
        <v>0.12641959999999999</v>
      </c>
      <c r="AJ157" s="1">
        <f>SUMIFS(tblStock[positions],tblStock[sku],tblSKU[[#This Row],[sku]])</f>
        <v>0</v>
      </c>
      <c r="AK157" s="3">
        <f>SUMIFS(tblStock[value_nzd],tblStock[sku],tblSKU[[#This Row],[sku]],tblStock[stock_type],"Expired")</f>
        <v>0</v>
      </c>
      <c r="AL157" s="3" cm="1">
        <f t="array" ref="AL157">SUM(SUMIFS(tblStock[value_nzd],tblStock[sku],tblSKU[[#This Row],[sku]],tblStock[stock_type],{"Saleable","FOC"},tblStock[expiry_date],"&lt;"&amp;EDATE(SnapshotDate,6)))</f>
        <v>0</v>
      </c>
    </row>
    <row r="158" spans="1:38">
      <c r="A158" s="1" t="s">
        <v>362</v>
      </c>
      <c r="B158" s="1" t="s">
        <v>363</v>
      </c>
      <c r="C158" s="1" t="s">
        <v>48</v>
      </c>
      <c r="D158" s="1" t="s">
        <v>37</v>
      </c>
      <c r="E158" s="1" t="s">
        <v>38</v>
      </c>
      <c r="F158" s="1" t="s">
        <v>39</v>
      </c>
      <c r="G158">
        <v>240</v>
      </c>
      <c r="H158">
        <v>46.7</v>
      </c>
      <c r="I158">
        <v>26.8</v>
      </c>
      <c r="J158">
        <v>29.5</v>
      </c>
      <c r="K158">
        <v>3.6920000000000001E-2</v>
      </c>
      <c r="L158">
        <v>6.11</v>
      </c>
      <c r="M158">
        <v>2.61</v>
      </c>
      <c r="N158">
        <v>8</v>
      </c>
      <c r="O158">
        <v>3</v>
      </c>
      <c r="P158">
        <v>24</v>
      </c>
      <c r="Q158">
        <v>103.5</v>
      </c>
      <c r="R158">
        <v>171.64000000000001</v>
      </c>
      <c r="S158">
        <v>0.88607999999999998</v>
      </c>
      <c r="T158">
        <v>36</v>
      </c>
      <c r="U158">
        <v>1265</v>
      </c>
      <c r="V158">
        <v>3301.6499999999996</v>
      </c>
      <c r="W158" s="1" t="s">
        <v>1258</v>
      </c>
      <c r="X158" s="1" t="s">
        <v>1262</v>
      </c>
      <c r="Y158">
        <v>0.42352941176470588</v>
      </c>
      <c r="Z158">
        <v>1.2918709150326795E-2</v>
      </c>
      <c r="AA158" s="1" t="s">
        <v>1259</v>
      </c>
      <c r="AB158">
        <v>0</v>
      </c>
      <c r="AC158">
        <v>1</v>
      </c>
      <c r="AD158" s="1">
        <v>5.4545454545454541</v>
      </c>
      <c r="AE158">
        <v>2</v>
      </c>
      <c r="AF158">
        <f>COUNTIFS(tblStock[sku],tblSKU[[#This Row],[sku]])</f>
        <v>3</v>
      </c>
      <c r="AG158" cm="1">
        <f t="array" ref="AG158">SUM(SUMIFS(tblStock[qty_units],tblStock[sku],tblSKU[[#This Row],[sku]],tblStock[stock_type],{"Saleable","FOC"}))</f>
        <v>1725</v>
      </c>
      <c r="AH158" s="3">
        <f>SUMIFS(tblStock[value_nzd],tblStock[sku],tblSKU[[#This Row],[sku]])</f>
        <v>4502.25</v>
      </c>
      <c r="AI158" s="4">
        <f>SUMIFS(tblStock[cbm],tblStock[sku],tblSKU[[#This Row],[sku]])</f>
        <v>0.26536249999999995</v>
      </c>
      <c r="AJ158" s="1">
        <f>SUMIFS(tblStock[positions],tblStock[sku],tblSKU[[#This Row],[sku]])</f>
        <v>0</v>
      </c>
      <c r="AK158" s="3">
        <f>SUMIFS(tblStock[value_nzd],tblStock[sku],tblSKU[[#This Row],[sku]],tblStock[stock_type],"Expired")</f>
        <v>0</v>
      </c>
      <c r="AL158" s="3" cm="1">
        <f t="array" ref="AL158">SUM(SUMIFS(tblStock[value_nzd],tblStock[sku],tblSKU[[#This Row],[sku]],tblStock[stock_type],{"Saleable","FOC"},tblStock[expiry_date],"&lt;"&amp;EDATE(SnapshotDate,6)))</f>
        <v>0</v>
      </c>
    </row>
    <row r="159" spans="1:38">
      <c r="A159" s="1" t="s">
        <v>364</v>
      </c>
      <c r="B159" s="1" t="s">
        <v>365</v>
      </c>
      <c r="C159" s="1" t="s">
        <v>70</v>
      </c>
      <c r="D159" s="1" t="s">
        <v>37</v>
      </c>
      <c r="E159" s="1" t="s">
        <v>38</v>
      </c>
      <c r="F159" s="1" t="s">
        <v>39</v>
      </c>
      <c r="G159">
        <v>240</v>
      </c>
      <c r="H159">
        <v>33.700000000000003</v>
      </c>
      <c r="I159">
        <v>43.8</v>
      </c>
      <c r="J159">
        <v>20.5</v>
      </c>
      <c r="K159">
        <v>3.0259999999999999E-2</v>
      </c>
      <c r="L159">
        <v>5.26</v>
      </c>
      <c r="M159">
        <v>15.66</v>
      </c>
      <c r="N159">
        <v>6</v>
      </c>
      <c r="O159">
        <v>6</v>
      </c>
      <c r="P159">
        <v>36</v>
      </c>
      <c r="Q159">
        <v>138</v>
      </c>
      <c r="R159">
        <v>214.35999999999999</v>
      </c>
      <c r="S159">
        <v>1.0893599999999999</v>
      </c>
      <c r="T159">
        <v>440</v>
      </c>
      <c r="U159">
        <v>67804</v>
      </c>
      <c r="V159">
        <v>1061810.6399999999</v>
      </c>
      <c r="W159" s="1" t="s">
        <v>1264</v>
      </c>
      <c r="X159" s="1" t="s">
        <v>1264</v>
      </c>
      <c r="Y159">
        <v>5.1764705882352944</v>
      </c>
      <c r="Z159">
        <v>0.46162854030501088</v>
      </c>
      <c r="AA159" s="1" t="s">
        <v>1265</v>
      </c>
      <c r="AB159">
        <v>1</v>
      </c>
      <c r="AC159">
        <v>0</v>
      </c>
      <c r="AD159" s="1">
        <v>3.6215562503687098</v>
      </c>
      <c r="AE159">
        <v>12</v>
      </c>
      <c r="AF159">
        <f>COUNTIFS(tblStock[sku],tblSKU[[#This Row],[sku]])</f>
        <v>3</v>
      </c>
      <c r="AG159" cm="1">
        <f t="array" ref="AG159">SUM(SUMIFS(tblStock[qty_units],tblStock[sku],tblSKU[[#This Row],[sku]],tblStock[stock_type],{"Saleable","FOC"}))</f>
        <v>61389</v>
      </c>
      <c r="AH159" s="3">
        <f>SUMIFS(tblStock[value_nzd],tblStock[sku],tblSKU[[#This Row],[sku]])</f>
        <v>961351.74000000011</v>
      </c>
      <c r="AI159" s="4">
        <f>SUMIFS(tblStock[cbm],tblStock[sku],tblSKU[[#This Row],[sku]])</f>
        <v>7.7401297499999995</v>
      </c>
      <c r="AJ159" s="1">
        <f>SUMIFS(tblStock[positions],tblStock[sku],tblSKU[[#This Row],[sku]])</f>
        <v>9</v>
      </c>
      <c r="AK159" s="3">
        <f>SUMIFS(tblStock[value_nzd],tblStock[sku],tblSKU[[#This Row],[sku]],tblStock[stock_type],"Expired")</f>
        <v>0</v>
      </c>
      <c r="AL159" s="3" cm="1">
        <f t="array" ref="AL159">SUM(SUMIFS(tblStock[value_nzd],tblStock[sku],tblSKU[[#This Row],[sku]],tblStock[stock_type],{"Saleable","FOC"},tblStock[expiry_date],"&lt;"&amp;EDATE(SnapshotDate,6)))</f>
        <v>199242.18</v>
      </c>
    </row>
    <row r="160" spans="1:38">
      <c r="A160" s="1" t="s">
        <v>366</v>
      </c>
      <c r="B160" s="1" t="s">
        <v>367</v>
      </c>
      <c r="C160" s="1" t="s">
        <v>36</v>
      </c>
      <c r="D160" s="1" t="s">
        <v>37</v>
      </c>
      <c r="E160" s="1" t="s">
        <v>38</v>
      </c>
      <c r="F160" s="1" t="s">
        <v>39</v>
      </c>
      <c r="G160">
        <v>100</v>
      </c>
      <c r="H160">
        <v>43.9</v>
      </c>
      <c r="I160">
        <v>44.2</v>
      </c>
      <c r="J160">
        <v>31.6</v>
      </c>
      <c r="K160">
        <v>6.132E-2</v>
      </c>
      <c r="L160">
        <v>13.35</v>
      </c>
      <c r="M160">
        <v>2.08</v>
      </c>
      <c r="N160">
        <v>4</v>
      </c>
      <c r="O160">
        <v>2</v>
      </c>
      <c r="P160">
        <v>8</v>
      </c>
      <c r="Q160">
        <v>78.2</v>
      </c>
      <c r="R160">
        <v>131.80000000000001</v>
      </c>
      <c r="S160">
        <v>0.49056</v>
      </c>
      <c r="T160">
        <v>1</v>
      </c>
      <c r="U160">
        <v>43</v>
      </c>
      <c r="V160">
        <v>89.44</v>
      </c>
      <c r="W160" s="1" t="s">
        <v>1262</v>
      </c>
      <c r="X160" s="1" t="s">
        <v>1262</v>
      </c>
      <c r="Y160">
        <v>1.1764705882352941E-2</v>
      </c>
      <c r="Z160">
        <v>3.1617647058823531E-3</v>
      </c>
      <c r="AA160" s="1" t="s">
        <v>1263</v>
      </c>
      <c r="AB160">
        <v>0</v>
      </c>
      <c r="AC160">
        <v>0</v>
      </c>
      <c r="AD160" s="1">
        <v>6.5116279069767442</v>
      </c>
      <c r="AE160">
        <v>2</v>
      </c>
      <c r="AF160">
        <f>COUNTIFS(tblStock[sku],tblSKU[[#This Row],[sku]])</f>
        <v>2</v>
      </c>
      <c r="AG160" cm="1">
        <f t="array" ref="AG160">SUM(SUMIFS(tblStock[qty_units],tblStock[sku],tblSKU[[#This Row],[sku]],tblStock[stock_type],{"Saleable","FOC"}))</f>
        <v>70</v>
      </c>
      <c r="AH160" s="3">
        <f>SUMIFS(tblStock[value_nzd],tblStock[sku],tblSKU[[#This Row],[sku]])</f>
        <v>145.60000000000002</v>
      </c>
      <c r="AI160" s="4">
        <f>SUMIFS(tblStock[cbm],tblStock[sku],tblSKU[[#This Row],[sku]])</f>
        <v>4.2923999999999997E-2</v>
      </c>
      <c r="AJ160" s="1">
        <f>SUMIFS(tblStock[positions],tblStock[sku],tblSKU[[#This Row],[sku]])</f>
        <v>0</v>
      </c>
      <c r="AK160" s="3">
        <f>SUMIFS(tblStock[value_nzd],tblStock[sku],tblSKU[[#This Row],[sku]],tblStock[stock_type],"Expired")</f>
        <v>0</v>
      </c>
      <c r="AL160" s="3" cm="1">
        <f t="array" ref="AL160">SUM(SUMIFS(tblStock[value_nzd],tblStock[sku],tblSKU[[#This Row],[sku]],tblStock[stock_type],{"Saleable","FOC"},tblStock[expiry_date],"&lt;"&amp;EDATE(SnapshotDate,6)))</f>
        <v>143.52000000000001</v>
      </c>
    </row>
    <row r="161" spans="1:38">
      <c r="A161" s="1" t="s">
        <v>368</v>
      </c>
      <c r="B161" s="1" t="s">
        <v>369</v>
      </c>
      <c r="C161" s="1" t="s">
        <v>43</v>
      </c>
      <c r="D161" s="1" t="s">
        <v>37</v>
      </c>
      <c r="E161" s="1" t="s">
        <v>38</v>
      </c>
      <c r="F161" s="1" t="s">
        <v>39</v>
      </c>
      <c r="G161">
        <v>180</v>
      </c>
      <c r="H161">
        <v>55.5</v>
      </c>
      <c r="I161">
        <v>30.1</v>
      </c>
      <c r="J161">
        <v>23.6</v>
      </c>
      <c r="K161">
        <v>3.9419999999999997E-2</v>
      </c>
      <c r="L161">
        <v>9.26</v>
      </c>
      <c r="M161">
        <v>12.57</v>
      </c>
      <c r="N161">
        <v>6</v>
      </c>
      <c r="O161">
        <v>3</v>
      </c>
      <c r="P161">
        <v>18</v>
      </c>
      <c r="Q161">
        <v>85.800000000000011</v>
      </c>
      <c r="R161">
        <v>191.68</v>
      </c>
      <c r="S161">
        <v>0.70955999999999997</v>
      </c>
      <c r="T161">
        <v>136</v>
      </c>
      <c r="U161">
        <v>14627</v>
      </c>
      <c r="V161">
        <v>183861.39</v>
      </c>
      <c r="W161" s="1" t="s">
        <v>1264</v>
      </c>
      <c r="X161" s="1" t="s">
        <v>1264</v>
      </c>
      <c r="Y161">
        <v>1.6</v>
      </c>
      <c r="Z161">
        <v>0.26555918663761802</v>
      </c>
      <c r="AA161" s="1" t="s">
        <v>1265</v>
      </c>
      <c r="AB161">
        <v>1</v>
      </c>
      <c r="AC161">
        <v>0</v>
      </c>
      <c r="AD161" s="1">
        <v>8.7386340329527581</v>
      </c>
      <c r="AE161">
        <v>12</v>
      </c>
      <c r="AF161">
        <f>COUNTIFS(tblStock[sku],tblSKU[[#This Row],[sku]])</f>
        <v>2</v>
      </c>
      <c r="AG161" cm="1">
        <f t="array" ref="AG161">SUM(SUMIFS(tblStock[qty_units],tblStock[sku],tblSKU[[#This Row],[sku]],tblStock[stock_type],{"Saleable","FOC"}))</f>
        <v>31955</v>
      </c>
      <c r="AH161" s="3">
        <f>SUMIFS(tblStock[value_nzd],tblStock[sku],tblSKU[[#This Row],[sku]])</f>
        <v>401674.35</v>
      </c>
      <c r="AI161" s="4">
        <f>SUMIFS(tblStock[cbm],tblStock[sku],tblSKU[[#This Row],[sku]])</f>
        <v>6.9981449999999992</v>
      </c>
      <c r="AJ161" s="1">
        <f>SUMIFS(tblStock[positions],tblStock[sku],tblSKU[[#This Row],[sku]])</f>
        <v>11</v>
      </c>
      <c r="AK161" s="3">
        <f>SUMIFS(tblStock[value_nzd],tblStock[sku],tblSKU[[#This Row],[sku]],tblStock[stock_type],"Expired")</f>
        <v>0</v>
      </c>
      <c r="AL161" s="3" cm="1">
        <f t="array" ref="AL161">SUM(SUMIFS(tblStock[value_nzd],tblStock[sku],tblSKU[[#This Row],[sku]],tblStock[stock_type],{"Saleable","FOC"},tblStock[expiry_date],"&lt;"&amp;EDATE(SnapshotDate,6)))</f>
        <v>30884.49</v>
      </c>
    </row>
    <row r="162" spans="1:38">
      <c r="A162" s="1" t="s">
        <v>370</v>
      </c>
      <c r="B162" s="1" t="s">
        <v>371</v>
      </c>
      <c r="C162" s="1" t="s">
        <v>36</v>
      </c>
      <c r="D162" s="1" t="s">
        <v>37</v>
      </c>
      <c r="E162" s="1" t="s">
        <v>38</v>
      </c>
      <c r="F162" s="1" t="s">
        <v>39</v>
      </c>
      <c r="G162">
        <v>240</v>
      </c>
      <c r="H162">
        <v>53.3</v>
      </c>
      <c r="I162">
        <v>34.799999999999997</v>
      </c>
      <c r="J162">
        <v>31.9</v>
      </c>
      <c r="K162">
        <v>5.917E-2</v>
      </c>
      <c r="L162">
        <v>13.22</v>
      </c>
      <c r="M162">
        <v>2.83</v>
      </c>
      <c r="N162">
        <v>4</v>
      </c>
      <c r="O162">
        <v>4</v>
      </c>
      <c r="P162">
        <v>16</v>
      </c>
      <c r="Q162">
        <v>142.6</v>
      </c>
      <c r="R162">
        <v>236.52</v>
      </c>
      <c r="S162">
        <v>0.94672000000000001</v>
      </c>
      <c r="T162">
        <v>152</v>
      </c>
      <c r="U162">
        <v>11883</v>
      </c>
      <c r="V162">
        <v>33628.89</v>
      </c>
      <c r="W162" s="1" t="s">
        <v>1264</v>
      </c>
      <c r="X162" s="1" t="s">
        <v>1258</v>
      </c>
      <c r="Y162">
        <v>1.7882352941176471</v>
      </c>
      <c r="Z162">
        <v>0.18203125000000001</v>
      </c>
      <c r="AA162" s="1" t="s">
        <v>1265</v>
      </c>
      <c r="AB162">
        <v>1</v>
      </c>
      <c r="AC162">
        <v>0</v>
      </c>
      <c r="AD162" s="1">
        <v>13.338045947992931</v>
      </c>
      <c r="AE162">
        <v>4</v>
      </c>
      <c r="AF162">
        <f>COUNTIFS(tblStock[sku],tblSKU[[#This Row],[sku]])</f>
        <v>3</v>
      </c>
      <c r="AG162" cm="1">
        <f t="array" ref="AG162">SUM(SUMIFS(tblStock[qty_units],tblStock[sku],tblSKU[[#This Row],[sku]],tblStock[stock_type],{"Saleable","FOC"}))</f>
        <v>39624</v>
      </c>
      <c r="AH162" s="3">
        <f>SUMIFS(tblStock[value_nzd],tblStock[sku],tblSKU[[#This Row],[sku]])</f>
        <v>114377.28</v>
      </c>
      <c r="AI162" s="4">
        <f>SUMIFS(tblStock[cbm],tblStock[sku],tblSKU[[#This Row],[sku]])</f>
        <v>9.9642280000000003</v>
      </c>
      <c r="AJ162" s="1">
        <f>SUMIFS(tblStock[positions],tblStock[sku],tblSKU[[#This Row],[sku]])</f>
        <v>11</v>
      </c>
      <c r="AK162" s="3">
        <f>SUMIFS(tblStock[value_nzd],tblStock[sku],tblSKU[[#This Row],[sku]],tblStock[stock_type],"Expired")</f>
        <v>0</v>
      </c>
      <c r="AL162" s="3" cm="1">
        <f t="array" ref="AL162">SUM(SUMIFS(tblStock[value_nzd],tblStock[sku],tblSKU[[#This Row],[sku]],tblStock[stock_type],{"Saleable","FOC"},tblStock[expiry_date],"&lt;"&amp;EDATE(SnapshotDate,6)))</f>
        <v>0</v>
      </c>
    </row>
    <row r="163" spans="1:38">
      <c r="A163" s="1" t="s">
        <v>372</v>
      </c>
      <c r="B163" s="1" t="s">
        <v>373</v>
      </c>
      <c r="C163" s="1" t="s">
        <v>43</v>
      </c>
      <c r="D163" s="1" t="s">
        <v>37</v>
      </c>
      <c r="E163" s="1" t="s">
        <v>38</v>
      </c>
      <c r="F163" s="1" t="s">
        <v>39</v>
      </c>
      <c r="G163">
        <v>120</v>
      </c>
      <c r="H163">
        <v>41.6</v>
      </c>
      <c r="I163">
        <v>32.4</v>
      </c>
      <c r="J163">
        <v>31</v>
      </c>
      <c r="K163">
        <v>4.1779999999999998E-2</v>
      </c>
      <c r="L163">
        <v>11.45</v>
      </c>
      <c r="M163">
        <v>20.68</v>
      </c>
      <c r="N163">
        <v>6</v>
      </c>
      <c r="O163">
        <v>4</v>
      </c>
      <c r="P163">
        <v>24</v>
      </c>
      <c r="Q163">
        <v>139</v>
      </c>
      <c r="R163">
        <v>299.79999999999995</v>
      </c>
      <c r="S163">
        <v>1.0027200000000001</v>
      </c>
      <c r="T163">
        <v>580</v>
      </c>
      <c r="U163">
        <v>43791</v>
      </c>
      <c r="V163">
        <v>905597.88</v>
      </c>
      <c r="W163" s="1" t="s">
        <v>1264</v>
      </c>
      <c r="X163" s="1" t="s">
        <v>1264</v>
      </c>
      <c r="Y163">
        <v>6.8235294117647056</v>
      </c>
      <c r="Z163">
        <v>0.89442401960784312</v>
      </c>
      <c r="AA163" s="1" t="s">
        <v>1265</v>
      </c>
      <c r="AB163">
        <v>1</v>
      </c>
      <c r="AC163">
        <v>0</v>
      </c>
      <c r="AD163" s="1">
        <v>6.3514420771391382</v>
      </c>
      <c r="AE163">
        <v>12</v>
      </c>
      <c r="AF163">
        <f>COUNTIFS(tblStock[sku],tblSKU[[#This Row],[sku]])</f>
        <v>2</v>
      </c>
      <c r="AG163" cm="1">
        <f t="array" ref="AG163">SUM(SUMIFS(tblStock[qty_units],tblStock[sku],tblSKU[[#This Row],[sku]],tblStock[stock_type],{"Saleable","FOC"}))</f>
        <v>69534</v>
      </c>
      <c r="AH163" s="3">
        <f>SUMIFS(tblStock[value_nzd],tblStock[sku],tblSKU[[#This Row],[sku]])</f>
        <v>1437963.12</v>
      </c>
      <c r="AI163" s="4">
        <f>SUMIFS(tblStock[cbm],tblStock[sku],tblSKU[[#This Row],[sku]])</f>
        <v>24.209420999999999</v>
      </c>
      <c r="AJ163" s="1">
        <f>SUMIFS(tblStock[positions],tblStock[sku],tblSKU[[#This Row],[sku]])</f>
        <v>25</v>
      </c>
      <c r="AK163" s="3">
        <f>SUMIFS(tblStock[value_nzd],tblStock[sku],tblSKU[[#This Row],[sku]],tblStock[stock_type],"Expired")</f>
        <v>0</v>
      </c>
      <c r="AL163" s="3" cm="1">
        <f t="array" ref="AL163">SUM(SUMIFS(tblStock[value_nzd],tblStock[sku],tblSKU[[#This Row],[sku]],tblStock[stock_type],{"Saleable","FOC"},tblStock[expiry_date],"&lt;"&amp;EDATE(SnapshotDate,6)))</f>
        <v>0</v>
      </c>
    </row>
    <row r="164" spans="1:38">
      <c r="A164" s="1" t="s">
        <v>374</v>
      </c>
      <c r="B164" s="1" t="s">
        <v>375</v>
      </c>
      <c r="C164" s="1" t="s">
        <v>70</v>
      </c>
      <c r="D164" s="1" t="s">
        <v>37</v>
      </c>
      <c r="E164" s="1" t="s">
        <v>38</v>
      </c>
      <c r="F164" s="1" t="s">
        <v>39</v>
      </c>
      <c r="G164">
        <v>120</v>
      </c>
      <c r="H164">
        <v>32</v>
      </c>
      <c r="I164">
        <v>41</v>
      </c>
      <c r="J164">
        <v>18</v>
      </c>
      <c r="K164">
        <v>2.3619999999999999E-2</v>
      </c>
      <c r="L164">
        <v>3.83</v>
      </c>
      <c r="M164">
        <v>23.56</v>
      </c>
      <c r="N164">
        <v>6</v>
      </c>
      <c r="O164">
        <v>7</v>
      </c>
      <c r="P164">
        <v>42</v>
      </c>
      <c r="Q164">
        <v>141</v>
      </c>
      <c r="R164">
        <v>185.86</v>
      </c>
      <c r="S164">
        <v>0.99203999999999992</v>
      </c>
      <c r="T164">
        <v>235</v>
      </c>
      <c r="U164">
        <v>21624</v>
      </c>
      <c r="V164">
        <v>509461.43999999994</v>
      </c>
      <c r="W164" s="1" t="s">
        <v>1264</v>
      </c>
      <c r="X164" s="1" t="s">
        <v>1264</v>
      </c>
      <c r="Y164">
        <v>2.7647058823529411</v>
      </c>
      <c r="Z164">
        <v>0.25238095238095232</v>
      </c>
      <c r="AA164" s="1" t="s">
        <v>1265</v>
      </c>
      <c r="AB164">
        <v>1</v>
      </c>
      <c r="AC164">
        <v>0</v>
      </c>
      <c r="AD164" s="1">
        <v>4.5895301516833147</v>
      </c>
      <c r="AE164">
        <v>12</v>
      </c>
      <c r="AF164">
        <f>COUNTIFS(tblStock[sku],tblSKU[[#This Row],[sku]])</f>
        <v>1</v>
      </c>
      <c r="AG164" cm="1">
        <f t="array" ref="AG164">SUM(SUMIFS(tblStock[qty_units],tblStock[sku],tblSKU[[#This Row],[sku]],tblStock[stock_type],{"Saleable","FOC"}))</f>
        <v>24811</v>
      </c>
      <c r="AH164" s="3">
        <f>SUMIFS(tblStock[value_nzd],tblStock[sku],tblSKU[[#This Row],[sku]])</f>
        <v>584547.15999999992</v>
      </c>
      <c r="AI164" s="4">
        <f>SUMIFS(tblStock[cbm],tblStock[sku],tblSKU[[#This Row],[sku]])</f>
        <v>4.8836318333333333</v>
      </c>
      <c r="AJ164" s="1">
        <f>SUMIFS(tblStock[positions],tblStock[sku],tblSKU[[#This Row],[sku]])</f>
        <v>5</v>
      </c>
      <c r="AK164" s="3">
        <f>SUMIFS(tblStock[value_nzd],tblStock[sku],tblSKU[[#This Row],[sku]],tblStock[stock_type],"Expired")</f>
        <v>0</v>
      </c>
      <c r="AL164" s="3" cm="1">
        <f t="array" ref="AL164">SUM(SUMIFS(tblStock[value_nzd],tblStock[sku],tblSKU[[#This Row],[sku]],tblStock[stock_type],{"Saleable","FOC"},tblStock[expiry_date],"&lt;"&amp;EDATE(SnapshotDate,6)))</f>
        <v>0</v>
      </c>
    </row>
    <row r="165" spans="1:38">
      <c r="A165" s="1" t="s">
        <v>376</v>
      </c>
      <c r="B165" s="1" t="s">
        <v>377</v>
      </c>
      <c r="C165" s="1" t="s">
        <v>43</v>
      </c>
      <c r="D165" s="1" t="s">
        <v>37</v>
      </c>
      <c r="E165" s="1" t="s">
        <v>38</v>
      </c>
      <c r="F165" s="1" t="s">
        <v>39</v>
      </c>
      <c r="G165">
        <v>100</v>
      </c>
      <c r="H165">
        <v>55.8</v>
      </c>
      <c r="I165">
        <v>34.1</v>
      </c>
      <c r="J165">
        <v>19.2</v>
      </c>
      <c r="K165">
        <v>3.653E-2</v>
      </c>
      <c r="L165">
        <v>5.86</v>
      </c>
      <c r="M165">
        <v>9.48</v>
      </c>
      <c r="N165">
        <v>2</v>
      </c>
      <c r="O165">
        <v>3</v>
      </c>
      <c r="P165">
        <v>6</v>
      </c>
      <c r="Q165">
        <v>72.599999999999994</v>
      </c>
      <c r="R165">
        <v>60.160000000000004</v>
      </c>
      <c r="S165">
        <v>0.21917999999999999</v>
      </c>
      <c r="T165">
        <v>5</v>
      </c>
      <c r="U165">
        <v>343</v>
      </c>
      <c r="V165">
        <v>3251.6400000000003</v>
      </c>
      <c r="W165" s="1" t="s">
        <v>1262</v>
      </c>
      <c r="X165" s="1" t="s">
        <v>1262</v>
      </c>
      <c r="Y165">
        <v>5.8823529411764705E-2</v>
      </c>
      <c r="Z165">
        <v>3.362745098039216E-2</v>
      </c>
      <c r="AA165" s="1" t="s">
        <v>1263</v>
      </c>
      <c r="AB165">
        <v>0</v>
      </c>
      <c r="AC165">
        <v>0</v>
      </c>
      <c r="AD165" s="1">
        <v>7.2653061224489797</v>
      </c>
      <c r="AE165">
        <v>2</v>
      </c>
      <c r="AF165">
        <f>COUNTIFS(tblStock[sku],tblSKU[[#This Row],[sku]])</f>
        <v>3</v>
      </c>
      <c r="AG165" cm="1">
        <f t="array" ref="AG165">SUM(SUMIFS(tblStock[qty_units],tblStock[sku],tblSKU[[#This Row],[sku]],tblStock[stock_type],{"Saleable","FOC"}))</f>
        <v>623</v>
      </c>
      <c r="AH165" s="3">
        <f>SUMIFS(tblStock[value_nzd],tblStock[sku],tblSKU[[#This Row],[sku]])</f>
        <v>5906.04</v>
      </c>
      <c r="AI165" s="4">
        <f>SUMIFS(tblStock[cbm],tblStock[sku],tblSKU[[#This Row],[sku]])</f>
        <v>0.2275819</v>
      </c>
      <c r="AJ165" s="1">
        <f>SUMIFS(tblStock[positions],tblStock[sku],tblSKU[[#This Row],[sku]])</f>
        <v>0</v>
      </c>
      <c r="AK165" s="3">
        <f>SUMIFS(tblStock[value_nzd],tblStock[sku],tblSKU[[#This Row],[sku]],tblStock[stock_type],"Expired")</f>
        <v>0</v>
      </c>
      <c r="AL165" s="3" cm="1">
        <f t="array" ref="AL165">SUM(SUMIFS(tblStock[value_nzd],tblStock[sku],tblSKU[[#This Row],[sku]],tblStock[stock_type],{"Saleable","FOC"},tblStock[expiry_date],"&lt;"&amp;EDATE(SnapshotDate,6)))</f>
        <v>521.4</v>
      </c>
    </row>
    <row r="166" spans="1:38">
      <c r="A166" s="1" t="s">
        <v>378</v>
      </c>
      <c r="B166" s="1" t="s">
        <v>379</v>
      </c>
      <c r="C166" s="1" t="s">
        <v>36</v>
      </c>
      <c r="D166" s="1" t="s">
        <v>37</v>
      </c>
      <c r="E166" s="1" t="s">
        <v>38</v>
      </c>
      <c r="F166" s="1" t="s">
        <v>39</v>
      </c>
      <c r="G166">
        <v>100</v>
      </c>
      <c r="H166">
        <v>31.5</v>
      </c>
      <c r="I166">
        <v>26.1</v>
      </c>
      <c r="J166">
        <v>32.4</v>
      </c>
      <c r="K166">
        <v>2.664E-2</v>
      </c>
      <c r="L166">
        <v>6.72</v>
      </c>
      <c r="M166">
        <v>9.25</v>
      </c>
      <c r="N166">
        <v>12</v>
      </c>
      <c r="O166">
        <v>2</v>
      </c>
      <c r="P166">
        <v>24</v>
      </c>
      <c r="Q166">
        <v>79.8</v>
      </c>
      <c r="R166">
        <v>186.28</v>
      </c>
      <c r="S166">
        <v>0.63936000000000004</v>
      </c>
      <c r="T166">
        <v>98</v>
      </c>
      <c r="U166">
        <v>4649</v>
      </c>
      <c r="V166">
        <v>43003.25</v>
      </c>
      <c r="W166" s="1" t="s">
        <v>1264</v>
      </c>
      <c r="X166" s="1" t="s">
        <v>1258</v>
      </c>
      <c r="Y166">
        <v>1.1529411764705881</v>
      </c>
      <c r="Z166">
        <v>0.11394607843137255</v>
      </c>
      <c r="AA166" s="1" t="s">
        <v>1265</v>
      </c>
      <c r="AB166">
        <v>1</v>
      </c>
      <c r="AC166">
        <v>0</v>
      </c>
      <c r="AD166" s="1">
        <v>5.9961281996128202</v>
      </c>
      <c r="AE166">
        <v>4</v>
      </c>
      <c r="AF166">
        <f>COUNTIFS(tblStock[sku],tblSKU[[#This Row],[sku]])</f>
        <v>2</v>
      </c>
      <c r="AG166" cm="1">
        <f t="array" ref="AG166">SUM(SUMIFS(tblStock[qty_units],tblStock[sku],tblSKU[[#This Row],[sku]],tblStock[stock_type],{"Saleable","FOC"}))</f>
        <v>6969</v>
      </c>
      <c r="AH166" s="3">
        <f>SUMIFS(tblStock[value_nzd],tblStock[sku],tblSKU[[#This Row],[sku]])</f>
        <v>64463.25</v>
      </c>
      <c r="AI166" s="4">
        <f>SUMIFS(tblStock[cbm],tblStock[sku],tblSKU[[#This Row],[sku]])</f>
        <v>1.8565415999999999</v>
      </c>
      <c r="AJ166" s="1">
        <f>SUMIFS(tblStock[positions],tblStock[sku],tblSKU[[#This Row],[sku]])</f>
        <v>4</v>
      </c>
      <c r="AK166" s="3">
        <f>SUMIFS(tblStock[value_nzd],tblStock[sku],tblSKU[[#This Row],[sku]],tblStock[stock_type],"Expired")</f>
        <v>0</v>
      </c>
      <c r="AL166" s="3" cm="1">
        <f t="array" ref="AL166">SUM(SUMIFS(tblStock[value_nzd],tblStock[sku],tblSKU[[#This Row],[sku]],tblStock[stock_type],{"Saleable","FOC"},tblStock[expiry_date],"&lt;"&amp;EDATE(SnapshotDate,6)))</f>
        <v>0</v>
      </c>
    </row>
    <row r="167" spans="1:38">
      <c r="A167" s="1" t="s">
        <v>380</v>
      </c>
      <c r="B167" s="1" t="s">
        <v>381</v>
      </c>
      <c r="C167" s="1" t="s">
        <v>48</v>
      </c>
      <c r="D167" s="1" t="s">
        <v>37</v>
      </c>
      <c r="E167" s="1" t="s">
        <v>38</v>
      </c>
      <c r="F167" s="1" t="s">
        <v>39</v>
      </c>
      <c r="G167">
        <v>60</v>
      </c>
      <c r="H167">
        <v>50</v>
      </c>
      <c r="I167">
        <v>42.6</v>
      </c>
      <c r="J167">
        <v>33.5</v>
      </c>
      <c r="K167">
        <v>7.1360000000000007E-2</v>
      </c>
      <c r="L167">
        <v>13</v>
      </c>
      <c r="M167">
        <v>14.96</v>
      </c>
      <c r="N167">
        <v>4</v>
      </c>
      <c r="O167">
        <v>3</v>
      </c>
      <c r="P167">
        <v>12</v>
      </c>
      <c r="Q167">
        <v>115.5</v>
      </c>
      <c r="R167">
        <v>181</v>
      </c>
      <c r="S167">
        <v>0.85632000000000008</v>
      </c>
      <c r="T167">
        <v>50</v>
      </c>
      <c r="U167">
        <v>2610</v>
      </c>
      <c r="V167">
        <v>39045.600000000006</v>
      </c>
      <c r="W167" s="1" t="s">
        <v>1258</v>
      </c>
      <c r="X167" s="1" t="s">
        <v>1258</v>
      </c>
      <c r="Y167">
        <v>0.58823529411764708</v>
      </c>
      <c r="Z167">
        <v>0.21323529411764705</v>
      </c>
      <c r="AA167" s="1" t="s">
        <v>1259</v>
      </c>
      <c r="AB167">
        <v>0</v>
      </c>
      <c r="AC167">
        <v>1</v>
      </c>
      <c r="AD167" s="1">
        <v>2.4122605363984673</v>
      </c>
      <c r="AE167">
        <v>4</v>
      </c>
      <c r="AF167">
        <f>COUNTIFS(tblStock[sku],tblSKU[[#This Row],[sku]])</f>
        <v>2</v>
      </c>
      <c r="AG167" cm="1">
        <f t="array" ref="AG167">SUM(SUMIFS(tblStock[qty_units],tblStock[sku],tblSKU[[#This Row],[sku]],tblStock[stock_type],{"Saleable","FOC"}))</f>
        <v>1574</v>
      </c>
      <c r="AH167" s="3">
        <f>SUMIFS(tblStock[value_nzd],tblStock[sku],tblSKU[[#This Row],[sku]])</f>
        <v>23547.040000000001</v>
      </c>
      <c r="AI167" s="4">
        <f>SUMIFS(tblStock[cbm],tblStock[sku],tblSKU[[#This Row],[sku]])</f>
        <v>1.8720106666666672</v>
      </c>
      <c r="AJ167" s="1">
        <f>SUMIFS(tblStock[positions],tblStock[sku],tblSKU[[#This Row],[sku]])</f>
        <v>3</v>
      </c>
      <c r="AK167" s="3">
        <f>SUMIFS(tblStock[value_nzd],tblStock[sku],tblSKU[[#This Row],[sku]],tblStock[stock_type],"Expired")</f>
        <v>0</v>
      </c>
      <c r="AL167" s="3" cm="1">
        <f t="array" ref="AL167">SUM(SUMIFS(tblStock[value_nzd],tblStock[sku],tblSKU[[#This Row],[sku]],tblStock[stock_type],{"Saleable","FOC"},tblStock[expiry_date],"&lt;"&amp;EDATE(SnapshotDate,6)))</f>
        <v>0</v>
      </c>
    </row>
    <row r="168" spans="1:38">
      <c r="A168" s="1" t="s">
        <v>382</v>
      </c>
      <c r="B168" s="1" t="s">
        <v>383</v>
      </c>
      <c r="C168" s="1" t="s">
        <v>70</v>
      </c>
      <c r="D168" s="1" t="s">
        <v>37</v>
      </c>
      <c r="E168" s="1" t="s">
        <v>38</v>
      </c>
      <c r="F168" s="1" t="s">
        <v>39</v>
      </c>
      <c r="G168">
        <v>180</v>
      </c>
      <c r="H168">
        <v>38.5</v>
      </c>
      <c r="I168">
        <v>29.2</v>
      </c>
      <c r="J168">
        <v>24.9</v>
      </c>
      <c r="K168">
        <v>2.7990000000000001E-2</v>
      </c>
      <c r="L168">
        <v>5.5</v>
      </c>
      <c r="M168">
        <v>10.89</v>
      </c>
      <c r="N168">
        <v>9</v>
      </c>
      <c r="O168">
        <v>5</v>
      </c>
      <c r="P168">
        <v>45</v>
      </c>
      <c r="Q168">
        <v>139.5</v>
      </c>
      <c r="R168">
        <v>272.5</v>
      </c>
      <c r="S168">
        <v>1.2595499999999999</v>
      </c>
      <c r="T168">
        <v>117</v>
      </c>
      <c r="U168">
        <v>8309</v>
      </c>
      <c r="V168">
        <v>90485.010000000009</v>
      </c>
      <c r="W168" s="1" t="s">
        <v>1264</v>
      </c>
      <c r="X168" s="1" t="s">
        <v>1258</v>
      </c>
      <c r="Y168">
        <v>1.3764705882352941</v>
      </c>
      <c r="Z168">
        <v>6.0341321713870737E-2</v>
      </c>
      <c r="AA168" s="1" t="s">
        <v>1265</v>
      </c>
      <c r="AB168">
        <v>1</v>
      </c>
      <c r="AC168">
        <v>0</v>
      </c>
      <c r="AD168" s="1">
        <v>3.6009146708388493</v>
      </c>
      <c r="AE168">
        <v>4</v>
      </c>
      <c r="AF168">
        <f>COUNTIFS(tblStock[sku],tblSKU[[#This Row],[sku]])</f>
        <v>3</v>
      </c>
      <c r="AG168" cm="1">
        <f t="array" ref="AG168">SUM(SUMIFS(tblStock[qty_units],tblStock[sku],tblSKU[[#This Row],[sku]],tblStock[stock_type],{"Saleable","FOC"}))</f>
        <v>7480</v>
      </c>
      <c r="AH168" s="3">
        <f>SUMIFS(tblStock[value_nzd],tblStock[sku],tblSKU[[#This Row],[sku]])</f>
        <v>87969.42</v>
      </c>
      <c r="AI168" s="4">
        <f>SUMIFS(tblStock[cbm],tblStock[sku],tblSKU[[#This Row],[sku]])</f>
        <v>1.2561290000000001</v>
      </c>
      <c r="AJ168" s="1">
        <f>SUMIFS(tblStock[positions],tblStock[sku],tblSKU[[#This Row],[sku]])</f>
        <v>1</v>
      </c>
      <c r="AK168" s="3">
        <f>SUMIFS(tblStock[value_nzd],tblStock[sku],tblSKU[[#This Row],[sku]],tblStock[stock_type],"Expired")</f>
        <v>6512.22</v>
      </c>
      <c r="AL168" s="3" cm="1">
        <f t="array" ref="AL168">SUM(SUMIFS(tblStock[value_nzd],tblStock[sku],tblSKU[[#This Row],[sku]],tblStock[stock_type],{"Saleable","FOC"},tblStock[expiry_date],"&lt;"&amp;EDATE(SnapshotDate,6)))</f>
        <v>0</v>
      </c>
    </row>
    <row r="169" spans="1:38">
      <c r="A169" s="1" t="s">
        <v>384</v>
      </c>
      <c r="B169" s="1" t="s">
        <v>385</v>
      </c>
      <c r="C169" s="1" t="s">
        <v>70</v>
      </c>
      <c r="D169" s="1" t="s">
        <v>37</v>
      </c>
      <c r="E169" s="1" t="s">
        <v>38</v>
      </c>
      <c r="F169" s="1" t="s">
        <v>39</v>
      </c>
      <c r="G169">
        <v>240</v>
      </c>
      <c r="H169">
        <v>36.799999999999997</v>
      </c>
      <c r="I169">
        <v>39.299999999999997</v>
      </c>
      <c r="J169">
        <v>19.5</v>
      </c>
      <c r="K169">
        <v>2.8199999999999999E-2</v>
      </c>
      <c r="L169">
        <v>4.97</v>
      </c>
      <c r="M169">
        <v>7.23</v>
      </c>
      <c r="N169">
        <v>6</v>
      </c>
      <c r="O169">
        <v>5</v>
      </c>
      <c r="P169">
        <v>30</v>
      </c>
      <c r="Q169">
        <v>112.5</v>
      </c>
      <c r="R169">
        <v>174.1</v>
      </c>
      <c r="S169">
        <v>0.84599999999999997</v>
      </c>
      <c r="T169">
        <v>532</v>
      </c>
      <c r="U169">
        <v>66176</v>
      </c>
      <c r="V169">
        <v>478452.48000000004</v>
      </c>
      <c r="W169" s="1" t="s">
        <v>1264</v>
      </c>
      <c r="X169" s="1" t="s">
        <v>1264</v>
      </c>
      <c r="Y169">
        <v>6.2588235294117647</v>
      </c>
      <c r="Z169">
        <v>0.54065359477124175</v>
      </c>
      <c r="AA169" s="1" t="s">
        <v>1265</v>
      </c>
      <c r="AB169">
        <v>1</v>
      </c>
      <c r="AC169">
        <v>0</v>
      </c>
      <c r="AD169" s="1">
        <v>5.3639385880077368</v>
      </c>
      <c r="AE169">
        <v>12</v>
      </c>
      <c r="AF169">
        <f>COUNTIFS(tblStock[sku],tblSKU[[#This Row],[sku]])</f>
        <v>3</v>
      </c>
      <c r="AG169" cm="1">
        <f t="array" ref="AG169">SUM(SUMIFS(tblStock[qty_units],tblStock[sku],tblSKU[[#This Row],[sku]],tblStock[stock_type],{"Saleable","FOC"}))</f>
        <v>88741</v>
      </c>
      <c r="AH169" s="3">
        <f>SUMIFS(tblStock[value_nzd],tblStock[sku],tblSKU[[#This Row],[sku]])</f>
        <v>641597.43000000005</v>
      </c>
      <c r="AI169" s="4">
        <f>SUMIFS(tblStock[cbm],tblStock[sku],tblSKU[[#This Row],[sku]])</f>
        <v>10.4270675</v>
      </c>
      <c r="AJ169" s="1">
        <f>SUMIFS(tblStock[positions],tblStock[sku],tblSKU[[#This Row],[sku]])</f>
        <v>14</v>
      </c>
      <c r="AK169" s="3">
        <f>SUMIFS(tblStock[value_nzd],tblStock[sku],tblSKU[[#This Row],[sku]],tblStock[stock_type],"Expired")</f>
        <v>0</v>
      </c>
      <c r="AL169" s="3" cm="1">
        <f t="array" ref="AL169">SUM(SUMIFS(tblStock[value_nzd],tblStock[sku],tblSKU[[#This Row],[sku]],tblStock[stock_type],{"Saleable","FOC"},tblStock[expiry_date],"&lt;"&amp;EDATE(SnapshotDate,6)))</f>
        <v>0</v>
      </c>
    </row>
    <row r="170" spans="1:38">
      <c r="A170" s="1" t="s">
        <v>386</v>
      </c>
      <c r="B170" s="1" t="s">
        <v>387</v>
      </c>
      <c r="C170" s="1" t="s">
        <v>36</v>
      </c>
      <c r="D170" s="1" t="s">
        <v>37</v>
      </c>
      <c r="E170" s="1" t="s">
        <v>38</v>
      </c>
      <c r="F170" s="1" t="s">
        <v>39</v>
      </c>
      <c r="G170">
        <v>240</v>
      </c>
      <c r="H170">
        <v>38.200000000000003</v>
      </c>
      <c r="I170">
        <v>31.8</v>
      </c>
      <c r="J170">
        <v>20.6</v>
      </c>
      <c r="K170">
        <v>2.5020000000000001E-2</v>
      </c>
      <c r="L170">
        <v>3.94</v>
      </c>
      <c r="M170">
        <v>6.64</v>
      </c>
      <c r="N170">
        <v>9</v>
      </c>
      <c r="O170">
        <v>4</v>
      </c>
      <c r="P170">
        <v>36</v>
      </c>
      <c r="Q170">
        <v>97.4</v>
      </c>
      <c r="R170">
        <v>166.84</v>
      </c>
      <c r="S170">
        <v>0.90071999999999997</v>
      </c>
      <c r="T170">
        <v>60</v>
      </c>
      <c r="U170">
        <v>4967</v>
      </c>
      <c r="V170">
        <v>32980.879999999997</v>
      </c>
      <c r="W170" s="1" t="s">
        <v>1258</v>
      </c>
      <c r="X170" s="1" t="s">
        <v>1258</v>
      </c>
      <c r="Y170">
        <v>0.70588235294117652</v>
      </c>
      <c r="Z170">
        <v>3.3816721132897604E-2</v>
      </c>
      <c r="AA170" s="1" t="s">
        <v>1259</v>
      </c>
      <c r="AB170">
        <v>0</v>
      </c>
      <c r="AC170">
        <v>1</v>
      </c>
      <c r="AD170" s="1">
        <v>4.8214213811153614</v>
      </c>
      <c r="AE170">
        <v>4</v>
      </c>
      <c r="AF170">
        <f>COUNTIFS(tblStock[sku],tblSKU[[#This Row],[sku]])</f>
        <v>1</v>
      </c>
      <c r="AG170" cm="1">
        <f t="array" ref="AG170">SUM(SUMIFS(tblStock[qty_units],tblStock[sku],tblSKU[[#This Row],[sku]],tblStock[stock_type],{"Saleable","FOC"}))</f>
        <v>5987</v>
      </c>
      <c r="AH170" s="3">
        <f>SUMIFS(tblStock[value_nzd],tblStock[sku],tblSKU[[#This Row],[sku]])</f>
        <v>39753.68</v>
      </c>
      <c r="AI170" s="4">
        <f>SUMIFS(tblStock[cbm],tblStock[sku],tblSKU[[#This Row],[sku]])</f>
        <v>0.62414475000000003</v>
      </c>
      <c r="AJ170" s="1">
        <f>SUMIFS(tblStock[positions],tblStock[sku],tblSKU[[#This Row],[sku]])</f>
        <v>1</v>
      </c>
      <c r="AK170" s="3">
        <f>SUMIFS(tblStock[value_nzd],tblStock[sku],tblSKU[[#This Row],[sku]],tblStock[stock_type],"Expired")</f>
        <v>0</v>
      </c>
      <c r="AL170" s="3" cm="1">
        <f t="array" ref="AL170">SUM(SUMIFS(tblStock[value_nzd],tblStock[sku],tblSKU[[#This Row],[sku]],tblStock[stock_type],{"Saleable","FOC"},tblStock[expiry_date],"&lt;"&amp;EDATE(SnapshotDate,6)))</f>
        <v>0</v>
      </c>
    </row>
    <row r="171" spans="1:38">
      <c r="A171" s="1" t="s">
        <v>388</v>
      </c>
      <c r="B171" s="1" t="s">
        <v>389</v>
      </c>
      <c r="C171" s="1" t="s">
        <v>43</v>
      </c>
      <c r="D171" s="1" t="s">
        <v>37</v>
      </c>
      <c r="E171" s="1" t="s">
        <v>38</v>
      </c>
      <c r="F171" s="1" t="s">
        <v>39</v>
      </c>
      <c r="G171">
        <v>240</v>
      </c>
      <c r="H171">
        <v>37.5</v>
      </c>
      <c r="I171">
        <v>40.4</v>
      </c>
      <c r="J171">
        <v>17.600000000000001</v>
      </c>
      <c r="K171">
        <v>2.666E-2</v>
      </c>
      <c r="L171">
        <v>6.81</v>
      </c>
      <c r="M171">
        <v>6.11</v>
      </c>
      <c r="N171">
        <v>6</v>
      </c>
      <c r="O171">
        <v>6</v>
      </c>
      <c r="P171">
        <v>36</v>
      </c>
      <c r="Q171">
        <v>120.60000000000001</v>
      </c>
      <c r="R171">
        <v>270.15999999999997</v>
      </c>
      <c r="S171">
        <v>0.95975999999999995</v>
      </c>
      <c r="T171">
        <v>32</v>
      </c>
      <c r="U171">
        <v>1978</v>
      </c>
      <c r="V171">
        <v>12085.58</v>
      </c>
      <c r="W171" s="1" t="s">
        <v>1258</v>
      </c>
      <c r="X171" s="1" t="s">
        <v>1262</v>
      </c>
      <c r="Y171">
        <v>0.37647058823529411</v>
      </c>
      <c r="Z171">
        <v>1.3466775599128542E-2</v>
      </c>
      <c r="AA171" s="1" t="s">
        <v>1259</v>
      </c>
      <c r="AB171">
        <v>0</v>
      </c>
      <c r="AC171">
        <v>1</v>
      </c>
      <c r="AD171" s="1">
        <v>13.015166835187058</v>
      </c>
      <c r="AE171">
        <v>2</v>
      </c>
      <c r="AF171">
        <f>COUNTIFS(tblStock[sku],tblSKU[[#This Row],[sku]])</f>
        <v>3</v>
      </c>
      <c r="AG171" cm="1">
        <f t="array" ref="AG171">SUM(SUMIFS(tblStock[qty_units],tblStock[sku],tblSKU[[#This Row],[sku]],tblStock[stock_type],{"Saleable","FOC"}))</f>
        <v>6436</v>
      </c>
      <c r="AH171" s="3">
        <f>SUMIFS(tblStock[value_nzd],tblStock[sku],tblSKU[[#This Row],[sku]])</f>
        <v>39323.960000000006</v>
      </c>
      <c r="AI171" s="4">
        <f>SUMIFS(tblStock[cbm],tblStock[sku],tblSKU[[#This Row],[sku]])</f>
        <v>0.71493233333333328</v>
      </c>
      <c r="AJ171" s="1">
        <f>SUMIFS(tblStock[positions],tblStock[sku],tblSKU[[#This Row],[sku]])</f>
        <v>1</v>
      </c>
      <c r="AK171" s="3">
        <f>SUMIFS(tblStock[value_nzd],tblStock[sku],tblSKU[[#This Row],[sku]],tblStock[stock_type],"Expired")</f>
        <v>0</v>
      </c>
      <c r="AL171" s="3" cm="1">
        <f t="array" ref="AL171">SUM(SUMIFS(tblStock[value_nzd],tblStock[sku],tblSKU[[#This Row],[sku]],tblStock[stock_type],{"Saleable","FOC"},tblStock[expiry_date],"&lt;"&amp;EDATE(SnapshotDate,6)))</f>
        <v>0</v>
      </c>
    </row>
    <row r="172" spans="1:38">
      <c r="A172" s="1" t="s">
        <v>390</v>
      </c>
      <c r="B172" s="1" t="s">
        <v>391</v>
      </c>
      <c r="C172" s="1" t="s">
        <v>36</v>
      </c>
      <c r="D172" s="1" t="s">
        <v>37</v>
      </c>
      <c r="E172" s="1" t="s">
        <v>38</v>
      </c>
      <c r="F172" s="1" t="s">
        <v>39</v>
      </c>
      <c r="G172">
        <v>60</v>
      </c>
      <c r="H172">
        <v>49</v>
      </c>
      <c r="I172">
        <v>32</v>
      </c>
      <c r="J172">
        <v>16.5</v>
      </c>
      <c r="K172">
        <v>2.5870000000000001E-2</v>
      </c>
      <c r="L172">
        <v>6.8</v>
      </c>
      <c r="M172">
        <v>22.78</v>
      </c>
      <c r="N172">
        <v>5</v>
      </c>
      <c r="O172">
        <v>4</v>
      </c>
      <c r="P172">
        <v>20</v>
      </c>
      <c r="Q172">
        <v>81</v>
      </c>
      <c r="R172">
        <v>161</v>
      </c>
      <c r="S172">
        <v>0.51739999999999997</v>
      </c>
      <c r="T172">
        <v>38</v>
      </c>
      <c r="U172">
        <v>2127</v>
      </c>
      <c r="V172">
        <v>48453.060000000005</v>
      </c>
      <c r="W172" s="1" t="s">
        <v>1258</v>
      </c>
      <c r="X172" s="1" t="s">
        <v>1258</v>
      </c>
      <c r="Y172">
        <v>0.44705882352941179</v>
      </c>
      <c r="Z172">
        <v>0.10426470588235295</v>
      </c>
      <c r="AA172" s="1" t="s">
        <v>1259</v>
      </c>
      <c r="AB172">
        <v>0</v>
      </c>
      <c r="AC172">
        <v>1</v>
      </c>
      <c r="AD172" s="1">
        <v>3.0559473436765399</v>
      </c>
      <c r="AE172">
        <v>4</v>
      </c>
      <c r="AF172">
        <f>COUNTIFS(tblStock[sku],tblSKU[[#This Row],[sku]])</f>
        <v>2</v>
      </c>
      <c r="AG172" cm="1">
        <f t="array" ref="AG172">SUM(SUMIFS(tblStock[qty_units],tblStock[sku],tblSKU[[#This Row],[sku]],tblStock[stock_type],{"Saleable","FOC"}))</f>
        <v>1625</v>
      </c>
      <c r="AH172" s="3">
        <f>SUMIFS(tblStock[value_nzd],tblStock[sku],tblSKU[[#This Row],[sku]])</f>
        <v>37017.5</v>
      </c>
      <c r="AI172" s="4">
        <f>SUMIFS(tblStock[cbm],tblStock[sku],tblSKU[[#This Row],[sku]])</f>
        <v>0.7006458333333333</v>
      </c>
      <c r="AJ172" s="1">
        <f>SUMIFS(tblStock[positions],tblStock[sku],tblSKU[[#This Row],[sku]])</f>
        <v>2</v>
      </c>
      <c r="AK172" s="3">
        <f>SUMIFS(tblStock[value_nzd],tblStock[sku],tblSKU[[#This Row],[sku]],tblStock[stock_type],"Expired")</f>
        <v>0</v>
      </c>
      <c r="AL172" s="3" cm="1">
        <f t="array" ref="AL172">SUM(SUMIFS(tblStock[value_nzd],tblStock[sku],tblSKU[[#This Row],[sku]],tblStock[stock_type],{"Saleable","FOC"},tblStock[expiry_date],"&lt;"&amp;EDATE(SnapshotDate,6)))</f>
        <v>35263.440000000002</v>
      </c>
    </row>
    <row r="173" spans="1:38">
      <c r="A173" s="1" t="s">
        <v>392</v>
      </c>
      <c r="B173" s="1" t="s">
        <v>393</v>
      </c>
      <c r="C173" s="1" t="s">
        <v>48</v>
      </c>
      <c r="D173" s="1" t="s">
        <v>37</v>
      </c>
      <c r="E173" s="1" t="s">
        <v>38</v>
      </c>
      <c r="F173" s="1" t="s">
        <v>39</v>
      </c>
      <c r="G173">
        <v>100</v>
      </c>
      <c r="H173">
        <v>36.299999999999997</v>
      </c>
      <c r="I173">
        <v>34.700000000000003</v>
      </c>
      <c r="J173">
        <v>29.4</v>
      </c>
      <c r="K173">
        <v>3.703E-2</v>
      </c>
      <c r="L173">
        <v>7.34</v>
      </c>
      <c r="M173">
        <v>8.75</v>
      </c>
      <c r="N173">
        <v>6</v>
      </c>
      <c r="O173">
        <v>3</v>
      </c>
      <c r="P173">
        <v>18</v>
      </c>
      <c r="Q173">
        <v>103.19999999999999</v>
      </c>
      <c r="R173">
        <v>157.12</v>
      </c>
      <c r="S173">
        <v>0.66654000000000002</v>
      </c>
      <c r="T173">
        <v>176</v>
      </c>
      <c r="U173">
        <v>10046</v>
      </c>
      <c r="V173">
        <v>87902.5</v>
      </c>
      <c r="W173" s="1" t="s">
        <v>1264</v>
      </c>
      <c r="X173" s="1" t="s">
        <v>1258</v>
      </c>
      <c r="Y173">
        <v>2.0705882352941178</v>
      </c>
      <c r="Z173">
        <v>0.32830065359477123</v>
      </c>
      <c r="AA173" s="1" t="s">
        <v>1265</v>
      </c>
      <c r="AB173">
        <v>1</v>
      </c>
      <c r="AC173">
        <v>0</v>
      </c>
      <c r="AD173" s="1">
        <v>2.7927533346605613</v>
      </c>
      <c r="AE173">
        <v>4</v>
      </c>
      <c r="AF173">
        <f>COUNTIFS(tblStock[sku],tblSKU[[#This Row],[sku]])</f>
        <v>1</v>
      </c>
      <c r="AG173" cm="1">
        <f t="array" ref="AG173">SUM(SUMIFS(tblStock[qty_units],tblStock[sku],tblSKU[[#This Row],[sku]],tblStock[stock_type],{"Saleable","FOC"}))</f>
        <v>7014</v>
      </c>
      <c r="AH173" s="3">
        <f>SUMIFS(tblStock[value_nzd],tblStock[sku],tblSKU[[#This Row],[sku]])</f>
        <v>61372.5</v>
      </c>
      <c r="AI173" s="4">
        <f>SUMIFS(tblStock[cbm],tblStock[sku],tblSKU[[#This Row],[sku]])</f>
        <v>2.5972842000000003</v>
      </c>
      <c r="AJ173" s="1">
        <f>SUMIFS(tblStock[positions],tblStock[sku],tblSKU[[#This Row],[sku]])</f>
        <v>4</v>
      </c>
      <c r="AK173" s="3">
        <f>SUMIFS(tblStock[value_nzd],tblStock[sku],tblSKU[[#This Row],[sku]],tblStock[stock_type],"Expired")</f>
        <v>0</v>
      </c>
      <c r="AL173" s="3" cm="1">
        <f t="array" ref="AL173">SUM(SUMIFS(tblStock[value_nzd],tblStock[sku],tblSKU[[#This Row],[sku]],tblStock[stock_type],{"Saleable","FOC"},tblStock[expiry_date],"&lt;"&amp;EDATE(SnapshotDate,6)))</f>
        <v>61372.5</v>
      </c>
    </row>
    <row r="174" spans="1:38">
      <c r="A174" s="1" t="s">
        <v>394</v>
      </c>
      <c r="B174" s="1" t="s">
        <v>395</v>
      </c>
      <c r="C174" s="1" t="s">
        <v>52</v>
      </c>
      <c r="D174" s="1" t="s">
        <v>37</v>
      </c>
      <c r="E174" s="1" t="s">
        <v>38</v>
      </c>
      <c r="F174" s="1" t="s">
        <v>39</v>
      </c>
      <c r="G174">
        <v>60</v>
      </c>
      <c r="H174">
        <v>50.1</v>
      </c>
      <c r="I174">
        <v>37.5</v>
      </c>
      <c r="J174">
        <v>28.7</v>
      </c>
      <c r="K174">
        <v>5.3920000000000003E-2</v>
      </c>
      <c r="L174">
        <v>8.93</v>
      </c>
      <c r="M174">
        <v>16.670000000000002</v>
      </c>
      <c r="N174">
        <v>4</v>
      </c>
      <c r="O174">
        <v>3</v>
      </c>
      <c r="P174">
        <v>12</v>
      </c>
      <c r="Q174">
        <v>101.1</v>
      </c>
      <c r="R174">
        <v>132.16</v>
      </c>
      <c r="S174">
        <v>0.64704000000000006</v>
      </c>
      <c r="T174">
        <v>6</v>
      </c>
      <c r="U174">
        <v>302</v>
      </c>
      <c r="V174">
        <v>5034.34</v>
      </c>
      <c r="W174" s="1" t="s">
        <v>1262</v>
      </c>
      <c r="X174" s="1" t="s">
        <v>1262</v>
      </c>
      <c r="Y174">
        <v>7.0588235294117646E-2</v>
      </c>
      <c r="Z174">
        <v>2.4673202614379084E-2</v>
      </c>
      <c r="AA174" s="1" t="s">
        <v>1263</v>
      </c>
      <c r="AB174">
        <v>0</v>
      </c>
      <c r="AC174">
        <v>0</v>
      </c>
      <c r="AD174" s="1">
        <v>26.211920529801326</v>
      </c>
      <c r="AE174">
        <v>2</v>
      </c>
      <c r="AF174">
        <f>COUNTIFS(tblStock[sku],tblSKU[[#This Row],[sku]])</f>
        <v>1</v>
      </c>
      <c r="AG174" cm="1">
        <f t="array" ref="AG174">SUM(SUMIFS(tblStock[qty_units],tblStock[sku],tblSKU[[#This Row],[sku]],tblStock[stock_type],{"Saleable","FOC"}))</f>
        <v>1979</v>
      </c>
      <c r="AH174" s="3">
        <f>SUMIFS(tblStock[value_nzd],tblStock[sku],tblSKU[[#This Row],[sku]])</f>
        <v>32989.93</v>
      </c>
      <c r="AI174" s="4">
        <f>SUMIFS(tblStock[cbm],tblStock[sku],tblSKU[[#This Row],[sku]])</f>
        <v>1.7784613333333334</v>
      </c>
      <c r="AJ174" s="1">
        <f>SUMIFS(tblStock[positions],tblStock[sku],tblSKU[[#This Row],[sku]])</f>
        <v>3</v>
      </c>
      <c r="AK174" s="3">
        <f>SUMIFS(tblStock[value_nzd],tblStock[sku],tblSKU[[#This Row],[sku]],tblStock[stock_type],"Expired")</f>
        <v>0</v>
      </c>
      <c r="AL174" s="3" cm="1">
        <f t="array" ref="AL174">SUM(SUMIFS(tblStock[value_nzd],tblStock[sku],tblSKU[[#This Row],[sku]],tblStock[stock_type],{"Saleable","FOC"},tblStock[expiry_date],"&lt;"&amp;EDATE(SnapshotDate,6)))</f>
        <v>0</v>
      </c>
    </row>
    <row r="175" spans="1:38">
      <c r="A175" s="1" t="s">
        <v>396</v>
      </c>
      <c r="B175" s="1" t="s">
        <v>397</v>
      </c>
      <c r="C175" s="1" t="s">
        <v>70</v>
      </c>
      <c r="D175" s="1" t="s">
        <v>37</v>
      </c>
      <c r="E175" s="1" t="s">
        <v>38</v>
      </c>
      <c r="F175" s="1" t="s">
        <v>39</v>
      </c>
      <c r="G175">
        <v>180</v>
      </c>
      <c r="H175">
        <v>40.200000000000003</v>
      </c>
      <c r="I175">
        <v>31.4</v>
      </c>
      <c r="J175">
        <v>31.5</v>
      </c>
      <c r="K175">
        <v>3.9759999999999997E-2</v>
      </c>
      <c r="L175">
        <v>10.38</v>
      </c>
      <c r="M175">
        <v>21.95</v>
      </c>
      <c r="N175">
        <v>6</v>
      </c>
      <c r="O175">
        <v>2</v>
      </c>
      <c r="P175">
        <v>12</v>
      </c>
      <c r="Q175">
        <v>78</v>
      </c>
      <c r="R175">
        <v>149.56</v>
      </c>
      <c r="S175">
        <v>0.47711999999999999</v>
      </c>
      <c r="T175">
        <v>90</v>
      </c>
      <c r="U175">
        <v>8113</v>
      </c>
      <c r="V175">
        <v>178080.35</v>
      </c>
      <c r="W175" s="1" t="s">
        <v>1264</v>
      </c>
      <c r="X175" s="1" t="s">
        <v>1264</v>
      </c>
      <c r="Y175">
        <v>1.0588235294117647</v>
      </c>
      <c r="Z175">
        <v>0.22094226579520701</v>
      </c>
      <c r="AA175" s="1" t="s">
        <v>1265</v>
      </c>
      <c r="AB175">
        <v>1</v>
      </c>
      <c r="AC175">
        <v>0</v>
      </c>
      <c r="AD175" s="1">
        <v>2.7649451497596451</v>
      </c>
      <c r="AE175">
        <v>12</v>
      </c>
      <c r="AF175">
        <f>COUNTIFS(tblStock[sku],tblSKU[[#This Row],[sku]])</f>
        <v>2</v>
      </c>
      <c r="AG175" cm="1">
        <f t="array" ref="AG175">SUM(SUMIFS(tblStock[qty_units],tblStock[sku],tblSKU[[#This Row],[sku]],tblStock[stock_type],{"Saleable","FOC"}))</f>
        <v>5608</v>
      </c>
      <c r="AH175" s="3">
        <f>SUMIFS(tblStock[value_nzd],tblStock[sku],tblSKU[[#This Row],[sku]])</f>
        <v>123095.59999999999</v>
      </c>
      <c r="AI175" s="4">
        <f>SUMIFS(tblStock[cbm],tblStock[sku],tblSKU[[#This Row],[sku]])</f>
        <v>1.2387448888888888</v>
      </c>
      <c r="AJ175" s="1">
        <f>SUMIFS(tblStock[positions],tblStock[sku],tblSKU[[#This Row],[sku]])</f>
        <v>3</v>
      </c>
      <c r="AK175" s="3">
        <f>SUMIFS(tblStock[value_nzd],tblStock[sku],tblSKU[[#This Row],[sku]],tblStock[stock_type],"Expired")</f>
        <v>0</v>
      </c>
      <c r="AL175" s="3" cm="1">
        <f t="array" ref="AL175">SUM(SUMIFS(tblStock[value_nzd],tblStock[sku],tblSKU[[#This Row],[sku]],tblStock[stock_type],{"Saleable","FOC"},tblStock[expiry_date],"&lt;"&amp;EDATE(SnapshotDate,6)))</f>
        <v>0</v>
      </c>
    </row>
    <row r="176" spans="1:38">
      <c r="A176" s="1" t="s">
        <v>398</v>
      </c>
      <c r="B176" s="1" t="s">
        <v>399</v>
      </c>
      <c r="C176" s="1" t="s">
        <v>48</v>
      </c>
      <c r="D176" s="1" t="s">
        <v>37</v>
      </c>
      <c r="E176" s="1" t="s">
        <v>38</v>
      </c>
      <c r="F176" s="1" t="s">
        <v>39</v>
      </c>
      <c r="G176">
        <v>60</v>
      </c>
      <c r="H176">
        <v>50</v>
      </c>
      <c r="I176">
        <v>39.4</v>
      </c>
      <c r="J176">
        <v>17.2</v>
      </c>
      <c r="K176">
        <v>3.388E-2</v>
      </c>
      <c r="L176">
        <v>9.0500000000000007</v>
      </c>
      <c r="M176">
        <v>4.26</v>
      </c>
      <c r="N176">
        <v>6</v>
      </c>
      <c r="O176">
        <v>4</v>
      </c>
      <c r="P176">
        <v>24</v>
      </c>
      <c r="Q176">
        <v>83.8</v>
      </c>
      <c r="R176">
        <v>242.20000000000002</v>
      </c>
      <c r="S176">
        <v>0.81312000000000006</v>
      </c>
      <c r="T176">
        <v>55</v>
      </c>
      <c r="U176">
        <v>2632</v>
      </c>
      <c r="V176">
        <v>11212.32</v>
      </c>
      <c r="W176" s="1" t="s">
        <v>1258</v>
      </c>
      <c r="X176" s="1" t="s">
        <v>1262</v>
      </c>
      <c r="Y176">
        <v>0.6470588235294118</v>
      </c>
      <c r="Z176">
        <v>0.10751633986928105</v>
      </c>
      <c r="AA176" s="1" t="s">
        <v>1259</v>
      </c>
      <c r="AB176">
        <v>0</v>
      </c>
      <c r="AC176">
        <v>1</v>
      </c>
      <c r="AD176" s="1">
        <v>2.5045592705167175</v>
      </c>
      <c r="AE176">
        <v>2</v>
      </c>
      <c r="AF176">
        <f>COUNTIFS(tblStock[sku],tblSKU[[#This Row],[sku]])</f>
        <v>3</v>
      </c>
      <c r="AG176" cm="1">
        <f t="array" ref="AG176">SUM(SUMIFS(tblStock[qty_units],tblStock[sku],tblSKU[[#This Row],[sku]],tblStock[stock_type],{"Saleable","FOC"}))</f>
        <v>1648</v>
      </c>
      <c r="AH176" s="3">
        <f>SUMIFS(tblStock[value_nzd],tblStock[sku],tblSKU[[#This Row],[sku]])</f>
        <v>7020.48</v>
      </c>
      <c r="AI176" s="4">
        <f>SUMIFS(tblStock[cbm],tblStock[sku],tblSKU[[#This Row],[sku]])</f>
        <v>0.93057066666666666</v>
      </c>
      <c r="AJ176" s="1">
        <f>SUMIFS(tblStock[positions],tblStock[sku],tblSKU[[#This Row],[sku]])</f>
        <v>2</v>
      </c>
      <c r="AK176" s="3">
        <f>SUMIFS(tblStock[value_nzd],tblStock[sku],tblSKU[[#This Row],[sku]],tblStock[stock_type],"Expired")</f>
        <v>0</v>
      </c>
      <c r="AL176" s="3" cm="1">
        <f t="array" ref="AL176">SUM(SUMIFS(tblStock[value_nzd],tblStock[sku],tblSKU[[#This Row],[sku]],tblStock[stock_type],{"Saleable","FOC"},tblStock[expiry_date],"&lt;"&amp;EDATE(SnapshotDate,6)))</f>
        <v>2751.96</v>
      </c>
    </row>
    <row r="177" spans="1:38">
      <c r="A177" s="1" t="s">
        <v>400</v>
      </c>
      <c r="B177" s="1" t="s">
        <v>401</v>
      </c>
      <c r="C177" s="1" t="s">
        <v>36</v>
      </c>
      <c r="D177" s="1" t="s">
        <v>37</v>
      </c>
      <c r="E177" s="1" t="s">
        <v>38</v>
      </c>
      <c r="F177" s="1" t="s">
        <v>39</v>
      </c>
      <c r="G177">
        <v>180</v>
      </c>
      <c r="H177">
        <v>36.200000000000003</v>
      </c>
      <c r="I177">
        <v>44</v>
      </c>
      <c r="J177">
        <v>17.899999999999999</v>
      </c>
      <c r="K177">
        <v>2.8510000000000001E-2</v>
      </c>
      <c r="L177">
        <v>4.57</v>
      </c>
      <c r="M177">
        <v>18.940000000000001</v>
      </c>
      <c r="N177">
        <v>4</v>
      </c>
      <c r="O177">
        <v>6</v>
      </c>
      <c r="P177">
        <v>24</v>
      </c>
      <c r="Q177">
        <v>122.39999999999999</v>
      </c>
      <c r="R177">
        <v>134.68</v>
      </c>
      <c r="S177">
        <v>0.68423999999999996</v>
      </c>
      <c r="T177">
        <v>2</v>
      </c>
      <c r="U177">
        <v>22</v>
      </c>
      <c r="V177">
        <v>416.68</v>
      </c>
      <c r="W177" s="1" t="s">
        <v>1262</v>
      </c>
      <c r="X177" s="1" t="s">
        <v>1262</v>
      </c>
      <c r="Y177">
        <v>2.3529411764705882E-2</v>
      </c>
      <c r="Z177">
        <v>2.9956427015250545E-4</v>
      </c>
      <c r="AA177" s="1" t="s">
        <v>1263</v>
      </c>
      <c r="AB177">
        <v>0</v>
      </c>
      <c r="AC177">
        <v>0</v>
      </c>
      <c r="AD177" s="1">
        <v>14.181818181818182</v>
      </c>
      <c r="AE177">
        <v>2</v>
      </c>
      <c r="AF177">
        <f>COUNTIFS(tblStock[sku],tblSKU[[#This Row],[sku]])</f>
        <v>2</v>
      </c>
      <c r="AG177" cm="1">
        <f t="array" ref="AG177">SUM(SUMIFS(tblStock[qty_units],tblStock[sku],tblSKU[[#This Row],[sku]],tblStock[stock_type],{"Saleable","FOC"}))</f>
        <v>78</v>
      </c>
      <c r="AH177" s="3">
        <f>SUMIFS(tblStock[value_nzd],tblStock[sku],tblSKU[[#This Row],[sku]])</f>
        <v>1477.3200000000002</v>
      </c>
      <c r="AI177" s="4">
        <f>SUMIFS(tblStock[cbm],tblStock[sku],tblSKU[[#This Row],[sku]])</f>
        <v>1.2354333333333333E-2</v>
      </c>
      <c r="AJ177" s="1">
        <f>SUMIFS(tblStock[positions],tblStock[sku],tblSKU[[#This Row],[sku]])</f>
        <v>0</v>
      </c>
      <c r="AK177" s="3">
        <f>SUMIFS(tblStock[value_nzd],tblStock[sku],tblSKU[[#This Row],[sku]],tblStock[stock_type],"Expired")</f>
        <v>0</v>
      </c>
      <c r="AL177" s="3" cm="1">
        <f t="array" ref="AL177">SUM(SUMIFS(tblStock[value_nzd],tblStock[sku],tblSKU[[#This Row],[sku]],tblStock[stock_type],{"Saleable","FOC"},tblStock[expiry_date],"&lt;"&amp;EDATE(SnapshotDate,6)))</f>
        <v>0</v>
      </c>
    </row>
    <row r="178" spans="1:38">
      <c r="A178" s="1" t="s">
        <v>402</v>
      </c>
      <c r="B178" s="1" t="s">
        <v>403</v>
      </c>
      <c r="C178" s="1" t="s">
        <v>67</v>
      </c>
      <c r="D178" s="1" t="s">
        <v>37</v>
      </c>
      <c r="E178" s="1" t="s">
        <v>38</v>
      </c>
      <c r="F178" s="1" t="s">
        <v>39</v>
      </c>
      <c r="G178">
        <v>240</v>
      </c>
      <c r="H178">
        <v>58.5</v>
      </c>
      <c r="I178">
        <v>39</v>
      </c>
      <c r="J178">
        <v>22.3</v>
      </c>
      <c r="K178">
        <v>5.0880000000000002E-2</v>
      </c>
      <c r="L178">
        <v>12.81</v>
      </c>
      <c r="M178">
        <v>8.16</v>
      </c>
      <c r="N178">
        <v>4</v>
      </c>
      <c r="O178">
        <v>4</v>
      </c>
      <c r="P178">
        <v>16</v>
      </c>
      <c r="Q178">
        <v>104.2</v>
      </c>
      <c r="R178">
        <v>229.96</v>
      </c>
      <c r="S178">
        <v>0.81408000000000003</v>
      </c>
      <c r="T178">
        <v>70</v>
      </c>
      <c r="U178">
        <v>5539</v>
      </c>
      <c r="V178">
        <v>45198.239999999998</v>
      </c>
      <c r="W178" s="1" t="s">
        <v>1258</v>
      </c>
      <c r="X178" s="1" t="s">
        <v>1258</v>
      </c>
      <c r="Y178">
        <v>0.82352941176470584</v>
      </c>
      <c r="Z178">
        <v>8.4849877450980382E-2</v>
      </c>
      <c r="AA178" s="1" t="s">
        <v>1259</v>
      </c>
      <c r="AB178">
        <v>0</v>
      </c>
      <c r="AC178">
        <v>1</v>
      </c>
      <c r="AD178" s="1">
        <v>14.19389781549016</v>
      </c>
      <c r="AE178">
        <v>4</v>
      </c>
      <c r="AF178">
        <f>COUNTIFS(tblStock[sku],tblSKU[[#This Row],[sku]])</f>
        <v>2</v>
      </c>
      <c r="AG178" cm="1">
        <f t="array" ref="AG178">SUM(SUMIFS(tblStock[qty_units],tblStock[sku],tblSKU[[#This Row],[sku]],tblStock[stock_type],{"Saleable","FOC"}))</f>
        <v>19655</v>
      </c>
      <c r="AH178" s="3">
        <f>SUMIFS(tblStock[value_nzd],tblStock[sku],tblSKU[[#This Row],[sku]])</f>
        <v>160384.79999999999</v>
      </c>
      <c r="AI178" s="4">
        <f>SUMIFS(tblStock[cbm],tblStock[sku],tblSKU[[#This Row],[sku]])</f>
        <v>4.1668599999999998</v>
      </c>
      <c r="AJ178" s="1">
        <f>SUMIFS(tblStock[positions],tblStock[sku],tblSKU[[#This Row],[sku]])</f>
        <v>6</v>
      </c>
      <c r="AK178" s="3">
        <f>SUMIFS(tblStock[value_nzd],tblStock[sku],tblSKU[[#This Row],[sku]],tblStock[stock_type],"Expired")</f>
        <v>0</v>
      </c>
      <c r="AL178" s="3" cm="1">
        <f t="array" ref="AL178">SUM(SUMIFS(tblStock[value_nzd],tblStock[sku],tblSKU[[#This Row],[sku]],tblStock[stock_type],{"Saleable","FOC"},tblStock[expiry_date],"&lt;"&amp;EDATE(SnapshotDate,6)))</f>
        <v>0</v>
      </c>
    </row>
    <row r="179" spans="1:38">
      <c r="A179" s="1" t="s">
        <v>404</v>
      </c>
      <c r="B179" s="1" t="s">
        <v>405</v>
      </c>
      <c r="C179" s="1" t="s">
        <v>48</v>
      </c>
      <c r="D179" s="1" t="s">
        <v>37</v>
      </c>
      <c r="E179" s="1" t="s">
        <v>38</v>
      </c>
      <c r="F179" s="1" t="s">
        <v>39</v>
      </c>
      <c r="G179">
        <v>120</v>
      </c>
      <c r="H179">
        <v>52.6</v>
      </c>
      <c r="I179">
        <v>43.1</v>
      </c>
      <c r="J179">
        <v>27.8</v>
      </c>
      <c r="K179">
        <v>6.3020000000000007E-2</v>
      </c>
      <c r="L179">
        <v>12.5</v>
      </c>
      <c r="M179">
        <v>24.13</v>
      </c>
      <c r="N179">
        <v>2</v>
      </c>
      <c r="O179">
        <v>3</v>
      </c>
      <c r="P179">
        <v>6</v>
      </c>
      <c r="Q179">
        <v>98.4</v>
      </c>
      <c r="R179">
        <v>100</v>
      </c>
      <c r="S179">
        <v>0.37812000000000001</v>
      </c>
      <c r="T179">
        <v>9</v>
      </c>
      <c r="U179">
        <v>449</v>
      </c>
      <c r="V179">
        <v>10834.369999999999</v>
      </c>
      <c r="W179" s="1" t="s">
        <v>1262</v>
      </c>
      <c r="X179" s="1" t="s">
        <v>1262</v>
      </c>
      <c r="Y179">
        <v>0.10588235294117647</v>
      </c>
      <c r="Z179">
        <v>3.6683006535947714E-2</v>
      </c>
      <c r="AA179" s="1" t="s">
        <v>1263</v>
      </c>
      <c r="AB179">
        <v>0</v>
      </c>
      <c r="AC179">
        <v>0</v>
      </c>
      <c r="AD179" s="1">
        <v>19.483296213808462</v>
      </c>
      <c r="AE179">
        <v>2</v>
      </c>
      <c r="AF179">
        <f>COUNTIFS(tblStock[sku],tblSKU[[#This Row],[sku]])</f>
        <v>3</v>
      </c>
      <c r="AG179" cm="1">
        <f t="array" ref="AG179">SUM(SUMIFS(tblStock[qty_units],tblStock[sku],tblSKU[[#This Row],[sku]],tblStock[stock_type],{"Saleable","FOC"}))</f>
        <v>2187</v>
      </c>
      <c r="AH179" s="3">
        <f>SUMIFS(tblStock[value_nzd],tblStock[sku],tblSKU[[#This Row],[sku]])</f>
        <v>52772.30999999999</v>
      </c>
      <c r="AI179" s="4">
        <f>SUMIFS(tblStock[cbm],tblStock[sku],tblSKU[[#This Row],[sku]])</f>
        <v>1.1485395</v>
      </c>
      <c r="AJ179" s="1">
        <f>SUMIFS(tblStock[positions],tblStock[sku],tblSKU[[#This Row],[sku]])</f>
        <v>3</v>
      </c>
      <c r="AK179" s="3">
        <f>SUMIFS(tblStock[value_nzd],tblStock[sku],tblSKU[[#This Row],[sku]],tblStock[stock_type],"Expired")</f>
        <v>0</v>
      </c>
      <c r="AL179" s="3" cm="1">
        <f t="array" ref="AL179">SUM(SUMIFS(tblStock[value_nzd],tblStock[sku],tblSKU[[#This Row],[sku]],tblStock[stock_type],{"Saleable","FOC"},tblStock[expiry_date],"&lt;"&amp;EDATE(SnapshotDate,6)))</f>
        <v>0</v>
      </c>
    </row>
    <row r="180" spans="1:38">
      <c r="A180" s="1" t="s">
        <v>406</v>
      </c>
      <c r="B180" s="1" t="s">
        <v>407</v>
      </c>
      <c r="C180" s="1" t="s">
        <v>67</v>
      </c>
      <c r="D180" s="1" t="s">
        <v>37</v>
      </c>
      <c r="E180" s="1" t="s">
        <v>38</v>
      </c>
      <c r="F180" s="1" t="s">
        <v>39</v>
      </c>
      <c r="G180">
        <v>60</v>
      </c>
      <c r="H180">
        <v>48.6</v>
      </c>
      <c r="I180">
        <v>27</v>
      </c>
      <c r="J180">
        <v>26.2</v>
      </c>
      <c r="K180">
        <v>3.4380000000000001E-2</v>
      </c>
      <c r="L180">
        <v>6.75</v>
      </c>
      <c r="M180">
        <v>7.73</v>
      </c>
      <c r="N180">
        <v>8</v>
      </c>
      <c r="O180">
        <v>3</v>
      </c>
      <c r="P180">
        <v>24</v>
      </c>
      <c r="Q180">
        <v>93.6</v>
      </c>
      <c r="R180">
        <v>187</v>
      </c>
      <c r="S180">
        <v>0.82512000000000008</v>
      </c>
      <c r="T180">
        <v>672</v>
      </c>
      <c r="U180">
        <v>31566</v>
      </c>
      <c r="V180">
        <v>244005.18000000002</v>
      </c>
      <c r="W180" s="1" t="s">
        <v>1264</v>
      </c>
      <c r="X180" s="1" t="s">
        <v>1264</v>
      </c>
      <c r="Y180">
        <v>7.9058823529411768</v>
      </c>
      <c r="Z180">
        <v>1.2894607843137254</v>
      </c>
      <c r="AA180" s="1" t="s">
        <v>1265</v>
      </c>
      <c r="AB180">
        <v>1</v>
      </c>
      <c r="AC180">
        <v>0</v>
      </c>
      <c r="AD180" s="1">
        <v>3.5957675980485333</v>
      </c>
      <c r="AE180">
        <v>12</v>
      </c>
      <c r="AF180">
        <f>COUNTIFS(tblStock[sku],tblSKU[[#This Row],[sku]])</f>
        <v>3</v>
      </c>
      <c r="AG180" cm="1">
        <f t="array" ref="AG180">SUM(SUMIFS(tblStock[qty_units],tblStock[sku],tblSKU[[#This Row],[sku]],tblStock[stock_type],{"Saleable","FOC"}))</f>
        <v>28376</v>
      </c>
      <c r="AH180" s="3">
        <f>SUMIFS(tblStock[value_nzd],tblStock[sku],tblSKU[[#This Row],[sku]])</f>
        <v>236893.58</v>
      </c>
      <c r="AI180" s="4">
        <f>SUMIFS(tblStock[cbm],tblStock[sku],tblSKU[[#This Row],[sku]])</f>
        <v>17.560157999999998</v>
      </c>
      <c r="AJ180" s="1">
        <f>SUMIFS(tblStock[positions],tblStock[sku],tblSKU[[#This Row],[sku]])</f>
        <v>21</v>
      </c>
      <c r="AK180" s="3">
        <f>SUMIFS(tblStock[value_nzd],tblStock[sku],tblSKU[[#This Row],[sku]],tblStock[stock_type],"Expired")</f>
        <v>17547.100000000002</v>
      </c>
      <c r="AL180" s="3" cm="1">
        <f t="array" ref="AL180">SUM(SUMIFS(tblStock[value_nzd],tblStock[sku],tblSKU[[#This Row],[sku]],tblStock[stock_type],{"Saleable","FOC"},tblStock[expiry_date],"&lt;"&amp;EDATE(SnapshotDate,6)))</f>
        <v>0</v>
      </c>
    </row>
    <row r="181" spans="1:38">
      <c r="A181" s="1" t="s">
        <v>408</v>
      </c>
      <c r="B181" s="1" t="s">
        <v>409</v>
      </c>
      <c r="C181" s="1" t="s">
        <v>48</v>
      </c>
      <c r="D181" s="1" t="s">
        <v>37</v>
      </c>
      <c r="E181" s="1" t="s">
        <v>38</v>
      </c>
      <c r="F181" s="1" t="s">
        <v>39</v>
      </c>
      <c r="G181">
        <v>180</v>
      </c>
      <c r="H181">
        <v>38.1</v>
      </c>
      <c r="I181">
        <v>29.4</v>
      </c>
      <c r="J181">
        <v>18.899999999999999</v>
      </c>
      <c r="K181">
        <v>2.1170000000000001E-2</v>
      </c>
      <c r="L181">
        <v>3.89</v>
      </c>
      <c r="M181">
        <v>21.23</v>
      </c>
      <c r="N181">
        <v>9</v>
      </c>
      <c r="O181">
        <v>6</v>
      </c>
      <c r="P181">
        <v>54</v>
      </c>
      <c r="Q181">
        <v>128.39999999999998</v>
      </c>
      <c r="R181">
        <v>235.06</v>
      </c>
      <c r="S181">
        <v>1.1431800000000001</v>
      </c>
      <c r="T181">
        <v>15</v>
      </c>
      <c r="U181">
        <v>824</v>
      </c>
      <c r="V181">
        <v>17493.52</v>
      </c>
      <c r="W181" s="1" t="s">
        <v>1262</v>
      </c>
      <c r="X181" s="1" t="s">
        <v>1262</v>
      </c>
      <c r="Y181">
        <v>0.17647058823529413</v>
      </c>
      <c r="Z181">
        <v>4.986686032437666E-3</v>
      </c>
      <c r="AA181" s="1" t="s">
        <v>1263</v>
      </c>
      <c r="AB181">
        <v>0</v>
      </c>
      <c r="AC181">
        <v>0</v>
      </c>
      <c r="AD181" s="1">
        <v>3.4757281553398056</v>
      </c>
      <c r="AE181">
        <v>2</v>
      </c>
      <c r="AF181">
        <f>COUNTIFS(tblStock[sku],tblSKU[[#This Row],[sku]])</f>
        <v>1</v>
      </c>
      <c r="AG181" cm="1">
        <f t="array" ref="AG181">SUM(SUMIFS(tblStock[qty_units],tblStock[sku],tblSKU[[#This Row],[sku]],tblStock[stock_type],{"Saleable","FOC"}))</f>
        <v>716</v>
      </c>
      <c r="AH181" s="3">
        <f>SUMIFS(tblStock[value_nzd],tblStock[sku],tblSKU[[#This Row],[sku]])</f>
        <v>15200.68</v>
      </c>
      <c r="AI181" s="4">
        <f>SUMIFS(tblStock[cbm],tblStock[sku],tblSKU[[#This Row],[sku]])</f>
        <v>8.4209555555555565E-2</v>
      </c>
      <c r="AJ181" s="1">
        <f>SUMIFS(tblStock[positions],tblStock[sku],tblSKU[[#This Row],[sku]])</f>
        <v>0</v>
      </c>
      <c r="AK181" s="3">
        <f>SUMIFS(tblStock[value_nzd],tblStock[sku],tblSKU[[#This Row],[sku]],tblStock[stock_type],"Expired")</f>
        <v>0</v>
      </c>
      <c r="AL181" s="3" cm="1">
        <f t="array" ref="AL181">SUM(SUMIFS(tblStock[value_nzd],tblStock[sku],tblSKU[[#This Row],[sku]],tblStock[stock_type],{"Saleable","FOC"},tblStock[expiry_date],"&lt;"&amp;EDATE(SnapshotDate,6)))</f>
        <v>0</v>
      </c>
    </row>
    <row r="182" spans="1:38">
      <c r="A182" s="1" t="s">
        <v>410</v>
      </c>
      <c r="B182" s="1" t="s">
        <v>411</v>
      </c>
      <c r="C182" s="1" t="s">
        <v>43</v>
      </c>
      <c r="D182" s="1" t="s">
        <v>37</v>
      </c>
      <c r="E182" s="1" t="s">
        <v>38</v>
      </c>
      <c r="F182" s="1" t="s">
        <v>39</v>
      </c>
      <c r="G182">
        <v>120</v>
      </c>
      <c r="H182">
        <v>43.1</v>
      </c>
      <c r="I182">
        <v>28.1</v>
      </c>
      <c r="J182">
        <v>27.5</v>
      </c>
      <c r="K182">
        <v>3.3309999999999999E-2</v>
      </c>
      <c r="L182">
        <v>8.89</v>
      </c>
      <c r="M182">
        <v>9.08</v>
      </c>
      <c r="N182">
        <v>7</v>
      </c>
      <c r="O182">
        <v>3</v>
      </c>
      <c r="P182">
        <v>21</v>
      </c>
      <c r="Q182">
        <v>97.5</v>
      </c>
      <c r="R182">
        <v>211.69</v>
      </c>
      <c r="S182">
        <v>0.69950999999999997</v>
      </c>
      <c r="T182">
        <v>135</v>
      </c>
      <c r="U182">
        <v>9365</v>
      </c>
      <c r="V182">
        <v>85034.2</v>
      </c>
      <c r="W182" s="1" t="s">
        <v>1264</v>
      </c>
      <c r="X182" s="1" t="s">
        <v>1258</v>
      </c>
      <c r="Y182">
        <v>1.588235294117647</v>
      </c>
      <c r="Z182">
        <v>0.21860410830999066</v>
      </c>
      <c r="AA182" s="1" t="s">
        <v>1265</v>
      </c>
      <c r="AB182">
        <v>1</v>
      </c>
      <c r="AC182">
        <v>0</v>
      </c>
      <c r="AD182" s="1">
        <v>7.8974906567004801</v>
      </c>
      <c r="AE182">
        <v>4</v>
      </c>
      <c r="AF182">
        <f>COUNTIFS(tblStock[sku],tblSKU[[#This Row],[sku]])</f>
        <v>2</v>
      </c>
      <c r="AG182" cm="1">
        <f t="array" ref="AG182">SUM(SUMIFS(tblStock[qty_units],tblStock[sku],tblSKU[[#This Row],[sku]],tblStock[stock_type],{"Saleable","FOC"}))</f>
        <v>18490</v>
      </c>
      <c r="AH182" s="3">
        <f>SUMIFS(tblStock[value_nzd],tblStock[sku],tblSKU[[#This Row],[sku]])</f>
        <v>167889.19999999998</v>
      </c>
      <c r="AI182" s="4">
        <f>SUMIFS(tblStock[cbm],tblStock[sku],tblSKU[[#This Row],[sku]])</f>
        <v>5.1325158333333327</v>
      </c>
      <c r="AJ182" s="1">
        <f>SUMIFS(tblStock[positions],tblStock[sku],tblSKU[[#This Row],[sku]])</f>
        <v>7</v>
      </c>
      <c r="AK182" s="3">
        <f>SUMIFS(tblStock[value_nzd],tblStock[sku],tblSKU[[#This Row],[sku]],tblStock[stock_type],"Expired")</f>
        <v>0</v>
      </c>
      <c r="AL182" s="3" cm="1">
        <f t="array" ref="AL182">SUM(SUMIFS(tblStock[value_nzd],tblStock[sku],tblSKU[[#This Row],[sku]],tblStock[stock_type],{"Saleable","FOC"},tblStock[expiry_date],"&lt;"&amp;EDATE(SnapshotDate,6)))</f>
        <v>0</v>
      </c>
    </row>
    <row r="183" spans="1:38">
      <c r="A183" s="1" t="s">
        <v>412</v>
      </c>
      <c r="B183" s="1" t="s">
        <v>413</v>
      </c>
      <c r="C183" s="1" t="s">
        <v>43</v>
      </c>
      <c r="D183" s="1" t="s">
        <v>37</v>
      </c>
      <c r="E183" s="1" t="s">
        <v>38</v>
      </c>
      <c r="F183" s="1" t="s">
        <v>39</v>
      </c>
      <c r="G183">
        <v>240</v>
      </c>
      <c r="H183">
        <v>48.6</v>
      </c>
      <c r="I183">
        <v>33.9</v>
      </c>
      <c r="J183">
        <v>34.9</v>
      </c>
      <c r="K183">
        <v>5.7500000000000002E-2</v>
      </c>
      <c r="L183">
        <v>17.22</v>
      </c>
      <c r="M183">
        <v>6.27</v>
      </c>
      <c r="N183">
        <v>6</v>
      </c>
      <c r="O183">
        <v>2</v>
      </c>
      <c r="P183">
        <v>12</v>
      </c>
      <c r="Q183">
        <v>84.8</v>
      </c>
      <c r="R183">
        <v>231.64</v>
      </c>
      <c r="S183">
        <v>0.69000000000000006</v>
      </c>
      <c r="T183">
        <v>26</v>
      </c>
      <c r="U183">
        <v>920</v>
      </c>
      <c r="V183">
        <v>5768.4</v>
      </c>
      <c r="W183" s="1" t="s">
        <v>1258</v>
      </c>
      <c r="X183" s="1" t="s">
        <v>1262</v>
      </c>
      <c r="Y183">
        <v>0.30588235294117649</v>
      </c>
      <c r="Z183">
        <v>1.8790849673202614E-2</v>
      </c>
      <c r="AA183" s="1" t="s">
        <v>1259</v>
      </c>
      <c r="AB183">
        <v>0</v>
      </c>
      <c r="AC183">
        <v>1</v>
      </c>
      <c r="AD183" s="1">
        <v>2.508695652173913</v>
      </c>
      <c r="AE183">
        <v>2</v>
      </c>
      <c r="AF183">
        <f>COUNTIFS(tblStock[sku],tblSKU[[#This Row],[sku]])</f>
        <v>1</v>
      </c>
      <c r="AG183" cm="1">
        <f t="array" ref="AG183">SUM(SUMIFS(tblStock[qty_units],tblStock[sku],tblSKU[[#This Row],[sku]],tblStock[stock_type],{"Saleable","FOC"}))</f>
        <v>577</v>
      </c>
      <c r="AH183" s="3">
        <f>SUMIFS(tblStock[value_nzd],tblStock[sku],tblSKU[[#This Row],[sku]])</f>
        <v>3617.79</v>
      </c>
      <c r="AI183" s="4">
        <f>SUMIFS(tblStock[cbm],tblStock[sku],tblSKU[[#This Row],[sku]])</f>
        <v>0.13823958333333333</v>
      </c>
      <c r="AJ183" s="1">
        <f>SUMIFS(tblStock[positions],tblStock[sku],tblSKU[[#This Row],[sku]])</f>
        <v>0</v>
      </c>
      <c r="AK183" s="3">
        <f>SUMIFS(tblStock[value_nzd],tblStock[sku],tblSKU[[#This Row],[sku]],tblStock[stock_type],"Expired")</f>
        <v>0</v>
      </c>
      <c r="AL183" s="3" cm="1">
        <f t="array" ref="AL183">SUM(SUMIFS(tblStock[value_nzd],tblStock[sku],tblSKU[[#This Row],[sku]],tblStock[stock_type],{"Saleable","FOC"},tblStock[expiry_date],"&lt;"&amp;EDATE(SnapshotDate,6)))</f>
        <v>0</v>
      </c>
    </row>
    <row r="184" spans="1:38">
      <c r="A184" s="1" t="s">
        <v>414</v>
      </c>
      <c r="B184" s="1" t="s">
        <v>415</v>
      </c>
      <c r="C184" s="1" t="s">
        <v>48</v>
      </c>
      <c r="D184" s="1" t="s">
        <v>37</v>
      </c>
      <c r="E184" s="1" t="s">
        <v>38</v>
      </c>
      <c r="F184" s="1" t="s">
        <v>39</v>
      </c>
      <c r="G184">
        <v>180</v>
      </c>
      <c r="H184">
        <v>38.799999999999997</v>
      </c>
      <c r="I184">
        <v>27.4</v>
      </c>
      <c r="J184">
        <v>34.799999999999997</v>
      </c>
      <c r="K184">
        <v>3.6999999999999998E-2</v>
      </c>
      <c r="L184">
        <v>8.57</v>
      </c>
      <c r="M184">
        <v>22.33</v>
      </c>
      <c r="N184">
        <v>8</v>
      </c>
      <c r="O184">
        <v>4</v>
      </c>
      <c r="P184">
        <v>32</v>
      </c>
      <c r="Q184">
        <v>154.19999999999999</v>
      </c>
      <c r="R184">
        <v>299.24</v>
      </c>
      <c r="S184">
        <v>1.1839999999999999</v>
      </c>
      <c r="T184">
        <v>7</v>
      </c>
      <c r="U184">
        <v>939</v>
      </c>
      <c r="V184">
        <v>20967.87</v>
      </c>
      <c r="W184" s="1" t="s">
        <v>1262</v>
      </c>
      <c r="X184" s="1" t="s">
        <v>1262</v>
      </c>
      <c r="Y184">
        <v>8.2352941176470587E-2</v>
      </c>
      <c r="Z184">
        <v>9.5894607843137261E-3</v>
      </c>
      <c r="AA184" s="1" t="s">
        <v>1263</v>
      </c>
      <c r="AB184">
        <v>0</v>
      </c>
      <c r="AC184">
        <v>0</v>
      </c>
      <c r="AD184" s="1">
        <v>5.6826411075612357</v>
      </c>
      <c r="AE184">
        <v>2</v>
      </c>
      <c r="AF184">
        <f>COUNTIFS(tblStock[sku],tblSKU[[#This Row],[sku]])</f>
        <v>2</v>
      </c>
      <c r="AG184" cm="1">
        <f t="array" ref="AG184">SUM(SUMIFS(tblStock[qty_units],tblStock[sku],tblSKU[[#This Row],[sku]],tblStock[stock_type],{"Saleable","FOC"}))</f>
        <v>1334</v>
      </c>
      <c r="AH184" s="3">
        <f>SUMIFS(tblStock[value_nzd],tblStock[sku],tblSKU[[#This Row],[sku]])</f>
        <v>29788.219999999998</v>
      </c>
      <c r="AI184" s="4">
        <f>SUMIFS(tblStock[cbm],tblStock[sku],tblSKU[[#This Row],[sku]])</f>
        <v>0.27421111111111113</v>
      </c>
      <c r="AJ184" s="1">
        <f>SUMIFS(tblStock[positions],tblStock[sku],tblSKU[[#This Row],[sku]])</f>
        <v>0</v>
      </c>
      <c r="AK184" s="3">
        <f>SUMIFS(tblStock[value_nzd],tblStock[sku],tblSKU[[#This Row],[sku]],tblStock[stock_type],"Expired")</f>
        <v>0</v>
      </c>
      <c r="AL184" s="3" cm="1">
        <f t="array" ref="AL184">SUM(SUMIFS(tblStock[value_nzd],tblStock[sku],tblSKU[[#This Row],[sku]],tblStock[stock_type],{"Saleable","FOC"},tblStock[expiry_date],"&lt;"&amp;EDATE(SnapshotDate,6)))</f>
        <v>0</v>
      </c>
    </row>
    <row r="185" spans="1:38">
      <c r="A185" s="1" t="s">
        <v>416</v>
      </c>
      <c r="B185" s="1" t="s">
        <v>417</v>
      </c>
      <c r="C185" s="1" t="s">
        <v>70</v>
      </c>
      <c r="D185" s="1" t="s">
        <v>37</v>
      </c>
      <c r="E185" s="1" t="s">
        <v>38</v>
      </c>
      <c r="F185" s="1" t="s">
        <v>39</v>
      </c>
      <c r="G185">
        <v>120</v>
      </c>
      <c r="H185">
        <v>46.4</v>
      </c>
      <c r="I185">
        <v>25.3</v>
      </c>
      <c r="J185">
        <v>21.5</v>
      </c>
      <c r="K185">
        <v>2.5239999999999999E-2</v>
      </c>
      <c r="L185">
        <v>5.1100000000000003</v>
      </c>
      <c r="M185">
        <v>11.84</v>
      </c>
      <c r="N185">
        <v>8</v>
      </c>
      <c r="O185">
        <v>3</v>
      </c>
      <c r="P185">
        <v>24</v>
      </c>
      <c r="Q185">
        <v>79.5</v>
      </c>
      <c r="R185">
        <v>147.64000000000001</v>
      </c>
      <c r="S185">
        <v>0.60575999999999997</v>
      </c>
      <c r="T185">
        <v>72</v>
      </c>
      <c r="U185">
        <v>7014</v>
      </c>
      <c r="V185">
        <v>83045.759999999995</v>
      </c>
      <c r="W185" s="1" t="s">
        <v>1258</v>
      </c>
      <c r="X185" s="1" t="s">
        <v>1258</v>
      </c>
      <c r="Y185">
        <v>0.84705882352941175</v>
      </c>
      <c r="Z185">
        <v>0.14325980392156865</v>
      </c>
      <c r="AA185" s="1" t="s">
        <v>1259</v>
      </c>
      <c r="AB185">
        <v>0</v>
      </c>
      <c r="AC185">
        <v>1</v>
      </c>
      <c r="AD185" s="1">
        <v>3.0886797832905617</v>
      </c>
      <c r="AE185">
        <v>4</v>
      </c>
      <c r="AF185">
        <f>COUNTIFS(tblStock[sku],tblSKU[[#This Row],[sku]])</f>
        <v>1</v>
      </c>
      <c r="AG185" cm="1">
        <f t="array" ref="AG185">SUM(SUMIFS(tblStock[qty_units],tblStock[sku],tblSKU[[#This Row],[sku]],tblStock[stock_type],{"Saleable","FOC"}))</f>
        <v>5416</v>
      </c>
      <c r="AH185" s="3">
        <f>SUMIFS(tblStock[value_nzd],tblStock[sku],tblSKU[[#This Row],[sku]])</f>
        <v>64125.440000000002</v>
      </c>
      <c r="AI185" s="4">
        <f>SUMIFS(tblStock[cbm],tblStock[sku],tblSKU[[#This Row],[sku]])</f>
        <v>1.1391653333333334</v>
      </c>
      <c r="AJ185" s="1">
        <f>SUMIFS(tblStock[positions],tblStock[sku],tblSKU[[#This Row],[sku]])</f>
        <v>2</v>
      </c>
      <c r="AK185" s="3">
        <f>SUMIFS(tblStock[value_nzd],tblStock[sku],tblSKU[[#This Row],[sku]],tblStock[stock_type],"Expired")</f>
        <v>0</v>
      </c>
      <c r="AL185" s="3" cm="1">
        <f t="array" ref="AL185">SUM(SUMIFS(tblStock[value_nzd],tblStock[sku],tblSKU[[#This Row],[sku]],tblStock[stock_type],{"Saleable","FOC"},tblStock[expiry_date],"&lt;"&amp;EDATE(SnapshotDate,6)))</f>
        <v>0</v>
      </c>
    </row>
    <row r="186" spans="1:38">
      <c r="A186" s="1" t="s">
        <v>418</v>
      </c>
      <c r="B186" s="1" t="s">
        <v>419</v>
      </c>
      <c r="C186" s="1" t="s">
        <v>43</v>
      </c>
      <c r="D186" s="1" t="s">
        <v>37</v>
      </c>
      <c r="E186" s="1" t="s">
        <v>38</v>
      </c>
      <c r="F186" s="1" t="s">
        <v>39</v>
      </c>
      <c r="G186">
        <v>100</v>
      </c>
      <c r="H186">
        <v>30.3</v>
      </c>
      <c r="I186">
        <v>37.5</v>
      </c>
      <c r="J186">
        <v>32</v>
      </c>
      <c r="K186">
        <v>3.6360000000000003E-2</v>
      </c>
      <c r="L186">
        <v>7.62</v>
      </c>
      <c r="M186">
        <v>8.07</v>
      </c>
      <c r="N186">
        <v>9</v>
      </c>
      <c r="O186">
        <v>4</v>
      </c>
      <c r="P186">
        <v>36</v>
      </c>
      <c r="Q186">
        <v>143</v>
      </c>
      <c r="R186">
        <v>299.32</v>
      </c>
      <c r="S186">
        <v>1.3089600000000001</v>
      </c>
      <c r="T186">
        <v>5</v>
      </c>
      <c r="U186">
        <v>71</v>
      </c>
      <c r="V186">
        <v>572.97</v>
      </c>
      <c r="W186" s="1" t="s">
        <v>1262</v>
      </c>
      <c r="X186" s="1" t="s">
        <v>1262</v>
      </c>
      <c r="Y186">
        <v>5.8823529411764705E-2</v>
      </c>
      <c r="Z186">
        <v>1.1601307189542482E-3</v>
      </c>
      <c r="AA186" s="1" t="s">
        <v>1263</v>
      </c>
      <c r="AB186">
        <v>0</v>
      </c>
      <c r="AC186">
        <v>0</v>
      </c>
      <c r="AD186" s="1">
        <v>16</v>
      </c>
      <c r="AE186">
        <v>2</v>
      </c>
      <c r="AF186">
        <f>COUNTIFS(tblStock[sku],tblSKU[[#This Row],[sku]])</f>
        <v>2</v>
      </c>
      <c r="AG186" cm="1">
        <f t="array" ref="AG186">SUM(SUMIFS(tblStock[qty_units],tblStock[sku],tblSKU[[#This Row],[sku]],tblStock[stock_type],{"Saleable","FOC"}))</f>
        <v>284</v>
      </c>
      <c r="AH186" s="3">
        <f>SUMIFS(tblStock[value_nzd],tblStock[sku],tblSKU[[#This Row],[sku]])</f>
        <v>2291.88</v>
      </c>
      <c r="AI186" s="4">
        <f>SUMIFS(tblStock[cbm],tblStock[sku],tblSKU[[#This Row],[sku]])</f>
        <v>0.10326240000000002</v>
      </c>
      <c r="AJ186" s="1">
        <f>SUMIFS(tblStock[positions],tblStock[sku],tblSKU[[#This Row],[sku]])</f>
        <v>0</v>
      </c>
      <c r="AK186" s="3">
        <f>SUMIFS(tblStock[value_nzd],tblStock[sku],tblSKU[[#This Row],[sku]],tblStock[stock_type],"Expired")</f>
        <v>0</v>
      </c>
      <c r="AL186" s="3" cm="1">
        <f t="array" ref="AL186">SUM(SUMIFS(tblStock[value_nzd],tblStock[sku],tblSKU[[#This Row],[sku]],tblStock[stock_type],{"Saleable","FOC"},tblStock[expiry_date],"&lt;"&amp;EDATE(SnapshotDate,6)))</f>
        <v>0</v>
      </c>
    </row>
    <row r="187" spans="1:38">
      <c r="A187" s="1" t="s">
        <v>420</v>
      </c>
      <c r="B187" s="1" t="s">
        <v>421</v>
      </c>
      <c r="C187" s="1" t="s">
        <v>36</v>
      </c>
      <c r="D187" s="1" t="s">
        <v>37</v>
      </c>
      <c r="E187" s="1" t="s">
        <v>38</v>
      </c>
      <c r="F187" s="1" t="s">
        <v>39</v>
      </c>
      <c r="G187">
        <v>180</v>
      </c>
      <c r="H187">
        <v>47.2</v>
      </c>
      <c r="I187">
        <v>28.6</v>
      </c>
      <c r="J187">
        <v>21.1</v>
      </c>
      <c r="K187">
        <v>2.8479999999999998E-2</v>
      </c>
      <c r="L187">
        <v>5.44</v>
      </c>
      <c r="M187">
        <v>7.47</v>
      </c>
      <c r="N187">
        <v>8</v>
      </c>
      <c r="O187">
        <v>5</v>
      </c>
      <c r="P187">
        <v>40</v>
      </c>
      <c r="Q187">
        <v>120.5</v>
      </c>
      <c r="R187">
        <v>242.60000000000002</v>
      </c>
      <c r="S187">
        <v>1.1392</v>
      </c>
      <c r="T187">
        <v>29</v>
      </c>
      <c r="U187">
        <v>2761</v>
      </c>
      <c r="V187">
        <v>20624.669999999998</v>
      </c>
      <c r="W187" s="1" t="s">
        <v>1258</v>
      </c>
      <c r="X187" s="1" t="s">
        <v>1262</v>
      </c>
      <c r="Y187">
        <v>0.3411764705882353</v>
      </c>
      <c r="Z187">
        <v>2.255718954248366E-2</v>
      </c>
      <c r="AA187" s="1" t="s">
        <v>1259</v>
      </c>
      <c r="AB187">
        <v>0</v>
      </c>
      <c r="AC187">
        <v>1</v>
      </c>
      <c r="AD187" s="1">
        <v>5.2922854038391884</v>
      </c>
      <c r="AE187">
        <v>2</v>
      </c>
      <c r="AF187">
        <f>COUNTIFS(tblStock[sku],tblSKU[[#This Row],[sku]])</f>
        <v>3</v>
      </c>
      <c r="AG187" cm="1">
        <f t="array" ref="AG187">SUM(SUMIFS(tblStock[qty_units],tblStock[sku],tblSKU[[#This Row],[sku]],tblStock[stock_type],{"Saleable","FOC"}))</f>
        <v>3653</v>
      </c>
      <c r="AH187" s="3">
        <f>SUMIFS(tblStock[value_nzd],tblStock[sku],tblSKU[[#This Row],[sku]])</f>
        <v>27287.91</v>
      </c>
      <c r="AI187" s="4">
        <f>SUMIFS(tblStock[cbm],tblStock[sku],tblSKU[[#This Row],[sku]])</f>
        <v>0.57798577777777782</v>
      </c>
      <c r="AJ187" s="1">
        <f>SUMIFS(tblStock[positions],tblStock[sku],tblSKU[[#This Row],[sku]])</f>
        <v>0</v>
      </c>
      <c r="AK187" s="3">
        <f>SUMIFS(tblStock[value_nzd],tblStock[sku],tblSKU[[#This Row],[sku]],tblStock[stock_type],"Expired")</f>
        <v>0</v>
      </c>
      <c r="AL187" s="3" cm="1">
        <f t="array" ref="AL187">SUM(SUMIFS(tblStock[value_nzd],tblStock[sku],tblSKU[[#This Row],[sku]],tblStock[stock_type],{"Saleable","FOC"},tblStock[expiry_date],"&lt;"&amp;EDATE(SnapshotDate,6)))</f>
        <v>7156.2599999999993</v>
      </c>
    </row>
    <row r="188" spans="1:38">
      <c r="A188" s="1" t="s">
        <v>422</v>
      </c>
      <c r="B188" s="1" t="s">
        <v>423</v>
      </c>
      <c r="C188" s="1" t="s">
        <v>43</v>
      </c>
      <c r="D188" s="1" t="s">
        <v>37</v>
      </c>
      <c r="E188" s="1" t="s">
        <v>38</v>
      </c>
      <c r="F188" s="1" t="s">
        <v>39</v>
      </c>
      <c r="G188">
        <v>240</v>
      </c>
      <c r="H188">
        <v>46.1</v>
      </c>
      <c r="I188">
        <v>41.2</v>
      </c>
      <c r="J188">
        <v>30.9</v>
      </c>
      <c r="K188">
        <v>5.8689999999999999E-2</v>
      </c>
      <c r="L188">
        <v>11.73</v>
      </c>
      <c r="M188">
        <v>11.25</v>
      </c>
      <c r="N188">
        <v>3</v>
      </c>
      <c r="O188">
        <v>4</v>
      </c>
      <c r="P188">
        <v>12</v>
      </c>
      <c r="Q188">
        <v>138.6</v>
      </c>
      <c r="R188">
        <v>165.76</v>
      </c>
      <c r="S188">
        <v>0.70428000000000002</v>
      </c>
      <c r="T188">
        <v>274</v>
      </c>
      <c r="U188">
        <v>30433</v>
      </c>
      <c r="V188">
        <v>342371.25</v>
      </c>
      <c r="W188" s="1" t="s">
        <v>1264</v>
      </c>
      <c r="X188" s="1" t="s">
        <v>1264</v>
      </c>
      <c r="Y188">
        <v>3.223529411764706</v>
      </c>
      <c r="Z188">
        <v>0.62158905228758166</v>
      </c>
      <c r="AA188" s="1" t="s">
        <v>1265</v>
      </c>
      <c r="AB188">
        <v>1</v>
      </c>
      <c r="AC188">
        <v>0</v>
      </c>
      <c r="AD188" s="1">
        <v>6.7518811816120659</v>
      </c>
      <c r="AE188">
        <v>12</v>
      </c>
      <c r="AF188">
        <f>COUNTIFS(tblStock[sku],tblSKU[[#This Row],[sku]])</f>
        <v>1</v>
      </c>
      <c r="AG188" cm="1">
        <f t="array" ref="AG188">SUM(SUMIFS(tblStock[qty_units],tblStock[sku],tblSKU[[#This Row],[sku]],tblStock[stock_type],{"Saleable","FOC"}))</f>
        <v>51370</v>
      </c>
      <c r="AH188" s="3">
        <f>SUMIFS(tblStock[value_nzd],tblStock[sku],tblSKU[[#This Row],[sku]])</f>
        <v>577912.5</v>
      </c>
      <c r="AI188" s="4">
        <f>SUMIFS(tblStock[cbm],tblStock[sku],tblSKU[[#This Row],[sku]])</f>
        <v>12.562105416666666</v>
      </c>
      <c r="AJ188" s="1">
        <f>SUMIFS(tblStock[positions],tblStock[sku],tblSKU[[#This Row],[sku]])</f>
        <v>18</v>
      </c>
      <c r="AK188" s="3">
        <f>SUMIFS(tblStock[value_nzd],tblStock[sku],tblSKU[[#This Row],[sku]],tblStock[stock_type],"Expired")</f>
        <v>0</v>
      </c>
      <c r="AL188" s="3" cm="1">
        <f t="array" ref="AL188">SUM(SUMIFS(tblStock[value_nzd],tblStock[sku],tblSKU[[#This Row],[sku]],tblStock[stock_type],{"Saleable","FOC"},tblStock[expiry_date],"&lt;"&amp;EDATE(SnapshotDate,6)))</f>
        <v>0</v>
      </c>
    </row>
    <row r="189" spans="1:38">
      <c r="A189" s="1" t="s">
        <v>424</v>
      </c>
      <c r="B189" s="1" t="s">
        <v>425</v>
      </c>
      <c r="C189" s="1" t="s">
        <v>48</v>
      </c>
      <c r="D189" s="1" t="s">
        <v>37</v>
      </c>
      <c r="E189" s="1" t="s">
        <v>38</v>
      </c>
      <c r="F189" s="1" t="s">
        <v>39</v>
      </c>
      <c r="G189">
        <v>100</v>
      </c>
      <c r="H189">
        <v>35.700000000000003</v>
      </c>
      <c r="I189">
        <v>28.5</v>
      </c>
      <c r="J189">
        <v>29.8</v>
      </c>
      <c r="K189">
        <v>3.032E-2</v>
      </c>
      <c r="L189">
        <v>4.7</v>
      </c>
      <c r="M189">
        <v>18.55</v>
      </c>
      <c r="N189">
        <v>9</v>
      </c>
      <c r="O189">
        <v>5</v>
      </c>
      <c r="P189">
        <v>45</v>
      </c>
      <c r="Q189">
        <v>164</v>
      </c>
      <c r="R189">
        <v>236.5</v>
      </c>
      <c r="S189">
        <v>1.3644000000000001</v>
      </c>
      <c r="T189">
        <v>20</v>
      </c>
      <c r="U189">
        <v>247</v>
      </c>
      <c r="V189">
        <v>4581.8500000000004</v>
      </c>
      <c r="W189" s="1" t="s">
        <v>1262</v>
      </c>
      <c r="X189" s="1" t="s">
        <v>1262</v>
      </c>
      <c r="Y189">
        <v>0.23529411764705882</v>
      </c>
      <c r="Z189">
        <v>3.2287581699346406E-3</v>
      </c>
      <c r="AA189" s="1" t="s">
        <v>1263</v>
      </c>
      <c r="AB189">
        <v>0</v>
      </c>
      <c r="AC189">
        <v>0</v>
      </c>
      <c r="AD189" s="1">
        <v>14.607287449392713</v>
      </c>
      <c r="AE189">
        <v>2</v>
      </c>
      <c r="AF189">
        <f>COUNTIFS(tblStock[sku],tblSKU[[#This Row],[sku]])</f>
        <v>3</v>
      </c>
      <c r="AG189" cm="1">
        <f t="array" ref="AG189">SUM(SUMIFS(tblStock[qty_units],tblStock[sku],tblSKU[[#This Row],[sku]],tblStock[stock_type],{"Saleable","FOC"}))</f>
        <v>902</v>
      </c>
      <c r="AH189" s="3">
        <f>SUMIFS(tblStock[value_nzd],tblStock[sku],tblSKU[[#This Row],[sku]])</f>
        <v>16732.099999999999</v>
      </c>
      <c r="AI189" s="4">
        <f>SUMIFS(tblStock[cbm],tblStock[sku],tblSKU[[#This Row],[sku]])</f>
        <v>0.27348640000000002</v>
      </c>
      <c r="AJ189" s="1">
        <f>SUMIFS(tblStock[positions],tblStock[sku],tblSKU[[#This Row],[sku]])</f>
        <v>0</v>
      </c>
      <c r="AK189" s="3">
        <f>SUMIFS(tblStock[value_nzd],tblStock[sku],tblSKU[[#This Row],[sku]],tblStock[stock_type],"Expired")</f>
        <v>0</v>
      </c>
      <c r="AL189" s="3" cm="1">
        <f t="array" ref="AL189">SUM(SUMIFS(tblStock[value_nzd],tblStock[sku],tblSKU[[#This Row],[sku]],tblStock[stock_type],{"Saleable","FOC"},tblStock[expiry_date],"&lt;"&amp;EDATE(SnapshotDate,6)))</f>
        <v>0</v>
      </c>
    </row>
    <row r="190" spans="1:38">
      <c r="A190" s="1" t="s">
        <v>426</v>
      </c>
      <c r="B190" s="1" t="s">
        <v>427</v>
      </c>
      <c r="C190" s="1" t="s">
        <v>43</v>
      </c>
      <c r="D190" s="1" t="s">
        <v>37</v>
      </c>
      <c r="E190" s="1" t="s">
        <v>38</v>
      </c>
      <c r="F190" s="1" t="s">
        <v>39</v>
      </c>
      <c r="G190">
        <v>120</v>
      </c>
      <c r="H190">
        <v>35.4</v>
      </c>
      <c r="I190">
        <v>33.299999999999997</v>
      </c>
      <c r="J190">
        <v>23.7</v>
      </c>
      <c r="K190">
        <v>2.794E-2</v>
      </c>
      <c r="L190">
        <v>5.37</v>
      </c>
      <c r="M190">
        <v>15.9</v>
      </c>
      <c r="N190">
        <v>9</v>
      </c>
      <c r="O190">
        <v>4</v>
      </c>
      <c r="P190">
        <v>36</v>
      </c>
      <c r="Q190">
        <v>109.8</v>
      </c>
      <c r="R190">
        <v>218.32</v>
      </c>
      <c r="S190">
        <v>1.0058400000000001</v>
      </c>
      <c r="T190">
        <v>913</v>
      </c>
      <c r="U190">
        <v>68347</v>
      </c>
      <c r="V190">
        <v>1086717.3</v>
      </c>
      <c r="W190" s="1" t="s">
        <v>1264</v>
      </c>
      <c r="X190" s="1" t="s">
        <v>1264</v>
      </c>
      <c r="Y190">
        <v>10.741176470588234</v>
      </c>
      <c r="Z190">
        <v>0.93065087145969494</v>
      </c>
      <c r="AA190" s="1" t="s">
        <v>1265</v>
      </c>
      <c r="AB190">
        <v>1</v>
      </c>
      <c r="AC190">
        <v>0</v>
      </c>
      <c r="AD190" s="1">
        <v>4.7754546651645278</v>
      </c>
      <c r="AE190">
        <v>12</v>
      </c>
      <c r="AF190">
        <f>COUNTIFS(tblStock[sku],tblSKU[[#This Row],[sku]])</f>
        <v>1</v>
      </c>
      <c r="AG190" cm="1">
        <f t="array" ref="AG190">SUM(SUMIFS(tblStock[qty_units],tblStock[sku],tblSKU[[#This Row],[sku]],tblStock[stock_type],{"Saleable","FOC"}))</f>
        <v>81597</v>
      </c>
      <c r="AH190" s="3">
        <f>SUMIFS(tblStock[value_nzd],tblStock[sku],tblSKU[[#This Row],[sku]])</f>
        <v>1297392.3</v>
      </c>
      <c r="AI190" s="4">
        <f>SUMIFS(tblStock[cbm],tblStock[sku],tblSKU[[#This Row],[sku]])</f>
        <v>18.9985015</v>
      </c>
      <c r="AJ190" s="1">
        <f>SUMIFS(tblStock[positions],tblStock[sku],tblSKU[[#This Row],[sku]])</f>
        <v>19</v>
      </c>
      <c r="AK190" s="3">
        <f>SUMIFS(tblStock[value_nzd],tblStock[sku],tblSKU[[#This Row],[sku]],tblStock[stock_type],"Expired")</f>
        <v>0</v>
      </c>
      <c r="AL190" s="3" cm="1">
        <f t="array" ref="AL190">SUM(SUMIFS(tblStock[value_nzd],tblStock[sku],tblSKU[[#This Row],[sku]],tblStock[stock_type],{"Saleable","FOC"},tblStock[expiry_date],"&lt;"&amp;EDATE(SnapshotDate,6)))</f>
        <v>0</v>
      </c>
    </row>
    <row r="191" spans="1:38">
      <c r="A191" s="1" t="s">
        <v>428</v>
      </c>
      <c r="B191" s="1" t="s">
        <v>429</v>
      </c>
      <c r="C191" s="1" t="s">
        <v>43</v>
      </c>
      <c r="D191" s="1" t="s">
        <v>37</v>
      </c>
      <c r="E191" s="1" t="s">
        <v>38</v>
      </c>
      <c r="F191" s="1" t="s">
        <v>39</v>
      </c>
      <c r="G191">
        <v>120</v>
      </c>
      <c r="H191">
        <v>37.700000000000003</v>
      </c>
      <c r="I191">
        <v>36.700000000000003</v>
      </c>
      <c r="J191">
        <v>32</v>
      </c>
      <c r="K191">
        <v>4.4269999999999997E-2</v>
      </c>
      <c r="L191">
        <v>7.33</v>
      </c>
      <c r="M191">
        <v>15.71</v>
      </c>
      <c r="N191">
        <v>6</v>
      </c>
      <c r="O191">
        <v>3</v>
      </c>
      <c r="P191">
        <v>18</v>
      </c>
      <c r="Q191">
        <v>111</v>
      </c>
      <c r="R191">
        <v>156.94</v>
      </c>
      <c r="S191">
        <v>0.7968599999999999</v>
      </c>
      <c r="T191">
        <v>158</v>
      </c>
      <c r="U191">
        <v>11868</v>
      </c>
      <c r="V191">
        <v>186446.28</v>
      </c>
      <c r="W191" s="1" t="s">
        <v>1264</v>
      </c>
      <c r="X191" s="1" t="s">
        <v>1264</v>
      </c>
      <c r="Y191">
        <v>1.8588235294117648</v>
      </c>
      <c r="Z191">
        <v>0.32320261437908498</v>
      </c>
      <c r="AA191" s="1" t="s">
        <v>1265</v>
      </c>
      <c r="AB191">
        <v>1</v>
      </c>
      <c r="AC191">
        <v>0</v>
      </c>
      <c r="AD191" s="1">
        <v>3.3033367037411527</v>
      </c>
      <c r="AE191">
        <v>12</v>
      </c>
      <c r="AF191">
        <f>COUNTIFS(tblStock[sku],tblSKU[[#This Row],[sku]])</f>
        <v>2</v>
      </c>
      <c r="AG191" cm="1">
        <f t="array" ref="AG191">SUM(SUMIFS(tblStock[qty_units],tblStock[sku],tblSKU[[#This Row],[sku]],tblStock[stock_type],{"Saleable","FOC"}))</f>
        <v>9801</v>
      </c>
      <c r="AH191" s="3">
        <f>SUMIFS(tblStock[value_nzd],tblStock[sku],tblSKU[[#This Row],[sku]])</f>
        <v>153973.71</v>
      </c>
      <c r="AI191" s="4">
        <f>SUMIFS(tblStock[cbm],tblStock[sku],tblSKU[[#This Row],[sku]])</f>
        <v>3.6157522499999994</v>
      </c>
      <c r="AJ191" s="1">
        <f>SUMIFS(tblStock[positions],tblStock[sku],tblSKU[[#This Row],[sku]])</f>
        <v>5</v>
      </c>
      <c r="AK191" s="3">
        <f>SUMIFS(tblStock[value_nzd],tblStock[sku],tblSKU[[#This Row],[sku]],tblStock[stock_type],"Expired")</f>
        <v>0</v>
      </c>
      <c r="AL191" s="3" cm="1">
        <f t="array" ref="AL191">SUM(SUMIFS(tblStock[value_nzd],tblStock[sku],tblSKU[[#This Row],[sku]],tblStock[stock_type],{"Saleable","FOC"},tblStock[expiry_date],"&lt;"&amp;EDATE(SnapshotDate,6)))</f>
        <v>148176.72</v>
      </c>
    </row>
    <row r="192" spans="1:38">
      <c r="A192" s="1" t="s">
        <v>430</v>
      </c>
      <c r="B192" s="1" t="s">
        <v>431</v>
      </c>
      <c r="C192" s="1" t="s">
        <v>43</v>
      </c>
      <c r="D192" s="1" t="s">
        <v>37</v>
      </c>
      <c r="E192" s="1" t="s">
        <v>38</v>
      </c>
      <c r="F192" s="1" t="s">
        <v>39</v>
      </c>
      <c r="G192">
        <v>120</v>
      </c>
      <c r="H192">
        <v>60</v>
      </c>
      <c r="I192">
        <v>41.1</v>
      </c>
      <c r="J192">
        <v>25.4</v>
      </c>
      <c r="K192">
        <v>6.2640000000000001E-2</v>
      </c>
      <c r="L192">
        <v>17.63</v>
      </c>
      <c r="M192">
        <v>18.98</v>
      </c>
      <c r="N192">
        <v>4</v>
      </c>
      <c r="O192">
        <v>2</v>
      </c>
      <c r="P192">
        <v>8</v>
      </c>
      <c r="Q192">
        <v>65.8</v>
      </c>
      <c r="R192">
        <v>166.04</v>
      </c>
      <c r="S192">
        <v>0.50112000000000001</v>
      </c>
      <c r="T192">
        <v>3</v>
      </c>
      <c r="U192">
        <v>743</v>
      </c>
      <c r="V192">
        <v>14102.14</v>
      </c>
      <c r="W192" s="1" t="s">
        <v>1262</v>
      </c>
      <c r="X192" s="1" t="s">
        <v>1262</v>
      </c>
      <c r="Y192">
        <v>3.5294117647058823E-2</v>
      </c>
      <c r="Z192">
        <v>4.552696078431373E-2</v>
      </c>
      <c r="AA192" s="1" t="s">
        <v>1263</v>
      </c>
      <c r="AB192">
        <v>0</v>
      </c>
      <c r="AC192">
        <v>0</v>
      </c>
      <c r="AD192" s="1">
        <v>4.4037685060565277</v>
      </c>
      <c r="AE192">
        <v>2</v>
      </c>
      <c r="AF192">
        <f>COUNTIFS(tblStock[sku],tblSKU[[#This Row],[sku]])</f>
        <v>3</v>
      </c>
      <c r="AG192" cm="1">
        <f t="array" ref="AG192">SUM(SUMIFS(tblStock[qty_units],tblStock[sku],tblSKU[[#This Row],[sku]],tblStock[stock_type],{"Saleable","FOC"}))</f>
        <v>818</v>
      </c>
      <c r="AH192" s="3">
        <f>SUMIFS(tblStock[value_nzd],tblStock[sku],tblSKU[[#This Row],[sku]])</f>
        <v>15525.64</v>
      </c>
      <c r="AI192" s="4">
        <f>SUMIFS(tblStock[cbm],tblStock[sku],tblSKU[[#This Row],[sku]])</f>
        <v>0.42699600000000004</v>
      </c>
      <c r="AJ192" s="1">
        <f>SUMIFS(tblStock[positions],tblStock[sku],tblSKU[[#This Row],[sku]])</f>
        <v>0</v>
      </c>
      <c r="AK192" s="3">
        <f>SUMIFS(tblStock[value_nzd],tblStock[sku],tblSKU[[#This Row],[sku]],tblStock[stock_type],"Expired")</f>
        <v>0</v>
      </c>
      <c r="AL192" s="3" cm="1">
        <f t="array" ref="AL192">SUM(SUMIFS(tblStock[value_nzd],tblStock[sku],tblSKU[[#This Row],[sku]],tblStock[stock_type],{"Saleable","FOC"},tblStock[expiry_date],"&lt;"&amp;EDATE(SnapshotDate,6)))</f>
        <v>0</v>
      </c>
    </row>
    <row r="193" spans="1:38">
      <c r="A193" s="1" t="s">
        <v>432</v>
      </c>
      <c r="B193" s="1" t="s">
        <v>433</v>
      </c>
      <c r="C193" s="1" t="s">
        <v>70</v>
      </c>
      <c r="D193" s="1" t="s">
        <v>37</v>
      </c>
      <c r="E193" s="1" t="s">
        <v>38</v>
      </c>
      <c r="F193" s="1" t="s">
        <v>39</v>
      </c>
      <c r="G193">
        <v>60</v>
      </c>
      <c r="H193">
        <v>53.1</v>
      </c>
      <c r="I193">
        <v>34.4</v>
      </c>
      <c r="J193">
        <v>16</v>
      </c>
      <c r="K193">
        <v>2.9229999999999999E-2</v>
      </c>
      <c r="L193">
        <v>6.08</v>
      </c>
      <c r="M193">
        <v>16.920000000000002</v>
      </c>
      <c r="N193">
        <v>4</v>
      </c>
      <c r="O193">
        <v>9</v>
      </c>
      <c r="P193">
        <v>36</v>
      </c>
      <c r="Q193">
        <v>159</v>
      </c>
      <c r="R193">
        <v>243.88</v>
      </c>
      <c r="S193">
        <v>1.0522799999999999</v>
      </c>
      <c r="T193">
        <v>975</v>
      </c>
      <c r="U193">
        <v>46735</v>
      </c>
      <c r="V193">
        <v>790756.20000000007</v>
      </c>
      <c r="W193" s="1" t="s">
        <v>1264</v>
      </c>
      <c r="X193" s="1" t="s">
        <v>1264</v>
      </c>
      <c r="Y193">
        <v>11.470588235294118</v>
      </c>
      <c r="Z193">
        <v>1.272739651416122</v>
      </c>
      <c r="AA193" s="1" t="s">
        <v>1265</v>
      </c>
      <c r="AB193">
        <v>1</v>
      </c>
      <c r="AC193">
        <v>0</v>
      </c>
      <c r="AD193" s="1">
        <v>6.0328233657858137</v>
      </c>
      <c r="AE193">
        <v>12</v>
      </c>
      <c r="AF193">
        <f>COUNTIFS(tblStock[sku],tblSKU[[#This Row],[sku]])</f>
        <v>1</v>
      </c>
      <c r="AG193" cm="1">
        <f t="array" ref="AG193">SUM(SUMIFS(tblStock[qty_units],tblStock[sku],tblSKU[[#This Row],[sku]],tblStock[stock_type],{"Saleable","FOC"}))</f>
        <v>70486</v>
      </c>
      <c r="AH193" s="3">
        <f>SUMIFS(tblStock[value_nzd],tblStock[sku],tblSKU[[#This Row],[sku]])</f>
        <v>1192623.1200000001</v>
      </c>
      <c r="AI193" s="4">
        <f>SUMIFS(tblStock[cbm],tblStock[sku],tblSKU[[#This Row],[sku]])</f>
        <v>34.338429666666663</v>
      </c>
      <c r="AJ193" s="1">
        <f>SUMIFS(tblStock[positions],tblStock[sku],tblSKU[[#This Row],[sku]])</f>
        <v>33</v>
      </c>
      <c r="AK193" s="3">
        <f>SUMIFS(tblStock[value_nzd],tblStock[sku],tblSKU[[#This Row],[sku]],tblStock[stock_type],"Expired")</f>
        <v>0</v>
      </c>
      <c r="AL193" s="3" cm="1">
        <f t="array" ref="AL193">SUM(SUMIFS(tblStock[value_nzd],tblStock[sku],tblSKU[[#This Row],[sku]],tblStock[stock_type],{"Saleable","FOC"},tblStock[expiry_date],"&lt;"&amp;EDATE(SnapshotDate,6)))</f>
        <v>0</v>
      </c>
    </row>
    <row r="194" spans="1:38">
      <c r="A194" s="1" t="s">
        <v>434</v>
      </c>
      <c r="B194" s="1" t="s">
        <v>435</v>
      </c>
      <c r="C194" s="1" t="s">
        <v>36</v>
      </c>
      <c r="D194" s="1" t="s">
        <v>37</v>
      </c>
      <c r="E194" s="1" t="s">
        <v>38</v>
      </c>
      <c r="F194" s="1" t="s">
        <v>39</v>
      </c>
      <c r="G194">
        <v>60</v>
      </c>
      <c r="H194">
        <v>34</v>
      </c>
      <c r="I194">
        <v>30.4</v>
      </c>
      <c r="J194">
        <v>19.5</v>
      </c>
      <c r="K194">
        <v>2.0160000000000001E-2</v>
      </c>
      <c r="L194">
        <v>4.96</v>
      </c>
      <c r="M194">
        <v>11.19</v>
      </c>
      <c r="N194">
        <v>9</v>
      </c>
      <c r="O194">
        <v>3</v>
      </c>
      <c r="P194">
        <v>27</v>
      </c>
      <c r="Q194">
        <v>73.5</v>
      </c>
      <c r="R194">
        <v>158.91999999999999</v>
      </c>
      <c r="S194">
        <v>0.54432000000000003</v>
      </c>
      <c r="T194">
        <v>429</v>
      </c>
      <c r="U194">
        <v>22022</v>
      </c>
      <c r="V194">
        <v>246426.18</v>
      </c>
      <c r="W194" s="1" t="s">
        <v>1264</v>
      </c>
      <c r="X194" s="1" t="s">
        <v>1264</v>
      </c>
      <c r="Y194">
        <v>5.0470588235294116</v>
      </c>
      <c r="Z194">
        <v>0.79963689179375463</v>
      </c>
      <c r="AA194" s="1" t="s">
        <v>1265</v>
      </c>
      <c r="AB194">
        <v>1</v>
      </c>
      <c r="AC194">
        <v>0</v>
      </c>
      <c r="AD194" s="1">
        <v>6.9993642720915448</v>
      </c>
      <c r="AE194">
        <v>12</v>
      </c>
      <c r="AF194">
        <f>COUNTIFS(tblStock[sku],tblSKU[[#This Row],[sku]])</f>
        <v>1</v>
      </c>
      <c r="AG194" cm="1">
        <f t="array" ref="AG194">SUM(SUMIFS(tblStock[qty_units],tblStock[sku],tblSKU[[#This Row],[sku]],tblStock[stock_type],{"Saleable","FOC"}))</f>
        <v>38535</v>
      </c>
      <c r="AH194" s="3">
        <f>SUMIFS(tblStock[value_nzd],tblStock[sku],tblSKU[[#This Row],[sku]])</f>
        <v>431206.64999999997</v>
      </c>
      <c r="AI194" s="4">
        <f>SUMIFS(tblStock[cbm],tblStock[sku],tblSKU[[#This Row],[sku]])</f>
        <v>12.947760000000001</v>
      </c>
      <c r="AJ194" s="1">
        <f>SUMIFS(tblStock[positions],tblStock[sku],tblSKU[[#This Row],[sku]])</f>
        <v>24</v>
      </c>
      <c r="AK194" s="3">
        <f>SUMIFS(tblStock[value_nzd],tblStock[sku],tblSKU[[#This Row],[sku]],tblStock[stock_type],"Expired")</f>
        <v>0</v>
      </c>
      <c r="AL194" s="3" cm="1">
        <f t="array" ref="AL194">SUM(SUMIFS(tblStock[value_nzd],tblStock[sku],tblSKU[[#This Row],[sku]],tblStock[stock_type],{"Saleable","FOC"},tblStock[expiry_date],"&lt;"&amp;EDATE(SnapshotDate,6)))</f>
        <v>0</v>
      </c>
    </row>
    <row r="195" spans="1:38">
      <c r="A195" s="1" t="s">
        <v>436</v>
      </c>
      <c r="B195" s="1" t="s">
        <v>437</v>
      </c>
      <c r="C195" s="1" t="s">
        <v>67</v>
      </c>
      <c r="D195" s="1" t="s">
        <v>37</v>
      </c>
      <c r="E195" s="1" t="s">
        <v>38</v>
      </c>
      <c r="F195" s="1" t="s">
        <v>39</v>
      </c>
      <c r="G195">
        <v>120</v>
      </c>
      <c r="H195">
        <v>42.8</v>
      </c>
      <c r="I195">
        <v>27.5</v>
      </c>
      <c r="J195">
        <v>23.6</v>
      </c>
      <c r="K195">
        <v>2.7779999999999999E-2</v>
      </c>
      <c r="L195">
        <v>7.53</v>
      </c>
      <c r="M195">
        <v>3.46</v>
      </c>
      <c r="N195">
        <v>8</v>
      </c>
      <c r="O195">
        <v>6</v>
      </c>
      <c r="P195">
        <v>48</v>
      </c>
      <c r="Q195">
        <v>156.60000000000002</v>
      </c>
      <c r="R195">
        <v>386.44</v>
      </c>
      <c r="S195">
        <v>1.33344</v>
      </c>
      <c r="T195">
        <v>1</v>
      </c>
      <c r="U195">
        <v>114</v>
      </c>
      <c r="V195">
        <v>394.44</v>
      </c>
      <c r="W195" s="1" t="s">
        <v>1262</v>
      </c>
      <c r="X195" s="1" t="s">
        <v>1262</v>
      </c>
      <c r="Y195">
        <v>1.1764705882352941E-2</v>
      </c>
      <c r="Z195">
        <v>1.1642156862745098E-3</v>
      </c>
      <c r="AA195" s="1" t="s">
        <v>1263</v>
      </c>
      <c r="AB195">
        <v>0</v>
      </c>
      <c r="AC195">
        <v>0</v>
      </c>
      <c r="AD195" s="1">
        <v>16.87719298245614</v>
      </c>
      <c r="AE195">
        <v>2</v>
      </c>
      <c r="AF195">
        <f>COUNTIFS(tblStock[sku],tblSKU[[#This Row],[sku]])</f>
        <v>2</v>
      </c>
      <c r="AG195" cm="1">
        <f t="array" ref="AG195">SUM(SUMIFS(tblStock[qty_units],tblStock[sku],tblSKU[[#This Row],[sku]],tblStock[stock_type],{"Saleable","FOC"}))</f>
        <v>481</v>
      </c>
      <c r="AH195" s="3">
        <f>SUMIFS(tblStock[value_nzd],tblStock[sku],tblSKU[[#This Row],[sku]])</f>
        <v>1664.26</v>
      </c>
      <c r="AI195" s="4">
        <f>SUMIFS(tblStock[cbm],tblStock[sku],tblSKU[[#This Row],[sku]])</f>
        <v>0.11135149999999999</v>
      </c>
      <c r="AJ195" s="1">
        <f>SUMIFS(tblStock[positions],tblStock[sku],tblSKU[[#This Row],[sku]])</f>
        <v>0</v>
      </c>
      <c r="AK195" s="3">
        <f>SUMIFS(tblStock[value_nzd],tblStock[sku],tblSKU[[#This Row],[sku]],tblStock[stock_type],"Expired")</f>
        <v>0</v>
      </c>
      <c r="AL195" s="3" cm="1">
        <f t="array" ref="AL195">SUM(SUMIFS(tblStock[value_nzd],tblStock[sku],tblSKU[[#This Row],[sku]],tblStock[stock_type],{"Saleable","FOC"},tblStock[expiry_date],"&lt;"&amp;EDATE(SnapshotDate,6)))</f>
        <v>0</v>
      </c>
    </row>
    <row r="196" spans="1:38">
      <c r="A196" s="1" t="s">
        <v>438</v>
      </c>
      <c r="B196" s="1" t="s">
        <v>439</v>
      </c>
      <c r="C196" s="1" t="s">
        <v>52</v>
      </c>
      <c r="D196" s="1" t="s">
        <v>37</v>
      </c>
      <c r="E196" s="1" t="s">
        <v>38</v>
      </c>
      <c r="F196" s="1" t="s">
        <v>39</v>
      </c>
      <c r="G196">
        <v>180</v>
      </c>
      <c r="H196">
        <v>54</v>
      </c>
      <c r="I196">
        <v>40.9</v>
      </c>
      <c r="J196">
        <v>28.2</v>
      </c>
      <c r="K196">
        <v>6.2280000000000002E-2</v>
      </c>
      <c r="L196">
        <v>10.18</v>
      </c>
      <c r="M196">
        <v>23.19</v>
      </c>
      <c r="N196">
        <v>4</v>
      </c>
      <c r="O196">
        <v>3</v>
      </c>
      <c r="P196">
        <v>12</v>
      </c>
      <c r="Q196">
        <v>99.6</v>
      </c>
      <c r="R196">
        <v>147.16</v>
      </c>
      <c r="S196">
        <v>0.74736000000000002</v>
      </c>
      <c r="T196">
        <v>27</v>
      </c>
      <c r="U196">
        <v>2041</v>
      </c>
      <c r="V196">
        <v>47330.79</v>
      </c>
      <c r="W196" s="1" t="s">
        <v>1258</v>
      </c>
      <c r="X196" s="1" t="s">
        <v>1258</v>
      </c>
      <c r="Y196">
        <v>0.31764705882352939</v>
      </c>
      <c r="Z196">
        <v>5.5582788671023974E-2</v>
      </c>
      <c r="AA196" s="1" t="s">
        <v>1259</v>
      </c>
      <c r="AB196">
        <v>0</v>
      </c>
      <c r="AC196">
        <v>1</v>
      </c>
      <c r="AD196" s="1">
        <v>5.203331700146987</v>
      </c>
      <c r="AE196">
        <v>4</v>
      </c>
      <c r="AF196">
        <f>COUNTIFS(tblStock[sku],tblSKU[[#This Row],[sku]])</f>
        <v>3</v>
      </c>
      <c r="AG196" cm="1">
        <f t="array" ref="AG196">SUM(SUMIFS(tblStock[qty_units],tblStock[sku],tblSKU[[#This Row],[sku]],tblStock[stock_type],{"Saleable","FOC"}))</f>
        <v>2655</v>
      </c>
      <c r="AH196" s="3">
        <f>SUMIFS(tblStock[value_nzd],tblStock[sku],tblSKU[[#This Row],[sku]])</f>
        <v>61569.450000000004</v>
      </c>
      <c r="AI196" s="4">
        <f>SUMIFS(tblStock[cbm],tblStock[sku],tblSKU[[#This Row],[sku]])</f>
        <v>0.91863000000000006</v>
      </c>
      <c r="AJ196" s="1">
        <f>SUMIFS(tblStock[positions],tblStock[sku],tblSKU[[#This Row],[sku]])</f>
        <v>1</v>
      </c>
      <c r="AK196" s="3">
        <f>SUMIFS(tblStock[value_nzd],tblStock[sku],tblSKU[[#This Row],[sku]],tblStock[stock_type],"Expired")</f>
        <v>0</v>
      </c>
      <c r="AL196" s="3" cm="1">
        <f t="array" ref="AL196">SUM(SUMIFS(tblStock[value_nzd],tblStock[sku],tblSKU[[#This Row],[sku]],tblStock[stock_type],{"Saleable","FOC"},tblStock[expiry_date],"&lt;"&amp;EDATE(SnapshotDate,6)))</f>
        <v>5009.04</v>
      </c>
    </row>
    <row r="197" spans="1:38">
      <c r="A197" s="1" t="s">
        <v>440</v>
      </c>
      <c r="B197" s="1" t="s">
        <v>441</v>
      </c>
      <c r="C197" s="1" t="s">
        <v>48</v>
      </c>
      <c r="D197" s="1" t="s">
        <v>37</v>
      </c>
      <c r="E197" s="1" t="s">
        <v>38</v>
      </c>
      <c r="F197" s="1" t="s">
        <v>39</v>
      </c>
      <c r="G197">
        <v>120</v>
      </c>
      <c r="H197">
        <v>42.3</v>
      </c>
      <c r="I197">
        <v>43.9</v>
      </c>
      <c r="J197">
        <v>24.5</v>
      </c>
      <c r="K197">
        <v>4.5499999999999999E-2</v>
      </c>
      <c r="L197">
        <v>8.0399999999999991</v>
      </c>
      <c r="M197">
        <v>11.88</v>
      </c>
      <c r="N197">
        <v>4</v>
      </c>
      <c r="O197">
        <v>5</v>
      </c>
      <c r="P197">
        <v>20</v>
      </c>
      <c r="Q197">
        <v>137.5</v>
      </c>
      <c r="R197">
        <v>185.79999999999998</v>
      </c>
      <c r="S197">
        <v>0.90999999999999992</v>
      </c>
      <c r="T197">
        <v>543</v>
      </c>
      <c r="U197">
        <v>40340</v>
      </c>
      <c r="V197">
        <v>479239.2</v>
      </c>
      <c r="W197" s="1" t="s">
        <v>1264</v>
      </c>
      <c r="X197" s="1" t="s">
        <v>1264</v>
      </c>
      <c r="Y197">
        <v>6.3882352941176475</v>
      </c>
      <c r="Z197">
        <v>0.98872549019607836</v>
      </c>
      <c r="AA197" s="1" t="s">
        <v>1265</v>
      </c>
      <c r="AB197">
        <v>1</v>
      </c>
      <c r="AC197">
        <v>0</v>
      </c>
      <c r="AD197" s="1">
        <v>4.9585523054040657</v>
      </c>
      <c r="AE197">
        <v>12</v>
      </c>
      <c r="AF197">
        <f>COUNTIFS(tblStock[sku],tblSKU[[#This Row],[sku]])</f>
        <v>2</v>
      </c>
      <c r="AG197" cm="1">
        <f t="array" ref="AG197">SUM(SUMIFS(tblStock[qty_units],tblStock[sku],tblSKU[[#This Row],[sku]],tblStock[stock_type],{"Saleable","FOC"}))</f>
        <v>50007</v>
      </c>
      <c r="AH197" s="3">
        <f>SUMIFS(tblStock[value_nzd],tblStock[sku],tblSKU[[#This Row],[sku]])</f>
        <v>594083.16</v>
      </c>
      <c r="AI197" s="4">
        <f>SUMIFS(tblStock[cbm],tblStock[sku],tblSKU[[#This Row],[sku]])</f>
        <v>18.960987499999998</v>
      </c>
      <c r="AJ197" s="1">
        <f>SUMIFS(tblStock[positions],tblStock[sku],tblSKU[[#This Row],[sku]])</f>
        <v>21</v>
      </c>
      <c r="AK197" s="3">
        <f>SUMIFS(tblStock[value_nzd],tblStock[sku],tblSKU[[#This Row],[sku]],tblStock[stock_type],"Expired")</f>
        <v>0</v>
      </c>
      <c r="AL197" s="3" cm="1">
        <f t="array" ref="AL197">SUM(SUMIFS(tblStock[value_nzd],tblStock[sku],tblSKU[[#This Row],[sku]],tblStock[stock_type],{"Saleable","FOC"},tblStock[expiry_date],"&lt;"&amp;EDATE(SnapshotDate,6)))</f>
        <v>0</v>
      </c>
    </row>
    <row r="198" spans="1:38">
      <c r="A198" s="1" t="s">
        <v>442</v>
      </c>
      <c r="B198" s="1" t="s">
        <v>443</v>
      </c>
      <c r="C198" s="1" t="s">
        <v>43</v>
      </c>
      <c r="D198" s="1" t="s">
        <v>37</v>
      </c>
      <c r="E198" s="1" t="s">
        <v>38</v>
      </c>
      <c r="F198" s="1" t="s">
        <v>39</v>
      </c>
      <c r="G198">
        <v>120</v>
      </c>
      <c r="H198">
        <v>36.200000000000003</v>
      </c>
      <c r="I198">
        <v>43.1</v>
      </c>
      <c r="J198">
        <v>32</v>
      </c>
      <c r="K198">
        <v>4.9930000000000002E-2</v>
      </c>
      <c r="L198">
        <v>13.57</v>
      </c>
      <c r="M198">
        <v>2.54</v>
      </c>
      <c r="N198">
        <v>6</v>
      </c>
      <c r="O198">
        <v>4</v>
      </c>
      <c r="P198">
        <v>24</v>
      </c>
      <c r="Q198">
        <v>143</v>
      </c>
      <c r="R198">
        <v>350.68</v>
      </c>
      <c r="S198">
        <v>1.1983200000000001</v>
      </c>
      <c r="T198">
        <v>38</v>
      </c>
      <c r="U198">
        <v>2293</v>
      </c>
      <c r="V198">
        <v>5824.22</v>
      </c>
      <c r="W198" s="1" t="s">
        <v>1258</v>
      </c>
      <c r="X198" s="1" t="s">
        <v>1262</v>
      </c>
      <c r="Y198">
        <v>0.44705882352941179</v>
      </c>
      <c r="Z198">
        <v>4.6834150326797386E-2</v>
      </c>
      <c r="AA198" s="1" t="s">
        <v>1259</v>
      </c>
      <c r="AB198">
        <v>0</v>
      </c>
      <c r="AC198">
        <v>1</v>
      </c>
      <c r="AD198" s="1">
        <v>4.0383776711731354</v>
      </c>
      <c r="AE198">
        <v>2</v>
      </c>
      <c r="AF198">
        <f>COUNTIFS(tblStock[sku],tblSKU[[#This Row],[sku]])</f>
        <v>1</v>
      </c>
      <c r="AG198" cm="1">
        <f t="array" ref="AG198">SUM(SUMIFS(tblStock[qty_units],tblStock[sku],tblSKU[[#This Row],[sku]],tblStock[stock_type],{"Saleable","FOC"}))</f>
        <v>2315</v>
      </c>
      <c r="AH198" s="3">
        <f>SUMIFS(tblStock[value_nzd],tblStock[sku],tblSKU[[#This Row],[sku]])</f>
        <v>5880.1</v>
      </c>
      <c r="AI198" s="4">
        <f>SUMIFS(tblStock[cbm],tblStock[sku],tblSKU[[#This Row],[sku]])</f>
        <v>0.96323291666666677</v>
      </c>
      <c r="AJ198" s="1">
        <f>SUMIFS(tblStock[positions],tblStock[sku],tblSKU[[#This Row],[sku]])</f>
        <v>1</v>
      </c>
      <c r="AK198" s="3">
        <f>SUMIFS(tblStock[value_nzd],tblStock[sku],tblSKU[[#This Row],[sku]],tblStock[stock_type],"Expired")</f>
        <v>0</v>
      </c>
      <c r="AL198" s="3" cm="1">
        <f t="array" ref="AL198">SUM(SUMIFS(tblStock[value_nzd],tblStock[sku],tblSKU[[#This Row],[sku]],tblStock[stock_type],{"Saleable","FOC"},tblStock[expiry_date],"&lt;"&amp;EDATE(SnapshotDate,6)))</f>
        <v>0</v>
      </c>
    </row>
    <row r="199" spans="1:38">
      <c r="A199" s="1" t="s">
        <v>444</v>
      </c>
      <c r="B199" s="1" t="s">
        <v>445</v>
      </c>
      <c r="C199" s="1" t="s">
        <v>48</v>
      </c>
      <c r="D199" s="1" t="s">
        <v>37</v>
      </c>
      <c r="E199" s="1" t="s">
        <v>38</v>
      </c>
      <c r="F199" s="1" t="s">
        <v>39</v>
      </c>
      <c r="G199">
        <v>180</v>
      </c>
      <c r="H199">
        <v>30.1</v>
      </c>
      <c r="I199">
        <v>28.7</v>
      </c>
      <c r="J199">
        <v>33.6</v>
      </c>
      <c r="K199">
        <v>2.903E-2</v>
      </c>
      <c r="L199">
        <v>4.95</v>
      </c>
      <c r="M199">
        <v>15.19</v>
      </c>
      <c r="N199">
        <v>12</v>
      </c>
      <c r="O199">
        <v>3</v>
      </c>
      <c r="P199">
        <v>36</v>
      </c>
      <c r="Q199">
        <v>115.80000000000001</v>
      </c>
      <c r="R199">
        <v>203.20000000000002</v>
      </c>
      <c r="S199">
        <v>1.04508</v>
      </c>
      <c r="T199">
        <v>40</v>
      </c>
      <c r="U199">
        <v>3154</v>
      </c>
      <c r="V199">
        <v>47909.26</v>
      </c>
      <c r="W199" s="1" t="s">
        <v>1258</v>
      </c>
      <c r="X199" s="1" t="s">
        <v>1258</v>
      </c>
      <c r="Y199">
        <v>0.47058823529411764</v>
      </c>
      <c r="Z199">
        <v>2.8631082062454613E-2</v>
      </c>
      <c r="AA199" s="1" t="s">
        <v>1259</v>
      </c>
      <c r="AB199">
        <v>0</v>
      </c>
      <c r="AC199">
        <v>1</v>
      </c>
      <c r="AD199" s="1">
        <v>2.1636017755231451</v>
      </c>
      <c r="AE199">
        <v>4</v>
      </c>
      <c r="AF199">
        <f>COUNTIFS(tblStock[sku],tblSKU[[#This Row],[sku]])</f>
        <v>3</v>
      </c>
      <c r="AG199" cm="1">
        <f t="array" ref="AG199">SUM(SUMIFS(tblStock[qty_units],tblStock[sku],tblSKU[[#This Row],[sku]],tblStock[stock_type],{"Saleable","FOC"}))</f>
        <v>1706</v>
      </c>
      <c r="AH199" s="3">
        <f>SUMIFS(tblStock[value_nzd],tblStock[sku],tblSKU[[#This Row],[sku]])</f>
        <v>25914.14</v>
      </c>
      <c r="AI199" s="4">
        <f>SUMIFS(tblStock[cbm],tblStock[sku],tblSKU[[#This Row],[sku]])</f>
        <v>0.27513988888888885</v>
      </c>
      <c r="AJ199" s="1">
        <f>SUMIFS(tblStock[positions],tblStock[sku],tblSKU[[#This Row],[sku]])</f>
        <v>0</v>
      </c>
      <c r="AK199" s="3">
        <f>SUMIFS(tblStock[value_nzd],tblStock[sku],tblSKU[[#This Row],[sku]],tblStock[stock_type],"Expired")</f>
        <v>0</v>
      </c>
      <c r="AL199" s="3" cm="1">
        <f t="array" ref="AL199">SUM(SUMIFS(tblStock[value_nzd],tblStock[sku],tblSKU[[#This Row],[sku]],tblStock[stock_type],{"Saleable","FOC"},tblStock[expiry_date],"&lt;"&amp;EDATE(SnapshotDate,6)))</f>
        <v>0</v>
      </c>
    </row>
    <row r="200" spans="1:38">
      <c r="A200" s="1" t="s">
        <v>446</v>
      </c>
      <c r="B200" s="1" t="s">
        <v>447</v>
      </c>
      <c r="C200" s="1" t="s">
        <v>70</v>
      </c>
      <c r="D200" s="1" t="s">
        <v>37</v>
      </c>
      <c r="E200" s="1" t="s">
        <v>38</v>
      </c>
      <c r="F200" s="1" t="s">
        <v>39</v>
      </c>
      <c r="G200">
        <v>100</v>
      </c>
      <c r="H200">
        <v>36</v>
      </c>
      <c r="I200">
        <v>37.4</v>
      </c>
      <c r="J200">
        <v>34.5</v>
      </c>
      <c r="K200">
        <v>4.6449999999999998E-2</v>
      </c>
      <c r="L200">
        <v>8.11</v>
      </c>
      <c r="M200">
        <v>8.48</v>
      </c>
      <c r="N200">
        <v>6</v>
      </c>
      <c r="O200">
        <v>3</v>
      </c>
      <c r="P200">
        <v>18</v>
      </c>
      <c r="Q200">
        <v>118.5</v>
      </c>
      <c r="R200">
        <v>170.98</v>
      </c>
      <c r="S200">
        <v>0.83609999999999995</v>
      </c>
      <c r="T200">
        <v>11</v>
      </c>
      <c r="U200">
        <v>386</v>
      </c>
      <c r="V200">
        <v>3273.28</v>
      </c>
      <c r="W200" s="1" t="s">
        <v>1262</v>
      </c>
      <c r="X200" s="1" t="s">
        <v>1262</v>
      </c>
      <c r="Y200">
        <v>0.12941176470588237</v>
      </c>
      <c r="Z200">
        <v>1.261437908496732E-2</v>
      </c>
      <c r="AA200" s="1" t="s">
        <v>1263</v>
      </c>
      <c r="AB200">
        <v>0</v>
      </c>
      <c r="AC200">
        <v>0</v>
      </c>
      <c r="AD200" s="1">
        <v>7.8031088082901556</v>
      </c>
      <c r="AE200">
        <v>2</v>
      </c>
      <c r="AF200">
        <f>COUNTIFS(tblStock[sku],tblSKU[[#This Row],[sku]])</f>
        <v>2</v>
      </c>
      <c r="AG200" cm="1">
        <f t="array" ref="AG200">SUM(SUMIFS(tblStock[qty_units],tblStock[sku],tblSKU[[#This Row],[sku]],tblStock[stock_type],{"Saleable","FOC"}))</f>
        <v>753</v>
      </c>
      <c r="AH200" s="3">
        <f>SUMIFS(tblStock[value_nzd],tblStock[sku],tblSKU[[#This Row],[sku]])</f>
        <v>6385.4400000000005</v>
      </c>
      <c r="AI200" s="4">
        <f>SUMIFS(tblStock[cbm],tblStock[sku],tblSKU[[#This Row],[sku]])</f>
        <v>0.34976850000000004</v>
      </c>
      <c r="AJ200" s="1">
        <f>SUMIFS(tblStock[positions],tblStock[sku],tblSKU[[#This Row],[sku]])</f>
        <v>1</v>
      </c>
      <c r="AK200" s="3">
        <f>SUMIFS(tblStock[value_nzd],tblStock[sku],tblSKU[[#This Row],[sku]],tblStock[stock_type],"Expired")</f>
        <v>0</v>
      </c>
      <c r="AL200" s="3" cm="1">
        <f t="array" ref="AL200">SUM(SUMIFS(tblStock[value_nzd],tblStock[sku],tblSKU[[#This Row],[sku]],tblStock[stock_type],{"Saleable","FOC"},tblStock[expiry_date],"&lt;"&amp;EDATE(SnapshotDate,6)))</f>
        <v>0</v>
      </c>
    </row>
    <row r="201" spans="1:38">
      <c r="A201" s="1" t="s">
        <v>448</v>
      </c>
      <c r="B201" s="1" t="s">
        <v>449</v>
      </c>
      <c r="C201" s="1" t="s">
        <v>36</v>
      </c>
      <c r="D201" s="1" t="s">
        <v>37</v>
      </c>
      <c r="E201" s="1" t="s">
        <v>38</v>
      </c>
      <c r="F201" s="1" t="s">
        <v>39</v>
      </c>
      <c r="G201">
        <v>180</v>
      </c>
      <c r="H201">
        <v>44.4</v>
      </c>
      <c r="I201">
        <v>29.3</v>
      </c>
      <c r="J201">
        <v>15.1</v>
      </c>
      <c r="K201">
        <v>1.9640000000000001E-2</v>
      </c>
      <c r="L201">
        <v>4.1100000000000003</v>
      </c>
      <c r="M201">
        <v>7.22</v>
      </c>
      <c r="N201">
        <v>8</v>
      </c>
      <c r="O201">
        <v>5</v>
      </c>
      <c r="P201">
        <v>40</v>
      </c>
      <c r="Q201">
        <v>90.5</v>
      </c>
      <c r="R201">
        <v>189.4</v>
      </c>
      <c r="S201">
        <v>0.78560000000000008</v>
      </c>
      <c r="T201">
        <v>33</v>
      </c>
      <c r="U201">
        <v>4729</v>
      </c>
      <c r="V201">
        <v>34143.379999999997</v>
      </c>
      <c r="W201" s="1" t="s">
        <v>1258</v>
      </c>
      <c r="X201" s="1" t="s">
        <v>1258</v>
      </c>
      <c r="Y201">
        <v>0.38823529411764707</v>
      </c>
      <c r="Z201">
        <v>3.8635620915032677E-2</v>
      </c>
      <c r="AA201" s="1" t="s">
        <v>1259</v>
      </c>
      <c r="AB201">
        <v>0</v>
      </c>
      <c r="AC201">
        <v>1</v>
      </c>
      <c r="AD201" s="1">
        <v>3.2666525692535422</v>
      </c>
      <c r="AE201">
        <v>4</v>
      </c>
      <c r="AF201">
        <f>COUNTIFS(tblStock[sku],tblSKU[[#This Row],[sku]])</f>
        <v>1</v>
      </c>
      <c r="AG201" cm="1">
        <f t="array" ref="AG201">SUM(SUMIFS(tblStock[qty_units],tblStock[sku],tblSKU[[#This Row],[sku]],tblStock[stock_type],{"Saleable","FOC"}))</f>
        <v>3862</v>
      </c>
      <c r="AH201" s="3">
        <f>SUMIFS(tblStock[value_nzd],tblStock[sku],tblSKU[[#This Row],[sku]])</f>
        <v>27883.64</v>
      </c>
      <c r="AI201" s="4">
        <f>SUMIFS(tblStock[cbm],tblStock[sku],tblSKU[[#This Row],[sku]])</f>
        <v>0.42138711111111116</v>
      </c>
      <c r="AJ201" s="1">
        <f>SUMIFS(tblStock[positions],tblStock[sku],tblSKU[[#This Row],[sku]])</f>
        <v>1</v>
      </c>
      <c r="AK201" s="3">
        <f>SUMIFS(tblStock[value_nzd],tblStock[sku],tblSKU[[#This Row],[sku]],tblStock[stock_type],"Expired")</f>
        <v>0</v>
      </c>
      <c r="AL201" s="3" cm="1">
        <f t="array" ref="AL201">SUM(SUMIFS(tblStock[value_nzd],tblStock[sku],tblSKU[[#This Row],[sku]],tblStock[stock_type],{"Saleable","FOC"},tblStock[expiry_date],"&lt;"&amp;EDATE(SnapshotDate,6)))</f>
        <v>0</v>
      </c>
    </row>
    <row r="202" spans="1:38">
      <c r="A202" s="1" t="s">
        <v>450</v>
      </c>
      <c r="B202" s="1" t="s">
        <v>451</v>
      </c>
      <c r="C202" s="1" t="s">
        <v>52</v>
      </c>
      <c r="D202" s="1" t="s">
        <v>37</v>
      </c>
      <c r="E202" s="1" t="s">
        <v>38</v>
      </c>
      <c r="F202" s="1" t="s">
        <v>39</v>
      </c>
      <c r="G202">
        <v>180</v>
      </c>
      <c r="H202">
        <v>48.2</v>
      </c>
      <c r="I202">
        <v>33.299999999999997</v>
      </c>
      <c r="J202">
        <v>20.6</v>
      </c>
      <c r="K202">
        <v>3.3059999999999999E-2</v>
      </c>
      <c r="L202">
        <v>8.85</v>
      </c>
      <c r="M202">
        <v>22.64</v>
      </c>
      <c r="N202">
        <v>6</v>
      </c>
      <c r="O202">
        <v>5</v>
      </c>
      <c r="P202">
        <v>30</v>
      </c>
      <c r="Q202">
        <v>118</v>
      </c>
      <c r="R202">
        <v>290.5</v>
      </c>
      <c r="S202">
        <v>0.99180000000000001</v>
      </c>
      <c r="T202">
        <v>74</v>
      </c>
      <c r="U202">
        <v>9465</v>
      </c>
      <c r="V202">
        <v>214287.6</v>
      </c>
      <c r="W202" s="1" t="s">
        <v>1258</v>
      </c>
      <c r="X202" s="1" t="s">
        <v>1264</v>
      </c>
      <c r="Y202">
        <v>0.87058823529411766</v>
      </c>
      <c r="Z202">
        <v>0.1031045751633987</v>
      </c>
      <c r="AA202" s="1" t="s">
        <v>1259</v>
      </c>
      <c r="AB202">
        <v>0</v>
      </c>
      <c r="AC202">
        <v>1</v>
      </c>
      <c r="AD202" s="1">
        <v>14.215319598520866</v>
      </c>
      <c r="AE202">
        <v>12</v>
      </c>
      <c r="AF202">
        <f>COUNTIFS(tblStock[sku],tblSKU[[#This Row],[sku]])</f>
        <v>2</v>
      </c>
      <c r="AG202" cm="1">
        <f t="array" ref="AG202">SUM(SUMIFS(tblStock[qty_units],tblStock[sku],tblSKU[[#This Row],[sku]],tblStock[stock_type],{"Saleable","FOC"}))</f>
        <v>33637</v>
      </c>
      <c r="AH202" s="3">
        <f>SUMIFS(tblStock[value_nzd],tblStock[sku],tblSKU[[#This Row],[sku]])</f>
        <v>761541.67999999993</v>
      </c>
      <c r="AI202" s="4">
        <f>SUMIFS(tblStock[cbm],tblStock[sku],tblSKU[[#This Row],[sku]])</f>
        <v>6.177995666666666</v>
      </c>
      <c r="AJ202" s="1">
        <f>SUMIFS(tblStock[positions],tblStock[sku],tblSKU[[#This Row],[sku]])</f>
        <v>8</v>
      </c>
      <c r="AK202" s="3">
        <f>SUMIFS(tblStock[value_nzd],tblStock[sku],tblSKU[[#This Row],[sku]],tblStock[stock_type],"Expired")</f>
        <v>0</v>
      </c>
      <c r="AL202" s="3" cm="1">
        <f t="array" ref="AL202">SUM(SUMIFS(tblStock[value_nzd],tblStock[sku],tblSKU[[#This Row],[sku]],tblStock[stock_type],{"Saleable","FOC"},tblStock[expiry_date],"&lt;"&amp;EDATE(SnapshotDate,6)))</f>
        <v>0</v>
      </c>
    </row>
    <row r="203" spans="1:38">
      <c r="A203" s="1" t="s">
        <v>452</v>
      </c>
      <c r="B203" s="1" t="s">
        <v>453</v>
      </c>
      <c r="C203" s="1" t="s">
        <v>36</v>
      </c>
      <c r="D203" s="1" t="s">
        <v>37</v>
      </c>
      <c r="E203" s="1" t="s">
        <v>38</v>
      </c>
      <c r="F203" s="1" t="s">
        <v>39</v>
      </c>
      <c r="G203">
        <v>100</v>
      </c>
      <c r="H203">
        <v>47.8</v>
      </c>
      <c r="I203">
        <v>30</v>
      </c>
      <c r="J203">
        <v>31.9</v>
      </c>
      <c r="K203">
        <v>4.5740000000000003E-2</v>
      </c>
      <c r="L203">
        <v>13.32</v>
      </c>
      <c r="M203">
        <v>10.59</v>
      </c>
      <c r="N203">
        <v>8</v>
      </c>
      <c r="O203">
        <v>2</v>
      </c>
      <c r="P203">
        <v>16</v>
      </c>
      <c r="Q203">
        <v>78.8</v>
      </c>
      <c r="R203">
        <v>238.12</v>
      </c>
      <c r="S203">
        <v>0.73184000000000005</v>
      </c>
      <c r="T203">
        <v>659</v>
      </c>
      <c r="U203">
        <v>41353</v>
      </c>
      <c r="V203">
        <v>437928.27</v>
      </c>
      <c r="W203" s="1" t="s">
        <v>1264</v>
      </c>
      <c r="X203" s="1" t="s">
        <v>1264</v>
      </c>
      <c r="Y203">
        <v>7.7529411764705882</v>
      </c>
      <c r="Z203">
        <v>1.5203308823529409</v>
      </c>
      <c r="AA203" s="1" t="s">
        <v>1265</v>
      </c>
      <c r="AB203">
        <v>1</v>
      </c>
      <c r="AC203">
        <v>0</v>
      </c>
      <c r="AD203" s="1">
        <v>2.342175900176529</v>
      </c>
      <c r="AE203">
        <v>12</v>
      </c>
      <c r="AF203">
        <f>COUNTIFS(tblStock[sku],tblSKU[[#This Row],[sku]])</f>
        <v>3</v>
      </c>
      <c r="AG203" cm="1">
        <f t="array" ref="AG203">SUM(SUMIFS(tblStock[qty_units],tblStock[sku],tblSKU[[#This Row],[sku]],tblStock[stock_type],{"Saleable","FOC"}))</f>
        <v>24214</v>
      </c>
      <c r="AH203" s="3">
        <f>SUMIFS(tblStock[value_nzd],tblStock[sku],tblSKU[[#This Row],[sku]])</f>
        <v>256426.26</v>
      </c>
      <c r="AI203" s="4">
        <f>SUMIFS(tblStock[cbm],tblStock[sku],tblSKU[[#This Row],[sku]])</f>
        <v>11.0754836</v>
      </c>
      <c r="AJ203" s="1">
        <f>SUMIFS(tblStock[positions],tblStock[sku],tblSKU[[#This Row],[sku]])</f>
        <v>17</v>
      </c>
      <c r="AK203" s="3">
        <f>SUMIFS(tblStock[value_nzd],tblStock[sku],tblSKU[[#This Row],[sku]],tblStock[stock_type],"Expired")</f>
        <v>0</v>
      </c>
      <c r="AL203" s="3" cm="1">
        <f t="array" ref="AL203">SUM(SUMIFS(tblStock[value_nzd],tblStock[sku],tblSKU[[#This Row],[sku]],tblStock[stock_type],{"Saleable","FOC"},tblStock[expiry_date],"&lt;"&amp;EDATE(SnapshotDate,6)))</f>
        <v>0</v>
      </c>
    </row>
    <row r="204" spans="1:38">
      <c r="A204" s="1" t="s">
        <v>454</v>
      </c>
      <c r="B204" s="1" t="s">
        <v>455</v>
      </c>
      <c r="C204" s="1" t="s">
        <v>43</v>
      </c>
      <c r="D204" s="1" t="s">
        <v>37</v>
      </c>
      <c r="E204" s="1" t="s">
        <v>38</v>
      </c>
      <c r="F204" s="1" t="s">
        <v>39</v>
      </c>
      <c r="G204">
        <v>240</v>
      </c>
      <c r="H204">
        <v>43.4</v>
      </c>
      <c r="I204">
        <v>33.200000000000003</v>
      </c>
      <c r="J204">
        <v>25.1</v>
      </c>
      <c r="K204">
        <v>3.6170000000000001E-2</v>
      </c>
      <c r="L204">
        <v>10.52</v>
      </c>
      <c r="M204">
        <v>17.43</v>
      </c>
      <c r="N204">
        <v>6</v>
      </c>
      <c r="O204">
        <v>2</v>
      </c>
      <c r="P204">
        <v>12</v>
      </c>
      <c r="Q204">
        <v>65.2</v>
      </c>
      <c r="R204">
        <v>151.24</v>
      </c>
      <c r="S204">
        <v>0.43403999999999998</v>
      </c>
      <c r="T204">
        <v>7</v>
      </c>
      <c r="U204">
        <v>219</v>
      </c>
      <c r="V204">
        <v>3817.17</v>
      </c>
      <c r="W204" s="1" t="s">
        <v>1262</v>
      </c>
      <c r="X204" s="1" t="s">
        <v>1262</v>
      </c>
      <c r="Y204">
        <v>8.2352941176470587E-2</v>
      </c>
      <c r="Z204">
        <v>4.4730392156862742E-3</v>
      </c>
      <c r="AA204" s="1" t="s">
        <v>1263</v>
      </c>
      <c r="AB204">
        <v>0</v>
      </c>
      <c r="AC204">
        <v>0</v>
      </c>
      <c r="AD204" s="1">
        <v>2.9406392694063928</v>
      </c>
      <c r="AE204">
        <v>2</v>
      </c>
      <c r="AF204">
        <f>COUNTIFS(tblStock[sku],tblSKU[[#This Row],[sku]])</f>
        <v>2</v>
      </c>
      <c r="AG204" cm="1">
        <f t="array" ref="AG204">SUM(SUMIFS(tblStock[qty_units],tblStock[sku],tblSKU[[#This Row],[sku]],tblStock[stock_type],{"Saleable","FOC"}))</f>
        <v>161</v>
      </c>
      <c r="AH204" s="3">
        <f>SUMIFS(tblStock[value_nzd],tblStock[sku],tblSKU[[#This Row],[sku]])</f>
        <v>2806.23</v>
      </c>
      <c r="AI204" s="4">
        <f>SUMIFS(tblStock[cbm],tblStock[sku],tblSKU[[#This Row],[sku]])</f>
        <v>2.4264041666666666E-2</v>
      </c>
      <c r="AJ204" s="1">
        <f>SUMIFS(tblStock[positions],tblStock[sku],tblSKU[[#This Row],[sku]])</f>
        <v>0</v>
      </c>
      <c r="AK204" s="3">
        <f>SUMIFS(tblStock[value_nzd],tblStock[sku],tblSKU[[#This Row],[sku]],tblStock[stock_type],"Expired")</f>
        <v>0</v>
      </c>
      <c r="AL204" s="3" cm="1">
        <f t="array" ref="AL204">SUM(SUMIFS(tblStock[value_nzd],tblStock[sku],tblSKU[[#This Row],[sku]],tblStock[stock_type],{"Saleable","FOC"},tblStock[expiry_date],"&lt;"&amp;EDATE(SnapshotDate,6)))</f>
        <v>0</v>
      </c>
    </row>
    <row r="205" spans="1:38">
      <c r="A205" s="1" t="s">
        <v>456</v>
      </c>
      <c r="B205" s="1" t="s">
        <v>457</v>
      </c>
      <c r="C205" s="1" t="s">
        <v>36</v>
      </c>
      <c r="D205" s="1" t="s">
        <v>37</v>
      </c>
      <c r="E205" s="1" t="s">
        <v>38</v>
      </c>
      <c r="F205" s="1" t="s">
        <v>39</v>
      </c>
      <c r="G205">
        <v>120</v>
      </c>
      <c r="H205">
        <v>59.6</v>
      </c>
      <c r="I205">
        <v>39</v>
      </c>
      <c r="J205">
        <v>21.5</v>
      </c>
      <c r="K205">
        <v>4.9970000000000001E-2</v>
      </c>
      <c r="L205">
        <v>10.38</v>
      </c>
      <c r="M205">
        <v>11.58</v>
      </c>
      <c r="N205">
        <v>3</v>
      </c>
      <c r="O205">
        <v>4</v>
      </c>
      <c r="P205">
        <v>12</v>
      </c>
      <c r="Q205">
        <v>101</v>
      </c>
      <c r="R205">
        <v>149.56</v>
      </c>
      <c r="S205">
        <v>0.59963999999999995</v>
      </c>
      <c r="T205">
        <v>45</v>
      </c>
      <c r="U205">
        <v>3591</v>
      </c>
      <c r="V205">
        <v>41583.78</v>
      </c>
      <c r="W205" s="1" t="s">
        <v>1258</v>
      </c>
      <c r="X205" s="1" t="s">
        <v>1258</v>
      </c>
      <c r="Y205">
        <v>0.52941176470588236</v>
      </c>
      <c r="Z205">
        <v>0.14669117647058824</v>
      </c>
      <c r="AA205" s="1" t="s">
        <v>1259</v>
      </c>
      <c r="AB205">
        <v>0</v>
      </c>
      <c r="AC205">
        <v>1</v>
      </c>
      <c r="AD205" s="1">
        <v>10.197716513505988</v>
      </c>
      <c r="AE205">
        <v>4</v>
      </c>
      <c r="AF205">
        <f>COUNTIFS(tblStock[sku],tblSKU[[#This Row],[sku]])</f>
        <v>4</v>
      </c>
      <c r="AG205" cm="1">
        <f t="array" ref="AG205">SUM(SUMIFS(tblStock[qty_units],tblStock[sku],tblSKU[[#This Row],[sku]],tblStock[stock_type],{"Saleable","FOC"}))</f>
        <v>9155</v>
      </c>
      <c r="AH205" s="3">
        <f>SUMIFS(tblStock[value_nzd],tblStock[sku],tblSKU[[#This Row],[sku]])</f>
        <v>114086.16</v>
      </c>
      <c r="AI205" s="4">
        <f>SUMIFS(tblStock[cbm],tblStock[sku],tblSKU[[#This Row],[sku]])</f>
        <v>4.1025369999999999</v>
      </c>
      <c r="AJ205" s="1">
        <f>SUMIFS(tblStock[positions],tblStock[sku],tblSKU[[#This Row],[sku]])</f>
        <v>7</v>
      </c>
      <c r="AK205" s="3">
        <f>SUMIFS(tblStock[value_nzd],tblStock[sku],tblSKU[[#This Row],[sku]],tblStock[stock_type],"Expired")</f>
        <v>8071.26</v>
      </c>
      <c r="AL205" s="3" cm="1">
        <f t="array" ref="AL205">SUM(SUMIFS(tblStock[value_nzd],tblStock[sku],tblSKU[[#This Row],[sku]],tblStock[stock_type],{"Saleable","FOC"},tblStock[expiry_date],"&lt;"&amp;EDATE(SnapshotDate,6)))</f>
        <v>100966.02</v>
      </c>
    </row>
    <row r="206" spans="1:38">
      <c r="A206" s="1" t="s">
        <v>458</v>
      </c>
      <c r="B206" s="1" t="s">
        <v>459</v>
      </c>
      <c r="C206" s="1" t="s">
        <v>48</v>
      </c>
      <c r="D206" s="1" t="s">
        <v>37</v>
      </c>
      <c r="E206" s="1" t="s">
        <v>38</v>
      </c>
      <c r="F206" s="1" t="s">
        <v>39</v>
      </c>
      <c r="G206">
        <v>240</v>
      </c>
      <c r="H206">
        <v>50.7</v>
      </c>
      <c r="I206">
        <v>31.1</v>
      </c>
      <c r="J206">
        <v>23.9</v>
      </c>
      <c r="K206">
        <v>3.7679999999999998E-2</v>
      </c>
      <c r="L206">
        <v>8.98</v>
      </c>
      <c r="M206">
        <v>15.24</v>
      </c>
      <c r="N206">
        <v>6</v>
      </c>
      <c r="O206">
        <v>3</v>
      </c>
      <c r="P206">
        <v>18</v>
      </c>
      <c r="Q206">
        <v>86.699999999999989</v>
      </c>
      <c r="R206">
        <v>186.64000000000001</v>
      </c>
      <c r="S206">
        <v>0.67823999999999995</v>
      </c>
      <c r="T206">
        <v>445</v>
      </c>
      <c r="U206">
        <v>55173</v>
      </c>
      <c r="V206">
        <v>840836.52</v>
      </c>
      <c r="W206" s="1" t="s">
        <v>1264</v>
      </c>
      <c r="X206" s="1" t="s">
        <v>1264</v>
      </c>
      <c r="Y206">
        <v>5.2352941176470589</v>
      </c>
      <c r="Z206">
        <v>0.75126633986928104</v>
      </c>
      <c r="AA206" s="1" t="s">
        <v>1265</v>
      </c>
      <c r="AB206">
        <v>1</v>
      </c>
      <c r="AC206">
        <v>0</v>
      </c>
      <c r="AD206" s="1">
        <v>4.1591358091820272</v>
      </c>
      <c r="AE206">
        <v>12</v>
      </c>
      <c r="AF206">
        <f>COUNTIFS(tblStock[sku],tblSKU[[#This Row],[sku]])</f>
        <v>2</v>
      </c>
      <c r="AG206" cm="1">
        <f t="array" ref="AG206">SUM(SUMIFS(tblStock[qty_units],tblStock[sku],tblSKU[[#This Row],[sku]],tblStock[stock_type],{"Saleable","FOC"}))</f>
        <v>57368</v>
      </c>
      <c r="AH206" s="3">
        <f>SUMIFS(tblStock[value_nzd],tblStock[sku],tblSKU[[#This Row],[sku]])</f>
        <v>944224.68</v>
      </c>
      <c r="AI206" s="4">
        <f>SUMIFS(tblStock[cbm],tblStock[sku],tblSKU[[#This Row],[sku]])</f>
        <v>9.7272490000000005</v>
      </c>
      <c r="AJ206" s="1">
        <f>SUMIFS(tblStock[positions],tblStock[sku],tblSKU[[#This Row],[sku]])</f>
        <v>14</v>
      </c>
      <c r="AK206" s="3">
        <f>SUMIFS(tblStock[value_nzd],tblStock[sku],tblSKU[[#This Row],[sku]],tblStock[stock_type],"Expired")</f>
        <v>69936.36</v>
      </c>
      <c r="AL206" s="3" cm="1">
        <f t="array" ref="AL206">SUM(SUMIFS(tblStock[value_nzd],tblStock[sku],tblSKU[[#This Row],[sku]],tblStock[stock_type],{"Saleable","FOC"},tblStock[expiry_date],"&lt;"&amp;EDATE(SnapshotDate,6)))</f>
        <v>0</v>
      </c>
    </row>
    <row r="207" spans="1:38">
      <c r="A207" s="1" t="s">
        <v>460</v>
      </c>
      <c r="B207" s="1" t="s">
        <v>461</v>
      </c>
      <c r="C207" s="1" t="s">
        <v>48</v>
      </c>
      <c r="D207" s="1" t="s">
        <v>37</v>
      </c>
      <c r="E207" s="1" t="s">
        <v>38</v>
      </c>
      <c r="F207" s="1" t="s">
        <v>39</v>
      </c>
      <c r="G207">
        <v>60</v>
      </c>
      <c r="H207">
        <v>40.5</v>
      </c>
      <c r="I207">
        <v>32.4</v>
      </c>
      <c r="J207">
        <v>15.8</v>
      </c>
      <c r="K207">
        <v>2.0729999999999998E-2</v>
      </c>
      <c r="L207">
        <v>3.69</v>
      </c>
      <c r="M207">
        <v>5.05</v>
      </c>
      <c r="N207">
        <v>6</v>
      </c>
      <c r="O207">
        <v>9</v>
      </c>
      <c r="P207">
        <v>54</v>
      </c>
      <c r="Q207">
        <v>157.20000000000002</v>
      </c>
      <c r="R207">
        <v>224.26</v>
      </c>
      <c r="S207">
        <v>1.1194199999999999</v>
      </c>
      <c r="T207">
        <v>81</v>
      </c>
      <c r="U207">
        <v>3637</v>
      </c>
      <c r="V207">
        <v>18366.849999999999</v>
      </c>
      <c r="W207" s="1" t="s">
        <v>1264</v>
      </c>
      <c r="X207" s="1" t="s">
        <v>1262</v>
      </c>
      <c r="Y207">
        <v>0.95294117647058818</v>
      </c>
      <c r="Z207">
        <v>6.60312273057371E-2</v>
      </c>
      <c r="AA207" s="1" t="s">
        <v>1265</v>
      </c>
      <c r="AB207">
        <v>1</v>
      </c>
      <c r="AC207">
        <v>0</v>
      </c>
      <c r="AD207" s="1">
        <v>2.6747319219136649</v>
      </c>
      <c r="AE207">
        <v>2</v>
      </c>
      <c r="AF207">
        <f>COUNTIFS(tblStock[sku],tblSKU[[#This Row],[sku]])</f>
        <v>3</v>
      </c>
      <c r="AG207" cm="1">
        <f t="array" ref="AG207">SUM(SUMIFS(tblStock[qty_units],tblStock[sku],tblSKU[[#This Row],[sku]],tblStock[stock_type],{"Saleable","FOC"}))</f>
        <v>2432</v>
      </c>
      <c r="AH207" s="3">
        <f>SUMIFS(tblStock[value_nzd],tblStock[sku],tblSKU[[#This Row],[sku]])</f>
        <v>12645.2</v>
      </c>
      <c r="AI207" s="4">
        <f>SUMIFS(tblStock[cbm],tblStock[sku],tblSKU[[#This Row],[sku]])</f>
        <v>0.86513200000000001</v>
      </c>
      <c r="AJ207" s="1">
        <f>SUMIFS(tblStock[positions],tblStock[sku],tblSKU[[#This Row],[sku]])</f>
        <v>2</v>
      </c>
      <c r="AK207" s="3">
        <f>SUMIFS(tblStock[value_nzd],tblStock[sku],tblSKU[[#This Row],[sku]],tblStock[stock_type],"Expired")</f>
        <v>0</v>
      </c>
      <c r="AL207" s="3" cm="1">
        <f t="array" ref="AL207">SUM(SUMIFS(tblStock[value_nzd],tblStock[sku],tblSKU[[#This Row],[sku]],tblStock[stock_type],{"Saleable","FOC"},tblStock[expiry_date],"&lt;"&amp;EDATE(SnapshotDate,6)))</f>
        <v>0</v>
      </c>
    </row>
    <row r="208" spans="1:38">
      <c r="A208" s="1" t="s">
        <v>462</v>
      </c>
      <c r="B208" s="1" t="s">
        <v>463</v>
      </c>
      <c r="C208" s="1" t="s">
        <v>70</v>
      </c>
      <c r="D208" s="1" t="s">
        <v>37</v>
      </c>
      <c r="E208" s="1" t="s">
        <v>38</v>
      </c>
      <c r="F208" s="1" t="s">
        <v>39</v>
      </c>
      <c r="G208">
        <v>120</v>
      </c>
      <c r="H208">
        <v>44.5</v>
      </c>
      <c r="I208">
        <v>34.4</v>
      </c>
      <c r="J208">
        <v>24.2</v>
      </c>
      <c r="K208">
        <v>3.705E-2</v>
      </c>
      <c r="L208">
        <v>7.75</v>
      </c>
      <c r="M208">
        <v>9.56</v>
      </c>
      <c r="N208">
        <v>6</v>
      </c>
      <c r="O208">
        <v>3</v>
      </c>
      <c r="P208">
        <v>18</v>
      </c>
      <c r="Q208">
        <v>87.6</v>
      </c>
      <c r="R208">
        <v>164.5</v>
      </c>
      <c r="S208">
        <v>0.66690000000000005</v>
      </c>
      <c r="T208">
        <v>5</v>
      </c>
      <c r="U208">
        <v>135</v>
      </c>
      <c r="V208">
        <v>1290.6000000000001</v>
      </c>
      <c r="W208" s="1" t="s">
        <v>1262</v>
      </c>
      <c r="X208" s="1" t="s">
        <v>1262</v>
      </c>
      <c r="Y208">
        <v>5.8823529411764705E-2</v>
      </c>
      <c r="Z208">
        <v>3.6764705882352941E-3</v>
      </c>
      <c r="AA208" s="1" t="s">
        <v>1263</v>
      </c>
      <c r="AB208">
        <v>0</v>
      </c>
      <c r="AC208">
        <v>0</v>
      </c>
      <c r="AD208" s="1">
        <v>6.4296296296296296</v>
      </c>
      <c r="AE208">
        <v>2</v>
      </c>
      <c r="AF208">
        <f>COUNTIFS(tblStock[sku],tblSKU[[#This Row],[sku]])</f>
        <v>2</v>
      </c>
      <c r="AG208" cm="1">
        <f t="array" ref="AG208">SUM(SUMIFS(tblStock[qty_units],tblStock[sku],tblSKU[[#This Row],[sku]],tblStock[stock_type],{"Saleable","FOC"}))</f>
        <v>217</v>
      </c>
      <c r="AH208" s="3">
        <f>SUMIFS(tblStock[value_nzd],tblStock[sku],tblSKU[[#This Row],[sku]])</f>
        <v>2131.88</v>
      </c>
      <c r="AI208" s="4">
        <f>SUMIFS(tblStock[cbm],tblStock[sku],tblSKU[[#This Row],[sku]])</f>
        <v>6.8851250000000003E-2</v>
      </c>
      <c r="AJ208" s="1">
        <f>SUMIFS(tblStock[positions],tblStock[sku],tblSKU[[#This Row],[sku]])</f>
        <v>0</v>
      </c>
      <c r="AK208" s="3">
        <f>SUMIFS(tblStock[value_nzd],tblStock[sku],tblSKU[[#This Row],[sku]],tblStock[stock_type],"Expired")</f>
        <v>0</v>
      </c>
      <c r="AL208" s="3" cm="1">
        <f t="array" ref="AL208">SUM(SUMIFS(tblStock[value_nzd],tblStock[sku],tblSKU[[#This Row],[sku]],tblStock[stock_type],{"Saleable","FOC"},tblStock[expiry_date],"&lt;"&amp;EDATE(SnapshotDate,6)))</f>
        <v>0</v>
      </c>
    </row>
    <row r="209" spans="1:38">
      <c r="A209" s="1" t="s">
        <v>464</v>
      </c>
      <c r="B209" s="1" t="s">
        <v>465</v>
      </c>
      <c r="C209" s="1" t="s">
        <v>36</v>
      </c>
      <c r="D209" s="1" t="s">
        <v>37</v>
      </c>
      <c r="E209" s="1" t="s">
        <v>38</v>
      </c>
      <c r="F209" s="1" t="s">
        <v>39</v>
      </c>
      <c r="G209">
        <v>60</v>
      </c>
      <c r="H209">
        <v>48.7</v>
      </c>
      <c r="I209">
        <v>25.7</v>
      </c>
      <c r="J209">
        <v>29.1</v>
      </c>
      <c r="K209">
        <v>3.6420000000000001E-2</v>
      </c>
      <c r="L209">
        <v>9.31</v>
      </c>
      <c r="M209">
        <v>16.59</v>
      </c>
      <c r="N209">
        <v>8</v>
      </c>
      <c r="O209">
        <v>2</v>
      </c>
      <c r="P209">
        <v>16</v>
      </c>
      <c r="Q209">
        <v>73.2</v>
      </c>
      <c r="R209">
        <v>173.96</v>
      </c>
      <c r="S209">
        <v>0.58272000000000002</v>
      </c>
      <c r="T209">
        <v>129</v>
      </c>
      <c r="U209">
        <v>6515</v>
      </c>
      <c r="V209">
        <v>108083.85</v>
      </c>
      <c r="W209" s="1" t="s">
        <v>1264</v>
      </c>
      <c r="X209" s="1" t="s">
        <v>1264</v>
      </c>
      <c r="Y209">
        <v>1.5176470588235293</v>
      </c>
      <c r="Z209">
        <v>0.39920343137254899</v>
      </c>
      <c r="AA209" s="1" t="s">
        <v>1265</v>
      </c>
      <c r="AB209">
        <v>1</v>
      </c>
      <c r="AC209">
        <v>0</v>
      </c>
      <c r="AD209" s="1">
        <v>17.659554873369149</v>
      </c>
      <c r="AE209">
        <v>12</v>
      </c>
      <c r="AF209">
        <f>COUNTIFS(tblStock[sku],tblSKU[[#This Row],[sku]])</f>
        <v>3</v>
      </c>
      <c r="AG209" cm="1">
        <f t="array" ref="AG209">SUM(SUMIFS(tblStock[qty_units],tblStock[sku],tblSKU[[#This Row],[sku]],tblStock[stock_type],{"Saleable","FOC"}))</f>
        <v>28763</v>
      </c>
      <c r="AH209" s="3">
        <f>SUMIFS(tblStock[value_nzd],tblStock[sku],tblSKU[[#This Row],[sku]])</f>
        <v>477178.16999999993</v>
      </c>
      <c r="AI209" s="4">
        <f>SUMIFS(tblStock[cbm],tblStock[sku],tblSKU[[#This Row],[sku]])</f>
        <v>17.459141000000002</v>
      </c>
      <c r="AJ209" s="1">
        <f>SUMIFS(tblStock[positions],tblStock[sku],tblSKU[[#This Row],[sku]])</f>
        <v>31</v>
      </c>
      <c r="AK209" s="3">
        <f>SUMIFS(tblStock[value_nzd],tblStock[sku],tblSKU[[#This Row],[sku]],tblStock[stock_type],"Expired")</f>
        <v>0</v>
      </c>
      <c r="AL209" s="3" cm="1">
        <f t="array" ref="AL209">SUM(SUMIFS(tblStock[value_nzd],tblStock[sku],tblSKU[[#This Row],[sku]],tblStock[stock_type],{"Saleable","FOC"},tblStock[expiry_date],"&lt;"&amp;EDATE(SnapshotDate,6)))</f>
        <v>0</v>
      </c>
    </row>
    <row r="210" spans="1:38">
      <c r="A210" s="1" t="s">
        <v>466</v>
      </c>
      <c r="B210" s="1" t="s">
        <v>467</v>
      </c>
      <c r="C210" s="1" t="s">
        <v>48</v>
      </c>
      <c r="D210" s="1" t="s">
        <v>37</v>
      </c>
      <c r="E210" s="1" t="s">
        <v>38</v>
      </c>
      <c r="F210" s="1" t="s">
        <v>39</v>
      </c>
      <c r="G210">
        <v>60</v>
      </c>
      <c r="H210">
        <v>52.6</v>
      </c>
      <c r="I210">
        <v>27.8</v>
      </c>
      <c r="J210">
        <v>26.4</v>
      </c>
      <c r="K210">
        <v>3.8600000000000002E-2</v>
      </c>
      <c r="L210">
        <v>9.4700000000000006</v>
      </c>
      <c r="M210">
        <v>13.62</v>
      </c>
      <c r="N210">
        <v>6</v>
      </c>
      <c r="O210">
        <v>5</v>
      </c>
      <c r="P210">
        <v>30</v>
      </c>
      <c r="Q210">
        <v>147</v>
      </c>
      <c r="R210">
        <v>309.10000000000002</v>
      </c>
      <c r="S210">
        <v>1.1580000000000001</v>
      </c>
      <c r="T210">
        <v>67</v>
      </c>
      <c r="U210">
        <v>3153</v>
      </c>
      <c r="V210">
        <v>42943.86</v>
      </c>
      <c r="W210" s="1" t="s">
        <v>1258</v>
      </c>
      <c r="X210" s="1" t="s">
        <v>1258</v>
      </c>
      <c r="Y210">
        <v>0.78823529411764703</v>
      </c>
      <c r="Z210">
        <v>0.1030392156862745</v>
      </c>
      <c r="AA210" s="1" t="s">
        <v>1259</v>
      </c>
      <c r="AB210">
        <v>0</v>
      </c>
      <c r="AC210">
        <v>1</v>
      </c>
      <c r="AD210" s="1">
        <v>4.4833491912464316</v>
      </c>
      <c r="AE210">
        <v>4</v>
      </c>
      <c r="AF210">
        <f>COUNTIFS(tblStock[sku],tblSKU[[#This Row],[sku]])</f>
        <v>1</v>
      </c>
      <c r="AG210" cm="1">
        <f t="array" ref="AG210">SUM(SUMIFS(tblStock[qty_units],tblStock[sku],tblSKU[[#This Row],[sku]],tblStock[stock_type],{"Saleable","FOC"}))</f>
        <v>3534</v>
      </c>
      <c r="AH210" s="3">
        <f>SUMIFS(tblStock[value_nzd],tblStock[sku],tblSKU[[#This Row],[sku]])</f>
        <v>48133.079999999994</v>
      </c>
      <c r="AI210" s="4">
        <f>SUMIFS(tblStock[cbm],tblStock[sku],tblSKU[[#This Row],[sku]])</f>
        <v>2.2735400000000001</v>
      </c>
      <c r="AJ210" s="1">
        <f>SUMIFS(tblStock[positions],tblStock[sku],tblSKU[[#This Row],[sku]])</f>
        <v>2</v>
      </c>
      <c r="AK210" s="3">
        <f>SUMIFS(tblStock[value_nzd],tblStock[sku],tblSKU[[#This Row],[sku]],tblStock[stock_type],"Expired")</f>
        <v>0</v>
      </c>
      <c r="AL210" s="3" cm="1">
        <f t="array" ref="AL210">SUM(SUMIFS(tblStock[value_nzd],tblStock[sku],tblSKU[[#This Row],[sku]],tblStock[stock_type],{"Saleable","FOC"},tblStock[expiry_date],"&lt;"&amp;EDATE(SnapshotDate,6)))</f>
        <v>0</v>
      </c>
    </row>
    <row r="211" spans="1:38">
      <c r="A211" s="1" t="s">
        <v>468</v>
      </c>
      <c r="B211" s="1" t="s">
        <v>469</v>
      </c>
      <c r="C211" s="1" t="s">
        <v>43</v>
      </c>
      <c r="D211" s="1" t="s">
        <v>37</v>
      </c>
      <c r="E211" s="1" t="s">
        <v>38</v>
      </c>
      <c r="F211" s="1" t="s">
        <v>39</v>
      </c>
      <c r="G211">
        <v>120</v>
      </c>
      <c r="H211">
        <v>54.1</v>
      </c>
      <c r="I211">
        <v>32</v>
      </c>
      <c r="J211">
        <v>23.2</v>
      </c>
      <c r="K211">
        <v>4.0160000000000001E-2</v>
      </c>
      <c r="L211">
        <v>6.45</v>
      </c>
      <c r="M211">
        <v>24.05</v>
      </c>
      <c r="N211">
        <v>4</v>
      </c>
      <c r="O211">
        <v>4</v>
      </c>
      <c r="P211">
        <v>16</v>
      </c>
      <c r="Q211">
        <v>107.8</v>
      </c>
      <c r="R211">
        <v>128.19999999999999</v>
      </c>
      <c r="S211">
        <v>0.64256000000000002</v>
      </c>
      <c r="T211">
        <v>5</v>
      </c>
      <c r="U211">
        <v>215</v>
      </c>
      <c r="V211">
        <v>5170.75</v>
      </c>
      <c r="W211" s="1" t="s">
        <v>1262</v>
      </c>
      <c r="X211" s="1" t="s">
        <v>1262</v>
      </c>
      <c r="Y211">
        <v>5.8823529411764705E-2</v>
      </c>
      <c r="Z211">
        <v>6.5870098039215695E-3</v>
      </c>
      <c r="AA211" s="1" t="s">
        <v>1263</v>
      </c>
      <c r="AB211">
        <v>0</v>
      </c>
      <c r="AC211">
        <v>0</v>
      </c>
      <c r="AD211" s="1">
        <v>10.902325581395349</v>
      </c>
      <c r="AE211">
        <v>2</v>
      </c>
      <c r="AF211">
        <f>COUNTIFS(tblStock[sku],tblSKU[[#This Row],[sku]])</f>
        <v>3</v>
      </c>
      <c r="AG211" cm="1">
        <f t="array" ref="AG211">SUM(SUMIFS(tblStock[qty_units],tblStock[sku],tblSKU[[#This Row],[sku]],tblStock[stock_type],{"Saleable","FOC"}))</f>
        <v>586</v>
      </c>
      <c r="AH211" s="3">
        <f>SUMIFS(tblStock[value_nzd],tblStock[sku],tblSKU[[#This Row],[sku]])</f>
        <v>15199.600000000002</v>
      </c>
      <c r="AI211" s="4">
        <f>SUMIFS(tblStock[cbm],tblStock[sku],tblSKU[[#This Row],[sku]])</f>
        <v>0.21150933333333333</v>
      </c>
      <c r="AJ211" s="1">
        <f>SUMIFS(tblStock[positions],tblStock[sku],tblSKU[[#This Row],[sku]])</f>
        <v>0</v>
      </c>
      <c r="AK211" s="3">
        <f>SUMIFS(tblStock[value_nzd],tblStock[sku],tblSKU[[#This Row],[sku]],tblStock[stock_type],"Expired")</f>
        <v>1106.3</v>
      </c>
      <c r="AL211" s="3" cm="1">
        <f t="array" ref="AL211">SUM(SUMIFS(tblStock[value_nzd],tblStock[sku],tblSKU[[#This Row],[sku]],tblStock[stock_type],{"Saleable","FOC"},tblStock[expiry_date],"&lt;"&amp;EDATE(SnapshotDate,6)))</f>
        <v>0</v>
      </c>
    </row>
    <row r="212" spans="1:38">
      <c r="A212" s="1" t="s">
        <v>470</v>
      </c>
      <c r="B212" s="1" t="s">
        <v>471</v>
      </c>
      <c r="C212" s="1" t="s">
        <v>48</v>
      </c>
      <c r="D212" s="1" t="s">
        <v>37</v>
      </c>
      <c r="E212" s="1" t="s">
        <v>38</v>
      </c>
      <c r="F212" s="1" t="s">
        <v>39</v>
      </c>
      <c r="G212">
        <v>120</v>
      </c>
      <c r="H212">
        <v>54.7</v>
      </c>
      <c r="I212">
        <v>42</v>
      </c>
      <c r="J212">
        <v>24.8</v>
      </c>
      <c r="K212">
        <v>5.6980000000000003E-2</v>
      </c>
      <c r="L212">
        <v>16.989999999999998</v>
      </c>
      <c r="M212">
        <v>19.38</v>
      </c>
      <c r="N212">
        <v>4</v>
      </c>
      <c r="O212">
        <v>2</v>
      </c>
      <c r="P212">
        <v>8</v>
      </c>
      <c r="Q212">
        <v>64.599999999999994</v>
      </c>
      <c r="R212">
        <v>160.91999999999999</v>
      </c>
      <c r="S212">
        <v>0.45584000000000002</v>
      </c>
      <c r="T212">
        <v>299</v>
      </c>
      <c r="U212">
        <v>23867</v>
      </c>
      <c r="V212">
        <v>462542.45999999996</v>
      </c>
      <c r="W212" s="1" t="s">
        <v>1264</v>
      </c>
      <c r="X212" s="1" t="s">
        <v>1264</v>
      </c>
      <c r="Y212">
        <v>3.5176470588235293</v>
      </c>
      <c r="Z212">
        <v>1.462438725490196</v>
      </c>
      <c r="AA212" s="1" t="s">
        <v>1265</v>
      </c>
      <c r="AB212">
        <v>1</v>
      </c>
      <c r="AC212">
        <v>0</v>
      </c>
      <c r="AD212" s="1">
        <v>2.4478987723635144</v>
      </c>
      <c r="AE212">
        <v>12</v>
      </c>
      <c r="AF212">
        <f>COUNTIFS(tblStock[sku],tblSKU[[#This Row],[sku]])</f>
        <v>2</v>
      </c>
      <c r="AG212" cm="1">
        <f t="array" ref="AG212">SUM(SUMIFS(tblStock[qty_units],tblStock[sku],tblSKU[[#This Row],[sku]],tblStock[stock_type],{"Saleable","FOC"}))</f>
        <v>14606</v>
      </c>
      <c r="AH212" s="3">
        <f>SUMIFS(tblStock[value_nzd],tblStock[sku],tblSKU[[#This Row],[sku]])</f>
        <v>305700.12</v>
      </c>
      <c r="AI212" s="4">
        <f>SUMIFS(tblStock[cbm],tblStock[sku],tblSKU[[#This Row],[sku]])</f>
        <v>7.4900210000000005</v>
      </c>
      <c r="AJ212" s="1">
        <f>SUMIFS(tblStock[positions],tblStock[sku],tblSKU[[#This Row],[sku]])</f>
        <v>16</v>
      </c>
      <c r="AK212" s="3">
        <f>SUMIFS(tblStock[value_nzd],tblStock[sku],tblSKU[[#This Row],[sku]],tblStock[stock_type],"Expired")</f>
        <v>22635.84</v>
      </c>
      <c r="AL212" s="3" cm="1">
        <f t="array" ref="AL212">SUM(SUMIFS(tblStock[value_nzd],tblStock[sku],tblSKU[[#This Row],[sku]],tblStock[stock_type],{"Saleable","FOC"},tblStock[expiry_date],"&lt;"&amp;EDATE(SnapshotDate,6)))</f>
        <v>0</v>
      </c>
    </row>
    <row r="213" spans="1:38">
      <c r="A213" s="1" t="s">
        <v>472</v>
      </c>
      <c r="B213" s="1" t="s">
        <v>473</v>
      </c>
      <c r="C213" s="1" t="s">
        <v>43</v>
      </c>
      <c r="D213" s="1" t="s">
        <v>37</v>
      </c>
      <c r="E213" s="1" t="s">
        <v>38</v>
      </c>
      <c r="F213" s="1" t="s">
        <v>39</v>
      </c>
      <c r="G213">
        <v>240</v>
      </c>
      <c r="H213">
        <v>32.700000000000003</v>
      </c>
      <c r="I213">
        <v>41</v>
      </c>
      <c r="J213">
        <v>24.1</v>
      </c>
      <c r="K213">
        <v>3.2309999999999998E-2</v>
      </c>
      <c r="L213">
        <v>7.21</v>
      </c>
      <c r="M213">
        <v>19.170000000000002</v>
      </c>
      <c r="N213">
        <v>6</v>
      </c>
      <c r="O213">
        <v>3</v>
      </c>
      <c r="P213">
        <v>18</v>
      </c>
      <c r="Q213">
        <v>87.300000000000011</v>
      </c>
      <c r="R213">
        <v>154.78</v>
      </c>
      <c r="S213">
        <v>0.58157999999999999</v>
      </c>
      <c r="T213">
        <v>5</v>
      </c>
      <c r="U213">
        <v>1000</v>
      </c>
      <c r="V213">
        <v>19170</v>
      </c>
      <c r="W213" s="1" t="s">
        <v>1262</v>
      </c>
      <c r="X213" s="1" t="s">
        <v>1262</v>
      </c>
      <c r="Y213">
        <v>5.8823529411764705E-2</v>
      </c>
      <c r="Z213">
        <v>1.3616557734204794E-2</v>
      </c>
      <c r="AA213" s="1" t="s">
        <v>1263</v>
      </c>
      <c r="AB213">
        <v>0</v>
      </c>
      <c r="AC213">
        <v>0</v>
      </c>
      <c r="AD213" s="1">
        <v>4.8360000000000003</v>
      </c>
      <c r="AE213">
        <v>2</v>
      </c>
      <c r="AF213">
        <f>COUNTIFS(tblStock[sku],tblSKU[[#This Row],[sku]])</f>
        <v>3</v>
      </c>
      <c r="AG213" cm="1">
        <f t="array" ref="AG213">SUM(SUMIFS(tblStock[qty_units],tblStock[sku],tblSKU[[#This Row],[sku]],tblStock[stock_type],{"Saleable","FOC"}))</f>
        <v>1209</v>
      </c>
      <c r="AH213" s="3">
        <f>SUMIFS(tblStock[value_nzd],tblStock[sku],tblSKU[[#This Row],[sku]])</f>
        <v>23176.530000000002</v>
      </c>
      <c r="AI213" s="4">
        <f>SUMIFS(tblStock[cbm],tblStock[sku],tblSKU[[#This Row],[sku]])</f>
        <v>0.16276162499999997</v>
      </c>
      <c r="AJ213" s="1">
        <f>SUMIFS(tblStock[positions],tblStock[sku],tblSKU[[#This Row],[sku]])</f>
        <v>0</v>
      </c>
      <c r="AK213" s="3">
        <f>SUMIFS(tblStock[value_nzd],tblStock[sku],tblSKU[[#This Row],[sku]],tblStock[stock_type],"Expired")</f>
        <v>0</v>
      </c>
      <c r="AL213" s="3" cm="1">
        <f t="array" ref="AL213">SUM(SUMIFS(tblStock[value_nzd],tblStock[sku],tblSKU[[#This Row],[sku]],tblStock[stock_type],{"Saleable","FOC"},tblStock[expiry_date],"&lt;"&amp;EDATE(SnapshotDate,6)))</f>
        <v>0</v>
      </c>
    </row>
    <row r="214" spans="1:38">
      <c r="A214" s="1" t="s">
        <v>474</v>
      </c>
      <c r="B214" s="1" t="s">
        <v>475</v>
      </c>
      <c r="C214" s="1" t="s">
        <v>48</v>
      </c>
      <c r="D214" s="1" t="s">
        <v>37</v>
      </c>
      <c r="E214" s="1" t="s">
        <v>38</v>
      </c>
      <c r="F214" s="1" t="s">
        <v>39</v>
      </c>
      <c r="G214">
        <v>240</v>
      </c>
      <c r="H214">
        <v>43.2</v>
      </c>
      <c r="I214">
        <v>25.2</v>
      </c>
      <c r="J214">
        <v>27.1</v>
      </c>
      <c r="K214">
        <v>2.9499999999999998E-2</v>
      </c>
      <c r="L214">
        <v>7.46</v>
      </c>
      <c r="M214">
        <v>16.07</v>
      </c>
      <c r="N214">
        <v>8</v>
      </c>
      <c r="O214">
        <v>5</v>
      </c>
      <c r="P214">
        <v>40</v>
      </c>
      <c r="Q214">
        <v>150.5</v>
      </c>
      <c r="R214">
        <v>323.39999999999998</v>
      </c>
      <c r="S214">
        <v>1.18</v>
      </c>
      <c r="T214">
        <v>231</v>
      </c>
      <c r="U214">
        <v>21872</v>
      </c>
      <c r="V214">
        <v>351483.04</v>
      </c>
      <c r="W214" s="1" t="s">
        <v>1264</v>
      </c>
      <c r="X214" s="1" t="s">
        <v>1264</v>
      </c>
      <c r="Y214">
        <v>2.7176470588235295</v>
      </c>
      <c r="Z214">
        <v>0.13401960784313727</v>
      </c>
      <c r="AA214" s="1" t="s">
        <v>1265</v>
      </c>
      <c r="AB214">
        <v>1</v>
      </c>
      <c r="AC214">
        <v>0</v>
      </c>
      <c r="AD214" s="1">
        <v>6.9376371616678858</v>
      </c>
      <c r="AE214">
        <v>12</v>
      </c>
      <c r="AF214">
        <f>COUNTIFS(tblStock[sku],tblSKU[[#This Row],[sku]])</f>
        <v>3</v>
      </c>
      <c r="AG214" cm="1">
        <f t="array" ref="AG214">SUM(SUMIFS(tblStock[qty_units],tblStock[sku],tblSKU[[#This Row],[sku]],tblStock[stock_type],{"Saleable","FOC"}))</f>
        <v>37935</v>
      </c>
      <c r="AH214" s="3">
        <f>SUMIFS(tblStock[value_nzd],tblStock[sku],tblSKU[[#This Row],[sku]])</f>
        <v>609615.44999999995</v>
      </c>
      <c r="AI214" s="4">
        <f>SUMIFS(tblStock[cbm],tblStock[sku],tblSKU[[#This Row],[sku]])</f>
        <v>4.6628437499999995</v>
      </c>
      <c r="AJ214" s="1">
        <f>SUMIFS(tblStock[positions],tblStock[sku],tblSKU[[#This Row],[sku]])</f>
        <v>5</v>
      </c>
      <c r="AK214" s="3">
        <f>SUMIFS(tblStock[value_nzd],tblStock[sku],tblSKU[[#This Row],[sku]],tblStock[stock_type],"Expired")</f>
        <v>0</v>
      </c>
      <c r="AL214" s="3" cm="1">
        <f t="array" ref="AL214">SUM(SUMIFS(tblStock[value_nzd],tblStock[sku],tblSKU[[#This Row],[sku]],tblStock[stock_type],{"Saleable","FOC"},tblStock[expiry_date],"&lt;"&amp;EDATE(SnapshotDate,6)))</f>
        <v>0</v>
      </c>
    </row>
    <row r="215" spans="1:38">
      <c r="A215" s="1" t="s">
        <v>476</v>
      </c>
      <c r="B215" s="1" t="s">
        <v>477</v>
      </c>
      <c r="C215" s="1" t="s">
        <v>36</v>
      </c>
      <c r="D215" s="1" t="s">
        <v>37</v>
      </c>
      <c r="E215" s="1" t="s">
        <v>38</v>
      </c>
      <c r="F215" s="1" t="s">
        <v>39</v>
      </c>
      <c r="G215">
        <v>60</v>
      </c>
      <c r="H215">
        <v>37.4</v>
      </c>
      <c r="I215">
        <v>25.9</v>
      </c>
      <c r="J215">
        <v>31.3</v>
      </c>
      <c r="K215">
        <v>3.032E-2</v>
      </c>
      <c r="L215">
        <v>6.3</v>
      </c>
      <c r="M215">
        <v>20.05</v>
      </c>
      <c r="N215">
        <v>9</v>
      </c>
      <c r="O215">
        <v>2</v>
      </c>
      <c r="P215">
        <v>18</v>
      </c>
      <c r="Q215">
        <v>77.599999999999994</v>
      </c>
      <c r="R215">
        <v>138.39999999999998</v>
      </c>
      <c r="S215">
        <v>0.54576000000000002</v>
      </c>
      <c r="T215">
        <v>61</v>
      </c>
      <c r="U215">
        <v>4177</v>
      </c>
      <c r="V215">
        <v>83748.850000000006</v>
      </c>
      <c r="W215" s="1" t="s">
        <v>1258</v>
      </c>
      <c r="X215" s="1" t="s">
        <v>1258</v>
      </c>
      <c r="Y215">
        <v>0.71764705882352942</v>
      </c>
      <c r="Z215">
        <v>0.22750544662309366</v>
      </c>
      <c r="AA215" s="1" t="s">
        <v>1259</v>
      </c>
      <c r="AB215">
        <v>0</v>
      </c>
      <c r="AC215">
        <v>1</v>
      </c>
      <c r="AD215" s="1">
        <v>6.4591812305482401</v>
      </c>
      <c r="AE215">
        <v>4</v>
      </c>
      <c r="AF215">
        <f>COUNTIFS(tblStock[sku],tblSKU[[#This Row],[sku]])</f>
        <v>1</v>
      </c>
      <c r="AG215" cm="1">
        <f t="array" ref="AG215">SUM(SUMIFS(tblStock[qty_units],tblStock[sku],tblSKU[[#This Row],[sku]],tblStock[stock_type],{"Saleable","FOC"}))</f>
        <v>6745</v>
      </c>
      <c r="AH215" s="3">
        <f>SUMIFS(tblStock[value_nzd],tblStock[sku],tblSKU[[#This Row],[sku]])</f>
        <v>135237.25</v>
      </c>
      <c r="AI215" s="4">
        <f>SUMIFS(tblStock[cbm],tblStock[sku],tblSKU[[#This Row],[sku]])</f>
        <v>3.4084733333333332</v>
      </c>
      <c r="AJ215" s="1">
        <f>SUMIFS(tblStock[positions],tblStock[sku],tblSKU[[#This Row],[sku]])</f>
        <v>7</v>
      </c>
      <c r="AK215" s="3">
        <f>SUMIFS(tblStock[value_nzd],tblStock[sku],tblSKU[[#This Row],[sku]],tblStock[stock_type],"Expired")</f>
        <v>0</v>
      </c>
      <c r="AL215" s="3" cm="1">
        <f t="array" ref="AL215">SUM(SUMIFS(tblStock[value_nzd],tblStock[sku],tblSKU[[#This Row],[sku]],tblStock[stock_type],{"Saleable","FOC"},tblStock[expiry_date],"&lt;"&amp;EDATE(SnapshotDate,6)))</f>
        <v>0</v>
      </c>
    </row>
    <row r="216" spans="1:38">
      <c r="A216" s="1" t="s">
        <v>478</v>
      </c>
      <c r="B216" s="1" t="s">
        <v>479</v>
      </c>
      <c r="C216" s="1" t="s">
        <v>36</v>
      </c>
      <c r="D216" s="1" t="s">
        <v>37</v>
      </c>
      <c r="E216" s="1" t="s">
        <v>38</v>
      </c>
      <c r="F216" s="1" t="s">
        <v>39</v>
      </c>
      <c r="G216">
        <v>180</v>
      </c>
      <c r="H216">
        <v>55.7</v>
      </c>
      <c r="I216">
        <v>28.1</v>
      </c>
      <c r="J216">
        <v>24.6</v>
      </c>
      <c r="K216">
        <v>3.85E-2</v>
      </c>
      <c r="L216">
        <v>9.61</v>
      </c>
      <c r="M216">
        <v>17.059999999999999</v>
      </c>
      <c r="N216">
        <v>6</v>
      </c>
      <c r="O216">
        <v>4</v>
      </c>
      <c r="P216">
        <v>24</v>
      </c>
      <c r="Q216">
        <v>113.4</v>
      </c>
      <c r="R216">
        <v>255.64</v>
      </c>
      <c r="S216">
        <v>0.92399999999999993</v>
      </c>
      <c r="T216">
        <v>90</v>
      </c>
      <c r="U216">
        <v>6982</v>
      </c>
      <c r="V216">
        <v>119112.92</v>
      </c>
      <c r="W216" s="1" t="s">
        <v>1264</v>
      </c>
      <c r="X216" s="1" t="s">
        <v>1264</v>
      </c>
      <c r="Y216">
        <v>1.0588235294117647</v>
      </c>
      <c r="Z216">
        <v>9.5070806100217883E-2</v>
      </c>
      <c r="AA216" s="1" t="s">
        <v>1265</v>
      </c>
      <c r="AB216">
        <v>1</v>
      </c>
      <c r="AC216">
        <v>0</v>
      </c>
      <c r="AD216" s="1">
        <v>6.056717272987683</v>
      </c>
      <c r="AE216">
        <v>12</v>
      </c>
      <c r="AF216">
        <f>COUNTIFS(tblStock[sku],tblSKU[[#This Row],[sku]])</f>
        <v>4</v>
      </c>
      <c r="AG216" cm="1">
        <f t="array" ref="AG216">SUM(SUMIFS(tblStock[qty_units],tblStock[sku],tblSKU[[#This Row],[sku]],tblStock[stock_type],{"Saleable","FOC"}))</f>
        <v>10572</v>
      </c>
      <c r="AH216" s="3">
        <f>SUMIFS(tblStock[value_nzd],tblStock[sku],tblSKU[[#This Row],[sku]])</f>
        <v>194091.61999999997</v>
      </c>
      <c r="AI216" s="4">
        <f>SUMIFS(tblStock[cbm],tblStock[sku],tblSKU[[#This Row],[sku]])</f>
        <v>2.4334138888888885</v>
      </c>
      <c r="AJ216" s="1">
        <f>SUMIFS(tblStock[positions],tblStock[sku],tblSKU[[#This Row],[sku]])</f>
        <v>3</v>
      </c>
      <c r="AK216" s="3">
        <f>SUMIFS(tblStock[value_nzd],tblStock[sku],tblSKU[[#This Row],[sku]],tblStock[stock_type],"Expired")</f>
        <v>13733.3</v>
      </c>
      <c r="AL216" s="3" cm="1">
        <f t="array" ref="AL216">SUM(SUMIFS(tblStock[value_nzd],tblStock[sku],tblSKU[[#This Row],[sku]],tblStock[stock_type],{"Saleable","FOC"},tblStock[expiry_date],"&lt;"&amp;EDATE(SnapshotDate,6)))</f>
        <v>0</v>
      </c>
    </row>
    <row r="217" spans="1:38">
      <c r="A217" s="1" t="s">
        <v>480</v>
      </c>
      <c r="B217" s="1" t="s">
        <v>481</v>
      </c>
      <c r="C217" s="1" t="s">
        <v>36</v>
      </c>
      <c r="D217" s="1" t="s">
        <v>37</v>
      </c>
      <c r="E217" s="1" t="s">
        <v>38</v>
      </c>
      <c r="F217" s="1" t="s">
        <v>39</v>
      </c>
      <c r="G217">
        <v>120</v>
      </c>
      <c r="H217">
        <v>58.7</v>
      </c>
      <c r="I217">
        <v>27.5</v>
      </c>
      <c r="J217">
        <v>27.3</v>
      </c>
      <c r="K217">
        <v>4.4069999999999998E-2</v>
      </c>
      <c r="L217">
        <v>9.58</v>
      </c>
      <c r="M217">
        <v>3.61</v>
      </c>
      <c r="N217">
        <v>6</v>
      </c>
      <c r="O217">
        <v>5</v>
      </c>
      <c r="P217">
        <v>30</v>
      </c>
      <c r="Q217">
        <v>151.5</v>
      </c>
      <c r="R217">
        <v>312.39999999999998</v>
      </c>
      <c r="S217">
        <v>1.3220999999999998</v>
      </c>
      <c r="T217">
        <v>7</v>
      </c>
      <c r="U217">
        <v>1000</v>
      </c>
      <c r="V217">
        <v>3610</v>
      </c>
      <c r="W217" s="1" t="s">
        <v>1262</v>
      </c>
      <c r="X217" s="1" t="s">
        <v>1262</v>
      </c>
      <c r="Y217">
        <v>8.2352941176470587E-2</v>
      </c>
      <c r="Z217">
        <v>1.6339869281045753E-2</v>
      </c>
      <c r="AA217" s="1" t="s">
        <v>1263</v>
      </c>
      <c r="AB217">
        <v>0</v>
      </c>
      <c r="AC217">
        <v>0</v>
      </c>
      <c r="AD217" s="1">
        <v>1.6679999999999999</v>
      </c>
      <c r="AE217">
        <v>2</v>
      </c>
      <c r="AF217">
        <f>COUNTIFS(tblStock[sku],tblSKU[[#This Row],[sku]])</f>
        <v>2</v>
      </c>
      <c r="AG217" cm="1">
        <f t="array" ref="AG217">SUM(SUMIFS(tblStock[qty_units],tblStock[sku],tblSKU[[#This Row],[sku]],tblStock[stock_type],{"Saleable","FOC"}))</f>
        <v>417</v>
      </c>
      <c r="AH217" s="3">
        <f>SUMIFS(tblStock[value_nzd],tblStock[sku],tblSKU[[#This Row],[sku]])</f>
        <v>1624.5</v>
      </c>
      <c r="AI217" s="4">
        <f>SUMIFS(tblStock[cbm],tblStock[sku],tblSKU[[#This Row],[sku]])</f>
        <v>0.16526250000000001</v>
      </c>
      <c r="AJ217" s="1">
        <f>SUMIFS(tblStock[positions],tblStock[sku],tblSKU[[#This Row],[sku]])</f>
        <v>0</v>
      </c>
      <c r="AK217" s="3">
        <f>SUMIFS(tblStock[value_nzd],tblStock[sku],tblSKU[[#This Row],[sku]],tblStock[stock_type],"Expired")</f>
        <v>119.13</v>
      </c>
      <c r="AL217" s="3" cm="1">
        <f t="array" ref="AL217">SUM(SUMIFS(tblStock[value_nzd],tblStock[sku],tblSKU[[#This Row],[sku]],tblStock[stock_type],{"Saleable","FOC"},tblStock[expiry_date],"&lt;"&amp;EDATE(SnapshotDate,6)))</f>
        <v>1505.37</v>
      </c>
    </row>
    <row r="218" spans="1:38">
      <c r="A218" s="1" t="s">
        <v>482</v>
      </c>
      <c r="B218" s="1" t="s">
        <v>483</v>
      </c>
      <c r="C218" s="1" t="s">
        <v>52</v>
      </c>
      <c r="D218" s="1" t="s">
        <v>37</v>
      </c>
      <c r="E218" s="1" t="s">
        <v>38</v>
      </c>
      <c r="F218" s="1" t="s">
        <v>39</v>
      </c>
      <c r="G218">
        <v>120</v>
      </c>
      <c r="H218">
        <v>41.5</v>
      </c>
      <c r="I218">
        <v>25</v>
      </c>
      <c r="J218">
        <v>29.3</v>
      </c>
      <c r="K218">
        <v>3.04E-2</v>
      </c>
      <c r="L218">
        <v>8.6199999999999992</v>
      </c>
      <c r="M218">
        <v>7.68</v>
      </c>
      <c r="N218">
        <v>8</v>
      </c>
      <c r="O218">
        <v>5</v>
      </c>
      <c r="P218">
        <v>40</v>
      </c>
      <c r="Q218">
        <v>161.5</v>
      </c>
      <c r="R218">
        <v>369.79999999999995</v>
      </c>
      <c r="S218">
        <v>1.216</v>
      </c>
      <c r="T218">
        <v>14</v>
      </c>
      <c r="U218">
        <v>753</v>
      </c>
      <c r="V218">
        <v>5783.04</v>
      </c>
      <c r="W218" s="1" t="s">
        <v>1262</v>
      </c>
      <c r="X218" s="1" t="s">
        <v>1262</v>
      </c>
      <c r="Y218">
        <v>0.16470588235294117</v>
      </c>
      <c r="Z218">
        <v>9.2279411764705881E-3</v>
      </c>
      <c r="AA218" s="1" t="s">
        <v>1263</v>
      </c>
      <c r="AB218">
        <v>0</v>
      </c>
      <c r="AC218">
        <v>0</v>
      </c>
      <c r="AD218" s="1">
        <v>5.6414342629482075</v>
      </c>
      <c r="AE218">
        <v>2</v>
      </c>
      <c r="AF218">
        <f>COUNTIFS(tblStock[sku],tblSKU[[#This Row],[sku]])</f>
        <v>2</v>
      </c>
      <c r="AG218" cm="1">
        <f t="array" ref="AG218">SUM(SUMIFS(tblStock[qty_units],tblStock[sku],tblSKU[[#This Row],[sku]],tblStock[stock_type],{"Saleable","FOC"}))</f>
        <v>1062</v>
      </c>
      <c r="AH218" s="3">
        <f>SUMIFS(tblStock[value_nzd],tblStock[sku],tblSKU[[#This Row],[sku]])</f>
        <v>8156.16</v>
      </c>
      <c r="AI218" s="4">
        <f>SUMIFS(tblStock[cbm],tblStock[sku],tblSKU[[#This Row],[sku]])</f>
        <v>0.26904</v>
      </c>
      <c r="AJ218" s="1">
        <f>SUMIFS(tblStock[positions],tblStock[sku],tblSKU[[#This Row],[sku]])</f>
        <v>0</v>
      </c>
      <c r="AK218" s="3">
        <f>SUMIFS(tblStock[value_nzd],tblStock[sku],tblSKU[[#This Row],[sku]],tblStock[stock_type],"Expired")</f>
        <v>0</v>
      </c>
      <c r="AL218" s="3" cm="1">
        <f t="array" ref="AL218">SUM(SUMIFS(tblStock[value_nzd],tblStock[sku],tblSKU[[#This Row],[sku]],tblStock[stock_type],{"Saleable","FOC"},tblStock[expiry_date],"&lt;"&amp;EDATE(SnapshotDate,6)))</f>
        <v>0</v>
      </c>
    </row>
    <row r="219" spans="1:38">
      <c r="A219" s="1" t="s">
        <v>484</v>
      </c>
      <c r="B219" s="1" t="s">
        <v>485</v>
      </c>
      <c r="C219" s="1" t="s">
        <v>52</v>
      </c>
      <c r="D219" s="1" t="s">
        <v>37</v>
      </c>
      <c r="E219" s="1" t="s">
        <v>38</v>
      </c>
      <c r="F219" s="1" t="s">
        <v>39</v>
      </c>
      <c r="G219">
        <v>120</v>
      </c>
      <c r="H219">
        <v>30.8</v>
      </c>
      <c r="I219">
        <v>31.4</v>
      </c>
      <c r="J219">
        <v>23.8</v>
      </c>
      <c r="K219">
        <v>2.3019999999999999E-2</v>
      </c>
      <c r="L219">
        <v>4.18</v>
      </c>
      <c r="M219">
        <v>18.68</v>
      </c>
      <c r="N219">
        <v>9</v>
      </c>
      <c r="O219">
        <v>6</v>
      </c>
      <c r="P219">
        <v>54</v>
      </c>
      <c r="Q219">
        <v>157.80000000000001</v>
      </c>
      <c r="R219">
        <v>250.71999999999997</v>
      </c>
      <c r="S219">
        <v>1.24308</v>
      </c>
      <c r="T219">
        <v>33</v>
      </c>
      <c r="U219">
        <v>2428</v>
      </c>
      <c r="V219">
        <v>45355.040000000001</v>
      </c>
      <c r="W219" s="1" t="s">
        <v>1258</v>
      </c>
      <c r="X219" s="1" t="s">
        <v>1258</v>
      </c>
      <c r="Y219">
        <v>0.38823529411764707</v>
      </c>
      <c r="Z219">
        <v>2.204066811909949E-2</v>
      </c>
      <c r="AA219" s="1" t="s">
        <v>1259</v>
      </c>
      <c r="AB219">
        <v>0</v>
      </c>
      <c r="AC219">
        <v>1</v>
      </c>
      <c r="AD219" s="1">
        <v>4.1153212520593083</v>
      </c>
      <c r="AE219">
        <v>4</v>
      </c>
      <c r="AF219">
        <f>COUNTIFS(tblStock[sku],tblSKU[[#This Row],[sku]])</f>
        <v>3</v>
      </c>
      <c r="AG219" cm="1">
        <f t="array" ref="AG219">SUM(SUMIFS(tblStock[qty_units],tblStock[sku],tblSKU[[#This Row],[sku]],tblStock[stock_type],{"Saleable","FOC"}))</f>
        <v>2498</v>
      </c>
      <c r="AH219" s="3">
        <f>SUMIFS(tblStock[value_nzd],tblStock[sku],tblSKU[[#This Row],[sku]])</f>
        <v>51295.28</v>
      </c>
      <c r="AI219" s="4">
        <f>SUMIFS(tblStock[cbm],tblStock[sku],tblSKU[[#This Row],[sku]])</f>
        <v>0.52677433333333334</v>
      </c>
      <c r="AJ219" s="1">
        <f>SUMIFS(tblStock[positions],tblStock[sku],tblSKU[[#This Row],[sku]])</f>
        <v>1</v>
      </c>
      <c r="AK219" s="3">
        <f>SUMIFS(tblStock[value_nzd],tblStock[sku],tblSKU[[#This Row],[sku]],tblStock[stock_type],"Expired")</f>
        <v>3717.32</v>
      </c>
      <c r="AL219" s="3" cm="1">
        <f t="array" ref="AL219">SUM(SUMIFS(tblStock[value_nzd],tblStock[sku],tblSKU[[#This Row],[sku]],tblStock[stock_type],{"Saleable","FOC"},tblStock[expiry_date],"&lt;"&amp;EDATE(SnapshotDate,6)))</f>
        <v>0</v>
      </c>
    </row>
    <row r="220" spans="1:38">
      <c r="A220" s="1" t="s">
        <v>486</v>
      </c>
      <c r="B220" s="1" t="s">
        <v>487</v>
      </c>
      <c r="C220" s="1" t="s">
        <v>70</v>
      </c>
      <c r="D220" s="1" t="s">
        <v>37</v>
      </c>
      <c r="E220" s="1" t="s">
        <v>38</v>
      </c>
      <c r="F220" s="1" t="s">
        <v>39</v>
      </c>
      <c r="G220">
        <v>60</v>
      </c>
      <c r="H220">
        <v>44.8</v>
      </c>
      <c r="I220">
        <v>37.1</v>
      </c>
      <c r="J220">
        <v>17.899999999999999</v>
      </c>
      <c r="K220">
        <v>2.9749999999999999E-2</v>
      </c>
      <c r="L220">
        <v>4.67</v>
      </c>
      <c r="M220">
        <v>10.58</v>
      </c>
      <c r="N220">
        <v>4</v>
      </c>
      <c r="O220">
        <v>3</v>
      </c>
      <c r="P220">
        <v>12</v>
      </c>
      <c r="Q220">
        <v>68.699999999999989</v>
      </c>
      <c r="R220">
        <v>81.039999999999992</v>
      </c>
      <c r="S220">
        <v>0.35699999999999998</v>
      </c>
      <c r="T220">
        <v>13</v>
      </c>
      <c r="U220">
        <v>307</v>
      </c>
      <c r="V220">
        <v>3248.06</v>
      </c>
      <c r="W220" s="1" t="s">
        <v>1262</v>
      </c>
      <c r="X220" s="1" t="s">
        <v>1262</v>
      </c>
      <c r="Y220">
        <v>0.15294117647058825</v>
      </c>
      <c r="Z220">
        <v>2.5081699346405226E-2</v>
      </c>
      <c r="AA220" s="1" t="s">
        <v>1263</v>
      </c>
      <c r="AB220">
        <v>0</v>
      </c>
      <c r="AC220">
        <v>0</v>
      </c>
      <c r="AD220" s="1">
        <v>20.977198697068403</v>
      </c>
      <c r="AE220">
        <v>2</v>
      </c>
      <c r="AF220">
        <f>COUNTIFS(tblStock[sku],tblSKU[[#This Row],[sku]])</f>
        <v>1</v>
      </c>
      <c r="AG220" cm="1">
        <f t="array" ref="AG220">SUM(SUMIFS(tblStock[qty_units],tblStock[sku],tblSKU[[#This Row],[sku]],tblStock[stock_type],{"Saleable","FOC"}))</f>
        <v>1610</v>
      </c>
      <c r="AH220" s="3">
        <f>SUMIFS(tblStock[value_nzd],tblStock[sku],tblSKU[[#This Row],[sku]])</f>
        <v>17033.8</v>
      </c>
      <c r="AI220" s="4">
        <f>SUMIFS(tblStock[cbm],tblStock[sku],tblSKU[[#This Row],[sku]])</f>
        <v>0.79829166666666662</v>
      </c>
      <c r="AJ220" s="1">
        <f>SUMIFS(tblStock[positions],tblStock[sku],tblSKU[[#This Row],[sku]])</f>
        <v>3</v>
      </c>
      <c r="AK220" s="3">
        <f>SUMIFS(tblStock[value_nzd],tblStock[sku],tblSKU[[#This Row],[sku]],tblStock[stock_type],"Expired")</f>
        <v>0</v>
      </c>
      <c r="AL220" s="3" cm="1">
        <f t="array" ref="AL220">SUM(SUMIFS(tblStock[value_nzd],tblStock[sku],tblSKU[[#This Row],[sku]],tblStock[stock_type],{"Saleable","FOC"},tblStock[expiry_date],"&lt;"&amp;EDATE(SnapshotDate,6)))</f>
        <v>0</v>
      </c>
    </row>
    <row r="221" spans="1:38">
      <c r="A221" s="1" t="s">
        <v>488</v>
      </c>
      <c r="B221" s="1" t="s">
        <v>489</v>
      </c>
      <c r="C221" s="1" t="s">
        <v>48</v>
      </c>
      <c r="D221" s="1" t="s">
        <v>37</v>
      </c>
      <c r="E221" s="1" t="s">
        <v>38</v>
      </c>
      <c r="F221" s="1" t="s">
        <v>39</v>
      </c>
      <c r="G221">
        <v>100</v>
      </c>
      <c r="H221">
        <v>47.8</v>
      </c>
      <c r="I221">
        <v>36.6</v>
      </c>
      <c r="J221">
        <v>21.1</v>
      </c>
      <c r="K221">
        <v>3.6909999999999998E-2</v>
      </c>
      <c r="L221">
        <v>9.9</v>
      </c>
      <c r="M221">
        <v>16.63</v>
      </c>
      <c r="N221">
        <v>6</v>
      </c>
      <c r="O221">
        <v>3</v>
      </c>
      <c r="P221">
        <v>18</v>
      </c>
      <c r="Q221">
        <v>78.300000000000011</v>
      </c>
      <c r="R221">
        <v>203.20000000000002</v>
      </c>
      <c r="S221">
        <v>0.66437999999999997</v>
      </c>
      <c r="T221">
        <v>5</v>
      </c>
      <c r="U221">
        <v>331</v>
      </c>
      <c r="V221">
        <v>5504.53</v>
      </c>
      <c r="W221" s="1" t="s">
        <v>1262</v>
      </c>
      <c r="X221" s="1" t="s">
        <v>1262</v>
      </c>
      <c r="Y221">
        <v>5.8823529411764705E-2</v>
      </c>
      <c r="Z221">
        <v>1.0816993464052287E-2</v>
      </c>
      <c r="AA221" s="1" t="s">
        <v>1263</v>
      </c>
      <c r="AB221">
        <v>0</v>
      </c>
      <c r="AC221">
        <v>0</v>
      </c>
      <c r="AD221" s="1">
        <v>8.2900302114803619</v>
      </c>
      <c r="AE221">
        <v>2</v>
      </c>
      <c r="AF221">
        <f>COUNTIFS(tblStock[sku],tblSKU[[#This Row],[sku]])</f>
        <v>2</v>
      </c>
      <c r="AG221" cm="1">
        <f t="array" ref="AG221">SUM(SUMIFS(tblStock[qty_units],tblStock[sku],tblSKU[[#This Row],[sku]],tblStock[stock_type],{"Saleable","FOC"}))</f>
        <v>686</v>
      </c>
      <c r="AH221" s="3">
        <f>SUMIFS(tblStock[value_nzd],tblStock[sku],tblSKU[[#This Row],[sku]])</f>
        <v>11408.18</v>
      </c>
      <c r="AI221" s="4">
        <f>SUMIFS(tblStock[cbm],tblStock[sku],tblSKU[[#This Row],[sku]])</f>
        <v>0.2532026</v>
      </c>
      <c r="AJ221" s="1">
        <f>SUMIFS(tblStock[positions],tblStock[sku],tblSKU[[#This Row],[sku]])</f>
        <v>0</v>
      </c>
      <c r="AK221" s="3">
        <f>SUMIFS(tblStock[value_nzd],tblStock[sku],tblSKU[[#This Row],[sku]],tblStock[stock_type],"Expired")</f>
        <v>0</v>
      </c>
      <c r="AL221" s="3" cm="1">
        <f t="array" ref="AL221">SUM(SUMIFS(tblStock[value_nzd],tblStock[sku],tblSKU[[#This Row],[sku]],tblStock[stock_type],{"Saleable","FOC"},tblStock[expiry_date],"&lt;"&amp;EDATE(SnapshotDate,6)))</f>
        <v>0</v>
      </c>
    </row>
    <row r="222" spans="1:38">
      <c r="A222" s="1" t="s">
        <v>490</v>
      </c>
      <c r="B222" s="1" t="s">
        <v>491</v>
      </c>
      <c r="C222" s="1" t="s">
        <v>36</v>
      </c>
      <c r="D222" s="1" t="s">
        <v>37</v>
      </c>
      <c r="E222" s="1" t="s">
        <v>38</v>
      </c>
      <c r="F222" s="1" t="s">
        <v>39</v>
      </c>
      <c r="G222">
        <v>120</v>
      </c>
      <c r="H222">
        <v>43.3</v>
      </c>
      <c r="I222">
        <v>28.6</v>
      </c>
      <c r="J222">
        <v>19.5</v>
      </c>
      <c r="K222">
        <v>2.4150000000000001E-2</v>
      </c>
      <c r="L222">
        <v>6.15</v>
      </c>
      <c r="M222">
        <v>5.39</v>
      </c>
      <c r="N222">
        <v>8</v>
      </c>
      <c r="O222">
        <v>7</v>
      </c>
      <c r="P222">
        <v>56</v>
      </c>
      <c r="Q222">
        <v>151.5</v>
      </c>
      <c r="R222">
        <v>369.40000000000003</v>
      </c>
      <c r="S222">
        <v>1.3524</v>
      </c>
      <c r="T222">
        <v>18</v>
      </c>
      <c r="U222">
        <v>695</v>
      </c>
      <c r="V222">
        <v>3746.0499999999997</v>
      </c>
      <c r="W222" s="1" t="s">
        <v>1262</v>
      </c>
      <c r="X222" s="1" t="s">
        <v>1262</v>
      </c>
      <c r="Y222">
        <v>0.21176470588235294</v>
      </c>
      <c r="Z222">
        <v>6.0836834733893558E-3</v>
      </c>
      <c r="AA222" s="1" t="s">
        <v>1263</v>
      </c>
      <c r="AB222">
        <v>0</v>
      </c>
      <c r="AC222">
        <v>0</v>
      </c>
      <c r="AD222" s="1">
        <v>7.516546762589928</v>
      </c>
      <c r="AE222">
        <v>2</v>
      </c>
      <c r="AF222">
        <f>COUNTIFS(tblStock[sku],tblSKU[[#This Row],[sku]])</f>
        <v>1</v>
      </c>
      <c r="AG222" cm="1">
        <f t="array" ref="AG222">SUM(SUMIFS(tblStock[qty_units],tblStock[sku],tblSKU[[#This Row],[sku]],tblStock[stock_type],{"Saleable","FOC"}))</f>
        <v>1306</v>
      </c>
      <c r="AH222" s="3">
        <f>SUMIFS(tblStock[value_nzd],tblStock[sku],tblSKU[[#This Row],[sku]])</f>
        <v>7039.3399999999992</v>
      </c>
      <c r="AI222" s="4">
        <f>SUMIFS(tblStock[cbm],tblStock[sku],tblSKU[[#This Row],[sku]])</f>
        <v>0.26283250000000002</v>
      </c>
      <c r="AJ222" s="1">
        <f>SUMIFS(tblStock[positions],tblStock[sku],tblSKU[[#This Row],[sku]])</f>
        <v>1</v>
      </c>
      <c r="AK222" s="3">
        <f>SUMIFS(tblStock[value_nzd],tblStock[sku],tblSKU[[#This Row],[sku]],tblStock[stock_type],"Expired")</f>
        <v>0</v>
      </c>
      <c r="AL222" s="3" cm="1">
        <f t="array" ref="AL222">SUM(SUMIFS(tblStock[value_nzd],tblStock[sku],tblSKU[[#This Row],[sku]],tblStock[stock_type],{"Saleable","FOC"},tblStock[expiry_date],"&lt;"&amp;EDATE(SnapshotDate,6)))</f>
        <v>0</v>
      </c>
    </row>
    <row r="223" spans="1:38">
      <c r="A223" s="1" t="s">
        <v>492</v>
      </c>
      <c r="B223" s="1" t="s">
        <v>493</v>
      </c>
      <c r="C223" s="1" t="s">
        <v>43</v>
      </c>
      <c r="D223" s="1" t="s">
        <v>37</v>
      </c>
      <c r="E223" s="1" t="s">
        <v>38</v>
      </c>
      <c r="F223" s="1" t="s">
        <v>39</v>
      </c>
      <c r="G223">
        <v>240</v>
      </c>
      <c r="H223">
        <v>34.200000000000003</v>
      </c>
      <c r="I223">
        <v>41.9</v>
      </c>
      <c r="J223">
        <v>28.1</v>
      </c>
      <c r="K223">
        <v>4.027E-2</v>
      </c>
      <c r="L223">
        <v>9.3800000000000008</v>
      </c>
      <c r="M223">
        <v>10.5</v>
      </c>
      <c r="N223">
        <v>6</v>
      </c>
      <c r="O223">
        <v>5</v>
      </c>
      <c r="P223">
        <v>30</v>
      </c>
      <c r="Q223">
        <v>155.5</v>
      </c>
      <c r="R223">
        <v>306.40000000000003</v>
      </c>
      <c r="S223">
        <v>1.2081</v>
      </c>
      <c r="T223">
        <v>11</v>
      </c>
      <c r="U223">
        <v>489</v>
      </c>
      <c r="V223">
        <v>5134.5</v>
      </c>
      <c r="W223" s="1" t="s">
        <v>1262</v>
      </c>
      <c r="X223" s="1" t="s">
        <v>1262</v>
      </c>
      <c r="Y223">
        <v>0.12941176470588237</v>
      </c>
      <c r="Z223">
        <v>3.9950980392156861E-3</v>
      </c>
      <c r="AA223" s="1" t="s">
        <v>1263</v>
      </c>
      <c r="AB223">
        <v>0</v>
      </c>
      <c r="AC223">
        <v>0</v>
      </c>
      <c r="AD223" s="1">
        <v>10.977505112474438</v>
      </c>
      <c r="AE223">
        <v>2</v>
      </c>
      <c r="AF223">
        <f>COUNTIFS(tblStock[sku],tblSKU[[#This Row],[sku]])</f>
        <v>4</v>
      </c>
      <c r="AG223" cm="1">
        <f t="array" ref="AG223">SUM(SUMIFS(tblStock[qty_units],tblStock[sku],tblSKU[[#This Row],[sku]],tblStock[stock_type],{"Saleable","FOC"}))</f>
        <v>1342</v>
      </c>
      <c r="AH223" s="3">
        <f>SUMIFS(tblStock[value_nzd],tblStock[sku],tblSKU[[#This Row],[sku]])</f>
        <v>14091</v>
      </c>
      <c r="AI223" s="4">
        <f>SUMIFS(tblStock[cbm],tblStock[sku],tblSKU[[#This Row],[sku]])</f>
        <v>0.22517641666666668</v>
      </c>
      <c r="AJ223" s="1">
        <f>SUMIFS(tblStock[positions],tblStock[sku],tblSKU[[#This Row],[sku]])</f>
        <v>0</v>
      </c>
      <c r="AK223" s="3">
        <f>SUMIFS(tblStock[value_nzd],tblStock[sku],tblSKU[[#This Row],[sku]],tblStock[stock_type],"Expired")</f>
        <v>0</v>
      </c>
      <c r="AL223" s="3" cm="1">
        <f t="array" ref="AL223">SUM(SUMIFS(tblStock[value_nzd],tblStock[sku],tblSKU[[#This Row],[sku]],tblStock[stock_type],{"Saleable","FOC"},tblStock[expiry_date],"&lt;"&amp;EDATE(SnapshotDate,6)))</f>
        <v>0</v>
      </c>
    </row>
    <row r="224" spans="1:38">
      <c r="A224" s="1" t="s">
        <v>494</v>
      </c>
      <c r="B224" s="1" t="s">
        <v>495</v>
      </c>
      <c r="C224" s="1" t="s">
        <v>43</v>
      </c>
      <c r="D224" s="1" t="s">
        <v>37</v>
      </c>
      <c r="E224" s="1" t="s">
        <v>38</v>
      </c>
      <c r="F224" s="1" t="s">
        <v>39</v>
      </c>
      <c r="G224">
        <v>240</v>
      </c>
      <c r="H224">
        <v>36.700000000000003</v>
      </c>
      <c r="I224">
        <v>31.8</v>
      </c>
      <c r="J224">
        <v>28.9</v>
      </c>
      <c r="K224">
        <v>3.3730000000000003E-2</v>
      </c>
      <c r="L224">
        <v>9.98</v>
      </c>
      <c r="M224">
        <v>18.760000000000002</v>
      </c>
      <c r="N224">
        <v>9</v>
      </c>
      <c r="O224">
        <v>3</v>
      </c>
      <c r="P224">
        <v>27</v>
      </c>
      <c r="Q224">
        <v>101.69999999999999</v>
      </c>
      <c r="R224">
        <v>294.46000000000004</v>
      </c>
      <c r="S224">
        <v>0.91071000000000013</v>
      </c>
      <c r="T224">
        <v>42</v>
      </c>
      <c r="U224">
        <v>6559</v>
      </c>
      <c r="V224">
        <v>123046.84000000001</v>
      </c>
      <c r="W224" s="1" t="s">
        <v>1258</v>
      </c>
      <c r="X224" s="1" t="s">
        <v>1264</v>
      </c>
      <c r="Y224">
        <v>0.49411764705882355</v>
      </c>
      <c r="Z224">
        <v>5.9540668119099492E-2</v>
      </c>
      <c r="AA224" s="1" t="s">
        <v>1259</v>
      </c>
      <c r="AB224">
        <v>0</v>
      </c>
      <c r="AC224">
        <v>1</v>
      </c>
      <c r="AD224" s="1">
        <v>13.491690806525385</v>
      </c>
      <c r="AE224">
        <v>12</v>
      </c>
      <c r="AF224">
        <f>COUNTIFS(tblStock[sku],tblSKU[[#This Row],[sku]])</f>
        <v>2</v>
      </c>
      <c r="AG224" cm="1">
        <f t="array" ref="AG224">SUM(SUMIFS(tblStock[qty_units],tblStock[sku],tblSKU[[#This Row],[sku]],tblStock[stock_type],{"Saleable","FOC"}))</f>
        <v>22123</v>
      </c>
      <c r="AH224" s="3">
        <f>SUMIFS(tblStock[value_nzd],tblStock[sku],tblSKU[[#This Row],[sku]])</f>
        <v>415027.48000000004</v>
      </c>
      <c r="AI224" s="4">
        <f>SUMIFS(tblStock[cbm],tblStock[sku],tblSKU[[#This Row],[sku]])</f>
        <v>3.1092032916666668</v>
      </c>
      <c r="AJ224" s="1">
        <f>SUMIFS(tblStock[positions],tblStock[sku],tblSKU[[#This Row],[sku]])</f>
        <v>5</v>
      </c>
      <c r="AK224" s="3">
        <f>SUMIFS(tblStock[value_nzd],tblStock[sku],tblSKU[[#This Row],[sku]],tblStock[stock_type],"Expired")</f>
        <v>0</v>
      </c>
      <c r="AL224" s="3" cm="1">
        <f t="array" ref="AL224">SUM(SUMIFS(tblStock[value_nzd],tblStock[sku],tblSKU[[#This Row],[sku]],tblStock[stock_type],{"Saleable","FOC"},tblStock[expiry_date],"&lt;"&amp;EDATE(SnapshotDate,6)))</f>
        <v>0</v>
      </c>
    </row>
    <row r="225" spans="1:38">
      <c r="A225" s="1" t="s">
        <v>496</v>
      </c>
      <c r="B225" s="1" t="s">
        <v>497</v>
      </c>
      <c r="C225" s="1" t="s">
        <v>70</v>
      </c>
      <c r="D225" s="1" t="s">
        <v>37</v>
      </c>
      <c r="E225" s="1" t="s">
        <v>38</v>
      </c>
      <c r="F225" s="1" t="s">
        <v>39</v>
      </c>
      <c r="G225">
        <v>240</v>
      </c>
      <c r="H225">
        <v>32.299999999999997</v>
      </c>
      <c r="I225">
        <v>30.1</v>
      </c>
      <c r="J225">
        <v>17.399999999999999</v>
      </c>
      <c r="K225">
        <v>1.6920000000000001E-2</v>
      </c>
      <c r="L225">
        <v>2.61</v>
      </c>
      <c r="M225">
        <v>16.73</v>
      </c>
      <c r="N225">
        <v>9</v>
      </c>
      <c r="O225">
        <v>5</v>
      </c>
      <c r="P225">
        <v>45</v>
      </c>
      <c r="Q225">
        <v>102</v>
      </c>
      <c r="R225">
        <v>142.44999999999999</v>
      </c>
      <c r="S225">
        <v>0.76140000000000008</v>
      </c>
      <c r="T225">
        <v>6</v>
      </c>
      <c r="U225">
        <v>280</v>
      </c>
      <c r="V225">
        <v>4684.4000000000005</v>
      </c>
      <c r="W225" s="1" t="s">
        <v>1262</v>
      </c>
      <c r="X225" s="1" t="s">
        <v>1262</v>
      </c>
      <c r="Y225">
        <v>7.0588235294117646E-2</v>
      </c>
      <c r="Z225">
        <v>1.525054466230937E-3</v>
      </c>
      <c r="AA225" s="1" t="s">
        <v>1263</v>
      </c>
      <c r="AB225">
        <v>0</v>
      </c>
      <c r="AC225">
        <v>0</v>
      </c>
      <c r="AD225" s="1">
        <v>3.4571428571428573</v>
      </c>
      <c r="AE225">
        <v>2</v>
      </c>
      <c r="AF225">
        <f>COUNTIFS(tblStock[sku],tblSKU[[#This Row],[sku]])</f>
        <v>2</v>
      </c>
      <c r="AG225" cm="1">
        <f t="array" ref="AG225">SUM(SUMIFS(tblStock[qty_units],tblStock[sku],tblSKU[[#This Row],[sku]],tblStock[stock_type],{"Saleable","FOC"}))</f>
        <v>242</v>
      </c>
      <c r="AH225" s="3">
        <f>SUMIFS(tblStock[value_nzd],tblStock[sku],tblSKU[[#This Row],[sku]])</f>
        <v>4048.6600000000003</v>
      </c>
      <c r="AI225" s="4">
        <f>SUMIFS(tblStock[cbm],tblStock[sku],tblSKU[[#This Row],[sku]])</f>
        <v>1.7061E-2</v>
      </c>
      <c r="AJ225" s="1">
        <f>SUMIFS(tblStock[positions],tblStock[sku],tblSKU[[#This Row],[sku]])</f>
        <v>0</v>
      </c>
      <c r="AK225" s="3">
        <f>SUMIFS(tblStock[value_nzd],tblStock[sku],tblSKU[[#This Row],[sku]],tblStock[stock_type],"Expired")</f>
        <v>0</v>
      </c>
      <c r="AL225" s="3" cm="1">
        <f t="array" ref="AL225">SUM(SUMIFS(tblStock[value_nzd],tblStock[sku],tblSKU[[#This Row],[sku]],tblStock[stock_type],{"Saleable","FOC"},tblStock[expiry_date],"&lt;"&amp;EDATE(SnapshotDate,6)))</f>
        <v>0</v>
      </c>
    </row>
    <row r="226" spans="1:38">
      <c r="A226" s="1" t="s">
        <v>498</v>
      </c>
      <c r="B226" s="1" t="s">
        <v>499</v>
      </c>
      <c r="C226" s="1" t="s">
        <v>36</v>
      </c>
      <c r="D226" s="1" t="s">
        <v>37</v>
      </c>
      <c r="E226" s="1" t="s">
        <v>38</v>
      </c>
      <c r="F226" s="1" t="s">
        <v>39</v>
      </c>
      <c r="G226">
        <v>100</v>
      </c>
      <c r="H226">
        <v>50.6</v>
      </c>
      <c r="I226">
        <v>36.200000000000003</v>
      </c>
      <c r="J226">
        <v>17.100000000000001</v>
      </c>
      <c r="K226">
        <v>3.1320000000000001E-2</v>
      </c>
      <c r="L226">
        <v>8.9499999999999993</v>
      </c>
      <c r="M226">
        <v>24.25</v>
      </c>
      <c r="N226">
        <v>4</v>
      </c>
      <c r="O226">
        <v>4</v>
      </c>
      <c r="P226">
        <v>16</v>
      </c>
      <c r="Q226">
        <v>83.4</v>
      </c>
      <c r="R226">
        <v>168.2</v>
      </c>
      <c r="S226">
        <v>0.50112000000000001</v>
      </c>
      <c r="T226">
        <v>0</v>
      </c>
      <c r="U226">
        <v>0</v>
      </c>
      <c r="V226">
        <v>0</v>
      </c>
      <c r="W226" s="1" t="s">
        <v>1260</v>
      </c>
      <c r="X226" s="1" t="s">
        <v>1260</v>
      </c>
      <c r="Y226">
        <v>0</v>
      </c>
      <c r="Z226">
        <v>0</v>
      </c>
      <c r="AA226" s="1" t="s">
        <v>1261</v>
      </c>
      <c r="AB226">
        <v>0</v>
      </c>
      <c r="AC226">
        <v>0</v>
      </c>
      <c r="AD226" s="1"/>
      <c r="AE226">
        <v>1</v>
      </c>
      <c r="AF226">
        <f>COUNTIFS(tblStock[sku],tblSKU[[#This Row],[sku]])</f>
        <v>1</v>
      </c>
      <c r="AG226" cm="1">
        <f t="array" ref="AG226">SUM(SUMIFS(tblStock[qty_units],tblStock[sku],tblSKU[[#This Row],[sku]],tblStock[stock_type],{"Saleable","FOC"}))</f>
        <v>100</v>
      </c>
      <c r="AH226" s="3">
        <f>SUMIFS(tblStock[value_nzd],tblStock[sku],tblSKU[[#This Row],[sku]])</f>
        <v>2425</v>
      </c>
      <c r="AI226" s="4">
        <f>SUMIFS(tblStock[cbm],tblStock[sku],tblSKU[[#This Row],[sku]])</f>
        <v>3.1320000000000001E-2</v>
      </c>
      <c r="AJ226" s="1">
        <f>SUMIFS(tblStock[positions],tblStock[sku],tblSKU[[#This Row],[sku]])</f>
        <v>0</v>
      </c>
      <c r="AK226" s="3">
        <f>SUMIFS(tblStock[value_nzd],tblStock[sku],tblSKU[[#This Row],[sku]],tblStock[stock_type],"Expired")</f>
        <v>0</v>
      </c>
      <c r="AL226" s="3" cm="1">
        <f t="array" ref="AL226">SUM(SUMIFS(tblStock[value_nzd],tblStock[sku],tblSKU[[#This Row],[sku]],tblStock[stock_type],{"Saleable","FOC"},tblStock[expiry_date],"&lt;"&amp;EDATE(SnapshotDate,6)))</f>
        <v>0</v>
      </c>
    </row>
    <row r="227" spans="1:38">
      <c r="A227" s="1" t="s">
        <v>500</v>
      </c>
      <c r="B227" s="1" t="s">
        <v>501</v>
      </c>
      <c r="C227" s="1" t="s">
        <v>67</v>
      </c>
      <c r="D227" s="1" t="s">
        <v>37</v>
      </c>
      <c r="E227" s="1" t="s">
        <v>38</v>
      </c>
      <c r="F227" s="1" t="s">
        <v>39</v>
      </c>
      <c r="G227">
        <v>60</v>
      </c>
      <c r="H227">
        <v>56.2</v>
      </c>
      <c r="I227">
        <v>39.200000000000003</v>
      </c>
      <c r="J227">
        <v>18.5</v>
      </c>
      <c r="K227">
        <v>4.0759999999999998E-2</v>
      </c>
      <c r="L227">
        <v>11.86</v>
      </c>
      <c r="M227">
        <v>24.87</v>
      </c>
      <c r="N227">
        <v>4</v>
      </c>
      <c r="O227">
        <v>7</v>
      </c>
      <c r="P227">
        <v>28</v>
      </c>
      <c r="Q227">
        <v>144.5</v>
      </c>
      <c r="R227">
        <v>357.08</v>
      </c>
      <c r="S227">
        <v>1.1412799999999999</v>
      </c>
      <c r="T227">
        <v>514</v>
      </c>
      <c r="U227">
        <v>26889</v>
      </c>
      <c r="V227">
        <v>668729.43000000005</v>
      </c>
      <c r="W227" s="1" t="s">
        <v>1264</v>
      </c>
      <c r="X227" s="1" t="s">
        <v>1264</v>
      </c>
      <c r="Y227">
        <v>6.0470588235294116</v>
      </c>
      <c r="Z227">
        <v>0.94149159663865556</v>
      </c>
      <c r="AA227" s="1" t="s">
        <v>1265</v>
      </c>
      <c r="AB227">
        <v>1</v>
      </c>
      <c r="AC227">
        <v>0</v>
      </c>
      <c r="AD227" s="1">
        <v>10.005132210197479</v>
      </c>
      <c r="AE227">
        <v>12</v>
      </c>
      <c r="AF227">
        <f>COUNTIFS(tblStock[sku],tblSKU[[#This Row],[sku]])</f>
        <v>3</v>
      </c>
      <c r="AG227" cm="1">
        <f t="array" ref="AG227">SUM(SUMIFS(tblStock[qty_units],tblStock[sku],tblSKU[[#This Row],[sku]],tblStock[stock_type],{"Saleable","FOC"}))</f>
        <v>67257</v>
      </c>
      <c r="AH227" s="3">
        <f>SUMIFS(tblStock[value_nzd],tblStock[sku],tblSKU[[#This Row],[sku]])</f>
        <v>1672681.59</v>
      </c>
      <c r="AI227" s="4">
        <f>SUMIFS(tblStock[cbm],tblStock[sku],tblSKU[[#This Row],[sku]])</f>
        <v>45.689921999999996</v>
      </c>
      <c r="AJ227" s="1">
        <f>SUMIFS(tblStock[positions],tblStock[sku],tblSKU[[#This Row],[sku]])</f>
        <v>42</v>
      </c>
      <c r="AK227" s="3">
        <f>SUMIFS(tblStock[value_nzd],tblStock[sku],tblSKU[[#This Row],[sku]],tblStock[stock_type],"Expired")</f>
        <v>0</v>
      </c>
      <c r="AL227" s="3" cm="1">
        <f t="array" ref="AL227">SUM(SUMIFS(tblStock[value_nzd],tblStock[sku],tblSKU[[#This Row],[sku]],tblStock[stock_type],{"Saleable","FOC"},tblStock[expiry_date],"&lt;"&amp;EDATE(SnapshotDate,6)))</f>
        <v>128005.89</v>
      </c>
    </row>
    <row r="228" spans="1:38">
      <c r="A228" s="1" t="s">
        <v>502</v>
      </c>
      <c r="B228" s="1" t="s">
        <v>503</v>
      </c>
      <c r="C228" s="1" t="s">
        <v>43</v>
      </c>
      <c r="D228" s="1" t="s">
        <v>37</v>
      </c>
      <c r="E228" s="1" t="s">
        <v>38</v>
      </c>
      <c r="F228" s="1" t="s">
        <v>39</v>
      </c>
      <c r="G228">
        <v>100</v>
      </c>
      <c r="H228">
        <v>39.299999999999997</v>
      </c>
      <c r="I228">
        <v>43.8</v>
      </c>
      <c r="J228">
        <v>18.2</v>
      </c>
      <c r="K228">
        <v>3.1329999999999997E-2</v>
      </c>
      <c r="L228">
        <v>7.94</v>
      </c>
      <c r="M228">
        <v>3.68</v>
      </c>
      <c r="N228">
        <v>6</v>
      </c>
      <c r="O228">
        <v>6</v>
      </c>
      <c r="P228">
        <v>36</v>
      </c>
      <c r="Q228">
        <v>124.19999999999999</v>
      </c>
      <c r="R228">
        <v>310.84000000000003</v>
      </c>
      <c r="S228">
        <v>1.1278799999999998</v>
      </c>
      <c r="T228">
        <v>34</v>
      </c>
      <c r="U228">
        <v>2006</v>
      </c>
      <c r="V228">
        <v>7382.08</v>
      </c>
      <c r="W228" s="1" t="s">
        <v>1258</v>
      </c>
      <c r="X228" s="1" t="s">
        <v>1262</v>
      </c>
      <c r="Y228">
        <v>0.4</v>
      </c>
      <c r="Z228">
        <v>3.2777777777777774E-2</v>
      </c>
      <c r="AA228" s="1" t="s">
        <v>1259</v>
      </c>
      <c r="AB228">
        <v>0</v>
      </c>
      <c r="AC228">
        <v>1</v>
      </c>
      <c r="AD228" s="1">
        <v>4.3728813559322033</v>
      </c>
      <c r="AE228">
        <v>2</v>
      </c>
      <c r="AF228">
        <f>COUNTIFS(tblStock[sku],tblSKU[[#This Row],[sku]])</f>
        <v>1</v>
      </c>
      <c r="AG228" cm="1">
        <f t="array" ref="AG228">SUM(SUMIFS(tblStock[qty_units],tblStock[sku],tblSKU[[#This Row],[sku]],tblStock[stock_type],{"Saleable","FOC"}))</f>
        <v>2193</v>
      </c>
      <c r="AH228" s="3">
        <f>SUMIFS(tblStock[value_nzd],tblStock[sku],tblSKU[[#This Row],[sku]])</f>
        <v>8070.2400000000007</v>
      </c>
      <c r="AI228" s="4">
        <f>SUMIFS(tblStock[cbm],tblStock[sku],tblSKU[[#This Row],[sku]])</f>
        <v>0.68706689999999992</v>
      </c>
      <c r="AJ228" s="1">
        <f>SUMIFS(tblStock[positions],tblStock[sku],tblSKU[[#This Row],[sku]])</f>
        <v>1</v>
      </c>
      <c r="AK228" s="3">
        <f>SUMIFS(tblStock[value_nzd],tblStock[sku],tblSKU[[#This Row],[sku]],tblStock[stock_type],"Expired")</f>
        <v>0</v>
      </c>
      <c r="AL228" s="3" cm="1">
        <f t="array" ref="AL228">SUM(SUMIFS(tblStock[value_nzd],tblStock[sku],tblSKU[[#This Row],[sku]],tblStock[stock_type],{"Saleable","FOC"},tblStock[expiry_date],"&lt;"&amp;EDATE(SnapshotDate,6)))</f>
        <v>0</v>
      </c>
    </row>
    <row r="229" spans="1:38">
      <c r="A229" s="1" t="s">
        <v>504</v>
      </c>
      <c r="B229" s="1" t="s">
        <v>505</v>
      </c>
      <c r="C229" s="1" t="s">
        <v>36</v>
      </c>
      <c r="D229" s="1" t="s">
        <v>37</v>
      </c>
      <c r="E229" s="1" t="s">
        <v>38</v>
      </c>
      <c r="F229" s="1" t="s">
        <v>39</v>
      </c>
      <c r="G229">
        <v>240</v>
      </c>
      <c r="H229">
        <v>46.6</v>
      </c>
      <c r="I229">
        <v>33.799999999999997</v>
      </c>
      <c r="J229">
        <v>21.2</v>
      </c>
      <c r="K229">
        <v>3.3390000000000003E-2</v>
      </c>
      <c r="L229">
        <v>6.08</v>
      </c>
      <c r="M229">
        <v>21.18</v>
      </c>
      <c r="N229">
        <v>4</v>
      </c>
      <c r="O229">
        <v>7</v>
      </c>
      <c r="P229">
        <v>28</v>
      </c>
      <c r="Q229">
        <v>163.4</v>
      </c>
      <c r="R229">
        <v>195.24</v>
      </c>
      <c r="S229">
        <v>0.93492000000000008</v>
      </c>
      <c r="T229">
        <v>91</v>
      </c>
      <c r="U229">
        <v>15084</v>
      </c>
      <c r="V229">
        <v>319479.12</v>
      </c>
      <c r="W229" s="1" t="s">
        <v>1264</v>
      </c>
      <c r="X229" s="1" t="s">
        <v>1264</v>
      </c>
      <c r="Y229">
        <v>1.0705882352941176</v>
      </c>
      <c r="Z229">
        <v>0.13203781512605042</v>
      </c>
      <c r="AA229" s="1" t="s">
        <v>1265</v>
      </c>
      <c r="AB229">
        <v>1</v>
      </c>
      <c r="AC229">
        <v>0</v>
      </c>
      <c r="AD229" s="1">
        <v>3.758154335719968</v>
      </c>
      <c r="AE229">
        <v>12</v>
      </c>
      <c r="AF229">
        <f>COUNTIFS(tblStock[sku],tblSKU[[#This Row],[sku]])</f>
        <v>3</v>
      </c>
      <c r="AG229" cm="1">
        <f t="array" ref="AG229">SUM(SUMIFS(tblStock[qty_units],tblStock[sku],tblSKU[[#This Row],[sku]],tblStock[stock_type],{"Saleable","FOC"}))</f>
        <v>14172</v>
      </c>
      <c r="AH229" s="3">
        <f>SUMIFS(tblStock[value_nzd],tblStock[sku],tblSKU[[#This Row],[sku]])</f>
        <v>300162.95999999996</v>
      </c>
      <c r="AI229" s="4">
        <f>SUMIFS(tblStock[cbm],tblStock[sku],tblSKU[[#This Row],[sku]])</f>
        <v>1.9716795000000003</v>
      </c>
      <c r="AJ229" s="1">
        <f>SUMIFS(tblStock[positions],tblStock[sku],tblSKU[[#This Row],[sku]])</f>
        <v>3</v>
      </c>
      <c r="AK229" s="3">
        <f>SUMIFS(tblStock[value_nzd],tblStock[sku],tblSKU[[#This Row],[sku]],tblStock[stock_type],"Expired")</f>
        <v>0</v>
      </c>
      <c r="AL229" s="3" cm="1">
        <f t="array" ref="AL229">SUM(SUMIFS(tblStock[value_nzd],tblStock[sku],tblSKU[[#This Row],[sku]],tblStock[stock_type],{"Saleable","FOC"},tblStock[expiry_date],"&lt;"&amp;EDATE(SnapshotDate,6)))</f>
        <v>0</v>
      </c>
    </row>
    <row r="230" spans="1:38">
      <c r="A230" s="1" t="s">
        <v>506</v>
      </c>
      <c r="B230" s="1" t="s">
        <v>507</v>
      </c>
      <c r="C230" s="1" t="s">
        <v>67</v>
      </c>
      <c r="D230" s="1" t="s">
        <v>37</v>
      </c>
      <c r="E230" s="1" t="s">
        <v>38</v>
      </c>
      <c r="F230" s="1" t="s">
        <v>39</v>
      </c>
      <c r="G230">
        <v>100</v>
      </c>
      <c r="H230">
        <v>49.5</v>
      </c>
      <c r="I230">
        <v>44.6</v>
      </c>
      <c r="J230">
        <v>18.899999999999999</v>
      </c>
      <c r="K230">
        <v>4.1730000000000003E-2</v>
      </c>
      <c r="L230">
        <v>12.01</v>
      </c>
      <c r="M230">
        <v>11.74</v>
      </c>
      <c r="N230">
        <v>4</v>
      </c>
      <c r="O230">
        <v>5</v>
      </c>
      <c r="P230">
        <v>20</v>
      </c>
      <c r="Q230">
        <v>109.5</v>
      </c>
      <c r="R230">
        <v>265.2</v>
      </c>
      <c r="S230">
        <v>0.83460000000000001</v>
      </c>
      <c r="T230">
        <v>0</v>
      </c>
      <c r="U230">
        <v>0</v>
      </c>
      <c r="V230">
        <v>0</v>
      </c>
      <c r="W230" s="1" t="s">
        <v>1260</v>
      </c>
      <c r="X230" s="1" t="s">
        <v>1260</v>
      </c>
      <c r="Y230">
        <v>0</v>
      </c>
      <c r="Z230">
        <v>0</v>
      </c>
      <c r="AA230" s="1" t="s">
        <v>1261</v>
      </c>
      <c r="AB230">
        <v>0</v>
      </c>
      <c r="AC230">
        <v>0</v>
      </c>
      <c r="AD230" s="1"/>
      <c r="AE230">
        <v>1</v>
      </c>
      <c r="AF230">
        <f>COUNTIFS(tblStock[sku],tblSKU[[#This Row],[sku]])</f>
        <v>2</v>
      </c>
      <c r="AG230" cm="1">
        <f t="array" ref="AG230">SUM(SUMIFS(tblStock[qty_units],tblStock[sku],tblSKU[[#This Row],[sku]],tblStock[stock_type],{"Saleable","FOC"}))</f>
        <v>299</v>
      </c>
      <c r="AH230" s="3">
        <f>SUMIFS(tblStock[value_nzd],tblStock[sku],tblSKU[[#This Row],[sku]])</f>
        <v>3510.26</v>
      </c>
      <c r="AI230" s="4">
        <f>SUMIFS(tblStock[cbm],tblStock[sku],tblSKU[[#This Row],[sku]])</f>
        <v>0.12477270000000001</v>
      </c>
      <c r="AJ230" s="1">
        <f>SUMIFS(tblStock[positions],tblStock[sku],tblSKU[[#This Row],[sku]])</f>
        <v>0</v>
      </c>
      <c r="AK230" s="3">
        <f>SUMIFS(tblStock[value_nzd],tblStock[sku],tblSKU[[#This Row],[sku]],tblStock[stock_type],"Expired")</f>
        <v>0</v>
      </c>
      <c r="AL230" s="3" cm="1">
        <f t="array" ref="AL230">SUM(SUMIFS(tblStock[value_nzd],tblStock[sku],tblSKU[[#This Row],[sku]],tblStock[stock_type],{"Saleable","FOC"},tblStock[expiry_date],"&lt;"&amp;EDATE(SnapshotDate,6)))</f>
        <v>0</v>
      </c>
    </row>
    <row r="231" spans="1:38">
      <c r="A231" s="1" t="s">
        <v>508</v>
      </c>
      <c r="B231" s="1" t="s">
        <v>509</v>
      </c>
      <c r="C231" s="1" t="s">
        <v>43</v>
      </c>
      <c r="D231" s="1" t="s">
        <v>37</v>
      </c>
      <c r="E231" s="1" t="s">
        <v>38</v>
      </c>
      <c r="F231" s="1" t="s">
        <v>39</v>
      </c>
      <c r="G231">
        <v>180</v>
      </c>
      <c r="H231">
        <v>53.5</v>
      </c>
      <c r="I231">
        <v>34.700000000000003</v>
      </c>
      <c r="J231">
        <v>31.4</v>
      </c>
      <c r="K231">
        <v>5.8290000000000002E-2</v>
      </c>
      <c r="L231">
        <v>11.31</v>
      </c>
      <c r="M231">
        <v>11.82</v>
      </c>
      <c r="N231">
        <v>4</v>
      </c>
      <c r="O231">
        <v>3</v>
      </c>
      <c r="P231">
        <v>12</v>
      </c>
      <c r="Q231">
        <v>109.19999999999999</v>
      </c>
      <c r="R231">
        <v>160.72</v>
      </c>
      <c r="S231">
        <v>0.69947999999999999</v>
      </c>
      <c r="T231">
        <v>4</v>
      </c>
      <c r="U231">
        <v>823</v>
      </c>
      <c r="V231">
        <v>9727.86</v>
      </c>
      <c r="W231" s="1" t="s">
        <v>1262</v>
      </c>
      <c r="X231" s="1" t="s">
        <v>1262</v>
      </c>
      <c r="Y231">
        <v>4.7058823529411764E-2</v>
      </c>
      <c r="Z231">
        <v>2.2412854030501087E-2</v>
      </c>
      <c r="AA231" s="1" t="s">
        <v>1263</v>
      </c>
      <c r="AB231">
        <v>0</v>
      </c>
      <c r="AC231">
        <v>0</v>
      </c>
      <c r="AD231" s="1">
        <v>7.9222357229647633</v>
      </c>
      <c r="AE231">
        <v>2</v>
      </c>
      <c r="AF231">
        <f>COUNTIFS(tblStock[sku],tblSKU[[#This Row],[sku]])</f>
        <v>3</v>
      </c>
      <c r="AG231" cm="1">
        <f t="array" ref="AG231">SUM(SUMIFS(tblStock[qty_units],tblStock[sku],tblSKU[[#This Row],[sku]],tblStock[stock_type],{"Saleable","FOC"}))</f>
        <v>1630</v>
      </c>
      <c r="AH231" s="3">
        <f>SUMIFS(tblStock[value_nzd],tblStock[sku],tblSKU[[#This Row],[sku]])</f>
        <v>19266.600000000002</v>
      </c>
      <c r="AI231" s="4">
        <f>SUMIFS(tblStock[cbm],tblStock[sku],tblSKU[[#This Row],[sku]])</f>
        <v>0.52784833333333336</v>
      </c>
      <c r="AJ231" s="1">
        <f>SUMIFS(tblStock[positions],tblStock[sku],tblSKU[[#This Row],[sku]])</f>
        <v>1</v>
      </c>
      <c r="AK231" s="3">
        <f>SUMIFS(tblStock[value_nzd],tblStock[sku],tblSKU[[#This Row],[sku]],tblStock[stock_type],"Expired")</f>
        <v>0</v>
      </c>
      <c r="AL231" s="3" cm="1">
        <f t="array" ref="AL231">SUM(SUMIFS(tblStock[value_nzd],tblStock[sku],tblSKU[[#This Row],[sku]],tblStock[stock_type],{"Saleable","FOC"},tblStock[expiry_date],"&lt;"&amp;EDATE(SnapshotDate,6)))</f>
        <v>0</v>
      </c>
    </row>
    <row r="232" spans="1:38">
      <c r="A232" s="1" t="s">
        <v>510</v>
      </c>
      <c r="B232" s="1" t="s">
        <v>511</v>
      </c>
      <c r="C232" s="1" t="s">
        <v>36</v>
      </c>
      <c r="D232" s="1" t="s">
        <v>37</v>
      </c>
      <c r="E232" s="1" t="s">
        <v>38</v>
      </c>
      <c r="F232" s="1" t="s">
        <v>39</v>
      </c>
      <c r="G232">
        <v>60</v>
      </c>
      <c r="H232">
        <v>34.5</v>
      </c>
      <c r="I232">
        <v>30.5</v>
      </c>
      <c r="J232">
        <v>29.3</v>
      </c>
      <c r="K232">
        <v>3.083E-2</v>
      </c>
      <c r="L232">
        <v>8.82</v>
      </c>
      <c r="M232">
        <v>7.9</v>
      </c>
      <c r="N232">
        <v>9</v>
      </c>
      <c r="O232">
        <v>3</v>
      </c>
      <c r="P232">
        <v>27</v>
      </c>
      <c r="Q232">
        <v>102.9</v>
      </c>
      <c r="R232">
        <v>263.14</v>
      </c>
      <c r="S232">
        <v>0.83240999999999998</v>
      </c>
      <c r="T232">
        <v>38</v>
      </c>
      <c r="U232">
        <v>1639</v>
      </c>
      <c r="V232">
        <v>12948.1</v>
      </c>
      <c r="W232" s="1" t="s">
        <v>1258</v>
      </c>
      <c r="X232" s="1" t="s">
        <v>1262</v>
      </c>
      <c r="Y232">
        <v>0.44705882352941179</v>
      </c>
      <c r="Z232">
        <v>5.9513435003631078E-2</v>
      </c>
      <c r="AA232" s="1" t="s">
        <v>1259</v>
      </c>
      <c r="AB232">
        <v>0</v>
      </c>
      <c r="AC232">
        <v>1</v>
      </c>
      <c r="AD232" s="1">
        <v>7.8291641244661383</v>
      </c>
      <c r="AE232">
        <v>2</v>
      </c>
      <c r="AF232">
        <f>COUNTIFS(tblStock[sku],tblSKU[[#This Row],[sku]])</f>
        <v>2</v>
      </c>
      <c r="AG232" cm="1">
        <f t="array" ref="AG232">SUM(SUMIFS(tblStock[qty_units],tblStock[sku],tblSKU[[#This Row],[sku]],tblStock[stock_type],{"Saleable","FOC"}))</f>
        <v>3208</v>
      </c>
      <c r="AH232" s="3">
        <f>SUMIFS(tblStock[value_nzd],tblStock[sku],tblSKU[[#This Row],[sku]])</f>
        <v>25343.200000000001</v>
      </c>
      <c r="AI232" s="4">
        <f>SUMIFS(tblStock[cbm],tblStock[sku],tblSKU[[#This Row],[sku]])</f>
        <v>1.6483773333333334</v>
      </c>
      <c r="AJ232" s="1">
        <f>SUMIFS(tblStock[positions],tblStock[sku],tblSKU[[#This Row],[sku]])</f>
        <v>3</v>
      </c>
      <c r="AK232" s="3">
        <f>SUMIFS(tblStock[value_nzd],tblStock[sku],tblSKU[[#This Row],[sku]],tblStock[stock_type],"Expired")</f>
        <v>0</v>
      </c>
      <c r="AL232" s="3" cm="1">
        <f t="array" ref="AL232">SUM(SUMIFS(tblStock[value_nzd],tblStock[sku],tblSKU[[#This Row],[sku]],tblStock[stock_type],{"Saleable","FOC"},tblStock[expiry_date],"&lt;"&amp;EDATE(SnapshotDate,6)))</f>
        <v>0</v>
      </c>
    </row>
    <row r="233" spans="1:38">
      <c r="A233" s="1" t="s">
        <v>512</v>
      </c>
      <c r="B233" s="1" t="s">
        <v>513</v>
      </c>
      <c r="C233" s="1" t="s">
        <v>43</v>
      </c>
      <c r="D233" s="1" t="s">
        <v>37</v>
      </c>
      <c r="E233" s="1" t="s">
        <v>38</v>
      </c>
      <c r="F233" s="1" t="s">
        <v>39</v>
      </c>
      <c r="G233">
        <v>240</v>
      </c>
      <c r="H233">
        <v>52.3</v>
      </c>
      <c r="I233">
        <v>28.1</v>
      </c>
      <c r="J233">
        <v>28.5</v>
      </c>
      <c r="K233">
        <v>4.1880000000000001E-2</v>
      </c>
      <c r="L233">
        <v>10.82</v>
      </c>
      <c r="M233">
        <v>8.8699999999999992</v>
      </c>
      <c r="N233">
        <v>6</v>
      </c>
      <c r="O233">
        <v>3</v>
      </c>
      <c r="P233">
        <v>18</v>
      </c>
      <c r="Q233">
        <v>100.5</v>
      </c>
      <c r="R233">
        <v>219.76</v>
      </c>
      <c r="S233">
        <v>0.75384000000000007</v>
      </c>
      <c r="T233">
        <v>1074</v>
      </c>
      <c r="U233">
        <v>129778</v>
      </c>
      <c r="V233">
        <v>1151130.8599999999</v>
      </c>
      <c r="W233" s="1" t="s">
        <v>1264</v>
      </c>
      <c r="X233" s="1" t="s">
        <v>1264</v>
      </c>
      <c r="Y233">
        <v>12.635294117647058</v>
      </c>
      <c r="Z233">
        <v>1.7671296296296295</v>
      </c>
      <c r="AA233" s="1" t="s">
        <v>1265</v>
      </c>
      <c r="AB233">
        <v>1</v>
      </c>
      <c r="AC233">
        <v>0</v>
      </c>
      <c r="AD233" s="1">
        <v>5.8121715545007628</v>
      </c>
      <c r="AE233">
        <v>12</v>
      </c>
      <c r="AF233">
        <f>COUNTIFS(tblStock[sku],tblSKU[[#This Row],[sku]])</f>
        <v>3</v>
      </c>
      <c r="AG233" cm="1">
        <f t="array" ref="AG233">SUM(SUMIFS(tblStock[qty_units],tblStock[sku],tblSKU[[#This Row],[sku]],tblStock[stock_type],{"Saleable","FOC"}))</f>
        <v>188573</v>
      </c>
      <c r="AH233" s="3">
        <f>SUMIFS(tblStock[value_nzd],tblStock[sku],tblSKU[[#This Row],[sku]])</f>
        <v>1672642.5099999998</v>
      </c>
      <c r="AI233" s="4">
        <f>SUMIFS(tblStock[cbm],tblStock[sku],tblSKU[[#This Row],[sku]])</f>
        <v>32.905988499999999</v>
      </c>
      <c r="AJ233" s="1">
        <f>SUMIFS(tblStock[positions],tblStock[sku],tblSKU[[#This Row],[sku]])</f>
        <v>45</v>
      </c>
      <c r="AK233" s="3">
        <f>SUMIFS(tblStock[value_nzd],tblStock[sku],tblSKU[[#This Row],[sku]],tblStock[stock_type],"Expired")</f>
        <v>0</v>
      </c>
      <c r="AL233" s="3" cm="1">
        <f t="array" ref="AL233">SUM(SUMIFS(tblStock[value_nzd],tblStock[sku],tblSKU[[#This Row],[sku]],tblStock[stock_type],{"Saleable","FOC"},tblStock[expiry_date],"&lt;"&amp;EDATE(SnapshotDate,6)))</f>
        <v>0</v>
      </c>
    </row>
    <row r="234" spans="1:38">
      <c r="A234" s="1" t="s">
        <v>514</v>
      </c>
      <c r="B234" s="1" t="s">
        <v>515</v>
      </c>
      <c r="C234" s="1" t="s">
        <v>36</v>
      </c>
      <c r="D234" s="1" t="s">
        <v>37</v>
      </c>
      <c r="E234" s="1" t="s">
        <v>38</v>
      </c>
      <c r="F234" s="1" t="s">
        <v>39</v>
      </c>
      <c r="G234">
        <v>240</v>
      </c>
      <c r="H234">
        <v>52.5</v>
      </c>
      <c r="I234">
        <v>31.3</v>
      </c>
      <c r="J234">
        <v>26.2</v>
      </c>
      <c r="K234">
        <v>4.3049999999999998E-2</v>
      </c>
      <c r="L234">
        <v>8.8000000000000007</v>
      </c>
      <c r="M234">
        <v>10.119999999999999</v>
      </c>
      <c r="N234">
        <v>6</v>
      </c>
      <c r="O234">
        <v>4</v>
      </c>
      <c r="P234">
        <v>24</v>
      </c>
      <c r="Q234">
        <v>119.8</v>
      </c>
      <c r="R234">
        <v>236.20000000000002</v>
      </c>
      <c r="S234">
        <v>1.0331999999999999</v>
      </c>
      <c r="T234">
        <v>63</v>
      </c>
      <c r="U234">
        <v>7370</v>
      </c>
      <c r="V234">
        <v>74584.399999999994</v>
      </c>
      <c r="W234" s="1" t="s">
        <v>1258</v>
      </c>
      <c r="X234" s="1" t="s">
        <v>1258</v>
      </c>
      <c r="Y234">
        <v>0.74117647058823533</v>
      </c>
      <c r="Z234">
        <v>7.526552287581699E-2</v>
      </c>
      <c r="AA234" s="1" t="s">
        <v>1259</v>
      </c>
      <c r="AB234">
        <v>0</v>
      </c>
      <c r="AC234">
        <v>1</v>
      </c>
      <c r="AD234" s="1">
        <v>12.733785617367706</v>
      </c>
      <c r="AE234">
        <v>4</v>
      </c>
      <c r="AF234">
        <f>COUNTIFS(tblStock[sku],tblSKU[[#This Row],[sku]])</f>
        <v>2</v>
      </c>
      <c r="AG234" cm="1">
        <f t="array" ref="AG234">SUM(SUMIFS(tblStock[qty_units],tblStock[sku],tblSKU[[#This Row],[sku]],tblStock[stock_type],{"Saleable","FOC"}))</f>
        <v>23462</v>
      </c>
      <c r="AH234" s="3">
        <f>SUMIFS(tblStock[value_nzd],tblStock[sku],tblSKU[[#This Row],[sku]])</f>
        <v>237435.44</v>
      </c>
      <c r="AI234" s="4">
        <f>SUMIFS(tblStock[cbm],tblStock[sku],tblSKU[[#This Row],[sku]])</f>
        <v>4.2084962499999996</v>
      </c>
      <c r="AJ234" s="1">
        <f>SUMIFS(tblStock[positions],tblStock[sku],tblSKU[[#This Row],[sku]])</f>
        <v>4</v>
      </c>
      <c r="AK234" s="3">
        <f>SUMIFS(tblStock[value_nzd],tblStock[sku],tblSKU[[#This Row],[sku]],tblStock[stock_type],"Expired")</f>
        <v>0</v>
      </c>
      <c r="AL234" s="3" cm="1">
        <f t="array" ref="AL234">SUM(SUMIFS(tblStock[value_nzd],tblStock[sku],tblSKU[[#This Row],[sku]],tblStock[stock_type],{"Saleable","FOC"},tblStock[expiry_date],"&lt;"&amp;EDATE(SnapshotDate,6)))</f>
        <v>0</v>
      </c>
    </row>
    <row r="235" spans="1:38">
      <c r="A235" s="1" t="s">
        <v>516</v>
      </c>
      <c r="B235" s="1" t="s">
        <v>517</v>
      </c>
      <c r="C235" s="1" t="s">
        <v>36</v>
      </c>
      <c r="D235" s="1" t="s">
        <v>37</v>
      </c>
      <c r="E235" s="1" t="s">
        <v>38</v>
      </c>
      <c r="F235" s="1" t="s">
        <v>39</v>
      </c>
      <c r="G235">
        <v>120</v>
      </c>
      <c r="H235">
        <v>50.2</v>
      </c>
      <c r="I235">
        <v>29.3</v>
      </c>
      <c r="J235">
        <v>27.4</v>
      </c>
      <c r="K235">
        <v>4.0300000000000002E-2</v>
      </c>
      <c r="L235">
        <v>6.31</v>
      </c>
      <c r="M235">
        <v>14.35</v>
      </c>
      <c r="N235">
        <v>6</v>
      </c>
      <c r="O235">
        <v>4</v>
      </c>
      <c r="P235">
        <v>24</v>
      </c>
      <c r="Q235">
        <v>124.6</v>
      </c>
      <c r="R235">
        <v>176.44</v>
      </c>
      <c r="S235">
        <v>0.96720000000000006</v>
      </c>
      <c r="T235">
        <v>16</v>
      </c>
      <c r="U235">
        <v>2017</v>
      </c>
      <c r="V235">
        <v>28943.95</v>
      </c>
      <c r="W235" s="1" t="s">
        <v>1262</v>
      </c>
      <c r="X235" s="1" t="s">
        <v>1258</v>
      </c>
      <c r="Y235">
        <v>0.18823529411764706</v>
      </c>
      <c r="Z235">
        <v>4.1196895424836601E-2</v>
      </c>
      <c r="AA235" s="1" t="s">
        <v>1263</v>
      </c>
      <c r="AB235">
        <v>0</v>
      </c>
      <c r="AC235">
        <v>0</v>
      </c>
      <c r="AD235" s="1">
        <v>14.687159147248389</v>
      </c>
      <c r="AE235">
        <v>4</v>
      </c>
      <c r="AF235">
        <f>COUNTIFS(tblStock[sku],tblSKU[[#This Row],[sku]])</f>
        <v>2</v>
      </c>
      <c r="AG235" cm="1">
        <f t="array" ref="AG235">SUM(SUMIFS(tblStock[qty_units],tblStock[sku],tblSKU[[#This Row],[sku]],tblStock[stock_type],{"Saleable","FOC"}))</f>
        <v>7406</v>
      </c>
      <c r="AH235" s="3">
        <f>SUMIFS(tblStock[value_nzd],tblStock[sku],tblSKU[[#This Row],[sku]])</f>
        <v>106276.1</v>
      </c>
      <c r="AI235" s="4">
        <f>SUMIFS(tblStock[cbm],tblStock[sku],tblSKU[[#This Row],[sku]])</f>
        <v>2.4871816666666668</v>
      </c>
      <c r="AJ235" s="1">
        <f>SUMIFS(tblStock[positions],tblStock[sku],tblSKU[[#This Row],[sku]])</f>
        <v>4</v>
      </c>
      <c r="AK235" s="3">
        <f>SUMIFS(tblStock[value_nzd],tblStock[sku],tblSKU[[#This Row],[sku]],tblStock[stock_type],"Expired")</f>
        <v>0</v>
      </c>
      <c r="AL235" s="3" cm="1">
        <f t="array" ref="AL235">SUM(SUMIFS(tblStock[value_nzd],tblStock[sku],tblSKU[[#This Row],[sku]],tblStock[stock_type],{"Saleable","FOC"},tblStock[expiry_date],"&lt;"&amp;EDATE(SnapshotDate,6)))</f>
        <v>0</v>
      </c>
    </row>
    <row r="236" spans="1:38">
      <c r="A236" s="1" t="s">
        <v>518</v>
      </c>
      <c r="B236" s="1" t="s">
        <v>519</v>
      </c>
      <c r="C236" s="1" t="s">
        <v>52</v>
      </c>
      <c r="D236" s="1" t="s">
        <v>37</v>
      </c>
      <c r="E236" s="1" t="s">
        <v>38</v>
      </c>
      <c r="F236" s="1" t="s">
        <v>39</v>
      </c>
      <c r="G236">
        <v>100</v>
      </c>
      <c r="H236">
        <v>45.1</v>
      </c>
      <c r="I236">
        <v>38.700000000000003</v>
      </c>
      <c r="J236">
        <v>25.8</v>
      </c>
      <c r="K236">
        <v>4.5030000000000001E-2</v>
      </c>
      <c r="L236">
        <v>7.54</v>
      </c>
      <c r="M236">
        <v>15.58</v>
      </c>
      <c r="N236">
        <v>6</v>
      </c>
      <c r="O236">
        <v>5</v>
      </c>
      <c r="P236">
        <v>30</v>
      </c>
      <c r="Q236">
        <v>144</v>
      </c>
      <c r="R236">
        <v>251.2</v>
      </c>
      <c r="S236">
        <v>1.3509</v>
      </c>
      <c r="T236">
        <v>40</v>
      </c>
      <c r="U236">
        <v>1995</v>
      </c>
      <c r="V236">
        <v>31082.1</v>
      </c>
      <c r="W236" s="1" t="s">
        <v>1258</v>
      </c>
      <c r="X236" s="1" t="s">
        <v>1258</v>
      </c>
      <c r="Y236">
        <v>0.47058823529411764</v>
      </c>
      <c r="Z236">
        <v>3.9117647058823528E-2</v>
      </c>
      <c r="AA236" s="1" t="s">
        <v>1259</v>
      </c>
      <c r="AB236">
        <v>0</v>
      </c>
      <c r="AC236">
        <v>1</v>
      </c>
      <c r="AD236" s="1">
        <v>6.5403508771929824</v>
      </c>
      <c r="AE236">
        <v>4</v>
      </c>
      <c r="AF236">
        <f>COUNTIFS(tblStock[sku],tblSKU[[#This Row],[sku]])</f>
        <v>2</v>
      </c>
      <c r="AG236" cm="1">
        <f t="array" ref="AG236">SUM(SUMIFS(tblStock[qty_units],tblStock[sku],tblSKU[[#This Row],[sku]],tblStock[stock_type],{"Saleable","FOC"}))</f>
        <v>3262</v>
      </c>
      <c r="AH236" s="3">
        <f>SUMIFS(tblStock[value_nzd],tblStock[sku],tblSKU[[#This Row],[sku]])</f>
        <v>50821.96</v>
      </c>
      <c r="AI236" s="4">
        <f>SUMIFS(tblStock[cbm],tblStock[sku],tblSKU[[#This Row],[sku]])</f>
        <v>1.4688786</v>
      </c>
      <c r="AJ236" s="1">
        <f>SUMIFS(tblStock[positions],tblStock[sku],tblSKU[[#This Row],[sku]])</f>
        <v>2</v>
      </c>
      <c r="AK236" s="3">
        <f>SUMIFS(tblStock[value_nzd],tblStock[sku],tblSKU[[#This Row],[sku]],tblStock[stock_type],"Expired")</f>
        <v>0</v>
      </c>
      <c r="AL236" s="3" cm="1">
        <f t="array" ref="AL236">SUM(SUMIFS(tblStock[value_nzd],tblStock[sku],tblSKU[[#This Row],[sku]],tblStock[stock_type],{"Saleable","FOC"},tblStock[expiry_date],"&lt;"&amp;EDATE(SnapshotDate,6)))</f>
        <v>0</v>
      </c>
    </row>
    <row r="237" spans="1:38">
      <c r="A237" s="1" t="s">
        <v>520</v>
      </c>
      <c r="B237" s="1" t="s">
        <v>521</v>
      </c>
      <c r="C237" s="1" t="s">
        <v>43</v>
      </c>
      <c r="D237" s="1" t="s">
        <v>37</v>
      </c>
      <c r="E237" s="1" t="s">
        <v>38</v>
      </c>
      <c r="F237" s="1" t="s">
        <v>39</v>
      </c>
      <c r="G237">
        <v>180</v>
      </c>
      <c r="H237">
        <v>50.5</v>
      </c>
      <c r="I237">
        <v>34.299999999999997</v>
      </c>
      <c r="J237">
        <v>20.5</v>
      </c>
      <c r="K237">
        <v>3.551E-2</v>
      </c>
      <c r="L237">
        <v>8.1300000000000008</v>
      </c>
      <c r="M237">
        <v>24.86</v>
      </c>
      <c r="N237">
        <v>4</v>
      </c>
      <c r="O237">
        <v>7</v>
      </c>
      <c r="P237">
        <v>28</v>
      </c>
      <c r="Q237">
        <v>158.5</v>
      </c>
      <c r="R237">
        <v>252.64000000000001</v>
      </c>
      <c r="S237">
        <v>0.99428000000000005</v>
      </c>
      <c r="T237">
        <v>7</v>
      </c>
      <c r="U237">
        <v>680</v>
      </c>
      <c r="V237">
        <v>16904.8</v>
      </c>
      <c r="W237" s="1" t="s">
        <v>1262</v>
      </c>
      <c r="X237" s="1" t="s">
        <v>1262</v>
      </c>
      <c r="Y237">
        <v>8.2352941176470587E-2</v>
      </c>
      <c r="Z237">
        <v>7.9365079365079378E-3</v>
      </c>
      <c r="AA237" s="1" t="s">
        <v>1263</v>
      </c>
      <c r="AB237">
        <v>0</v>
      </c>
      <c r="AC237">
        <v>0</v>
      </c>
      <c r="AD237" s="1">
        <v>11.211764705882352</v>
      </c>
      <c r="AE237">
        <v>2</v>
      </c>
      <c r="AF237">
        <f>COUNTIFS(tblStock[sku],tblSKU[[#This Row],[sku]])</f>
        <v>1</v>
      </c>
      <c r="AG237" cm="1">
        <f t="array" ref="AG237">SUM(SUMIFS(tblStock[qty_units],tblStock[sku],tblSKU[[#This Row],[sku]],tblStock[stock_type],{"Saleable","FOC"}))</f>
        <v>1906</v>
      </c>
      <c r="AH237" s="3">
        <f>SUMIFS(tblStock[value_nzd],tblStock[sku],tblSKU[[#This Row],[sku]])</f>
        <v>47383.159999999996</v>
      </c>
      <c r="AI237" s="4">
        <f>SUMIFS(tblStock[cbm],tblStock[sku],tblSKU[[#This Row],[sku]])</f>
        <v>0.37601144444444445</v>
      </c>
      <c r="AJ237" s="1">
        <f>SUMIFS(tblStock[positions],tblStock[sku],tblSKU[[#This Row],[sku]])</f>
        <v>1</v>
      </c>
      <c r="AK237" s="3">
        <f>SUMIFS(tblStock[value_nzd],tblStock[sku],tblSKU[[#This Row],[sku]],tblStock[stock_type],"Expired")</f>
        <v>0</v>
      </c>
      <c r="AL237" s="3" cm="1">
        <f t="array" ref="AL237">SUM(SUMIFS(tblStock[value_nzd],tblStock[sku],tblSKU[[#This Row],[sku]],tblStock[stock_type],{"Saleable","FOC"},tblStock[expiry_date],"&lt;"&amp;EDATE(SnapshotDate,6)))</f>
        <v>0</v>
      </c>
    </row>
    <row r="238" spans="1:38">
      <c r="A238" s="1" t="s">
        <v>522</v>
      </c>
      <c r="B238" s="1" t="s">
        <v>523</v>
      </c>
      <c r="C238" s="1" t="s">
        <v>70</v>
      </c>
      <c r="D238" s="1" t="s">
        <v>37</v>
      </c>
      <c r="E238" s="1" t="s">
        <v>38</v>
      </c>
      <c r="F238" s="1" t="s">
        <v>39</v>
      </c>
      <c r="G238">
        <v>60</v>
      </c>
      <c r="H238">
        <v>51.6</v>
      </c>
      <c r="I238">
        <v>28.3</v>
      </c>
      <c r="J238">
        <v>32</v>
      </c>
      <c r="K238">
        <v>4.6730000000000001E-2</v>
      </c>
      <c r="L238">
        <v>8.8800000000000008</v>
      </c>
      <c r="M238">
        <v>23.68</v>
      </c>
      <c r="N238">
        <v>5</v>
      </c>
      <c r="O238">
        <v>3</v>
      </c>
      <c r="P238">
        <v>15</v>
      </c>
      <c r="Q238">
        <v>111</v>
      </c>
      <c r="R238">
        <v>158.20000000000002</v>
      </c>
      <c r="S238">
        <v>0.70094999999999996</v>
      </c>
      <c r="T238">
        <v>6</v>
      </c>
      <c r="U238">
        <v>628</v>
      </c>
      <c r="V238">
        <v>14871.039999999999</v>
      </c>
      <c r="W238" s="1" t="s">
        <v>1262</v>
      </c>
      <c r="X238" s="1" t="s">
        <v>1262</v>
      </c>
      <c r="Y238">
        <v>7.0588235294117646E-2</v>
      </c>
      <c r="Z238">
        <v>4.1045751633986931E-2</v>
      </c>
      <c r="AA238" s="1" t="s">
        <v>1263</v>
      </c>
      <c r="AB238">
        <v>0</v>
      </c>
      <c r="AC238">
        <v>0</v>
      </c>
      <c r="AD238" s="1">
        <v>22.070063694267517</v>
      </c>
      <c r="AE238">
        <v>2</v>
      </c>
      <c r="AF238">
        <f>COUNTIFS(tblStock[sku],tblSKU[[#This Row],[sku]])</f>
        <v>1</v>
      </c>
      <c r="AG238" cm="1">
        <f t="array" ref="AG238">SUM(SUMIFS(tblStock[qty_units],tblStock[sku],tblSKU[[#This Row],[sku]],tblStock[stock_type],{"Saleable","FOC"}))</f>
        <v>3465</v>
      </c>
      <c r="AH238" s="3">
        <f>SUMIFS(tblStock[value_nzd],tblStock[sku],tblSKU[[#This Row],[sku]])</f>
        <v>82051.199999999997</v>
      </c>
      <c r="AI238" s="4">
        <f>SUMIFS(tblStock[cbm],tblStock[sku],tblSKU[[#This Row],[sku]])</f>
        <v>2.6986574999999999</v>
      </c>
      <c r="AJ238" s="1">
        <f>SUMIFS(tblStock[positions],tblStock[sku],tblSKU[[#This Row],[sku]])</f>
        <v>4</v>
      </c>
      <c r="AK238" s="3">
        <f>SUMIFS(tblStock[value_nzd],tblStock[sku],tblSKU[[#This Row],[sku]],tblStock[stock_type],"Expired")</f>
        <v>0</v>
      </c>
      <c r="AL238" s="3" cm="1">
        <f t="array" ref="AL238">SUM(SUMIFS(tblStock[value_nzd],tblStock[sku],tblSKU[[#This Row],[sku]],tblStock[stock_type],{"Saleable","FOC"},tblStock[expiry_date],"&lt;"&amp;EDATE(SnapshotDate,6)))</f>
        <v>0</v>
      </c>
    </row>
    <row r="239" spans="1:38">
      <c r="A239" s="1" t="s">
        <v>524</v>
      </c>
      <c r="B239" s="1" t="s">
        <v>525</v>
      </c>
      <c r="C239" s="1" t="s">
        <v>43</v>
      </c>
      <c r="D239" s="1" t="s">
        <v>37</v>
      </c>
      <c r="E239" s="1" t="s">
        <v>38</v>
      </c>
      <c r="F239" s="1" t="s">
        <v>39</v>
      </c>
      <c r="G239">
        <v>60</v>
      </c>
      <c r="H239">
        <v>50.4</v>
      </c>
      <c r="I239">
        <v>29.7</v>
      </c>
      <c r="J239">
        <v>21.9</v>
      </c>
      <c r="K239">
        <v>3.2779999999999997E-2</v>
      </c>
      <c r="L239">
        <v>5.67</v>
      </c>
      <c r="M239">
        <v>22.03</v>
      </c>
      <c r="N239">
        <v>6</v>
      </c>
      <c r="O239">
        <v>5</v>
      </c>
      <c r="P239">
        <v>30</v>
      </c>
      <c r="Q239">
        <v>124.5</v>
      </c>
      <c r="R239">
        <v>195.1</v>
      </c>
      <c r="S239">
        <v>0.98339999999999994</v>
      </c>
      <c r="T239">
        <v>116</v>
      </c>
      <c r="U239">
        <v>5091</v>
      </c>
      <c r="V239">
        <v>112154.73000000001</v>
      </c>
      <c r="W239" s="1" t="s">
        <v>1264</v>
      </c>
      <c r="X239" s="1" t="s">
        <v>1264</v>
      </c>
      <c r="Y239">
        <v>1.3647058823529412</v>
      </c>
      <c r="Z239">
        <v>0.16637254901960785</v>
      </c>
      <c r="AA239" s="1" t="s">
        <v>1265</v>
      </c>
      <c r="AB239">
        <v>1</v>
      </c>
      <c r="AC239">
        <v>0</v>
      </c>
      <c r="AD239" s="1">
        <v>2.7138086819878215</v>
      </c>
      <c r="AE239">
        <v>12</v>
      </c>
      <c r="AF239">
        <f>COUNTIFS(tblStock[sku],tblSKU[[#This Row],[sku]])</f>
        <v>1</v>
      </c>
      <c r="AG239" cm="1">
        <f t="array" ref="AG239">SUM(SUMIFS(tblStock[qty_units],tblStock[sku],tblSKU[[#This Row],[sku]],tblStock[stock_type],{"Saleable","FOC"}))</f>
        <v>3454</v>
      </c>
      <c r="AH239" s="3">
        <f>SUMIFS(tblStock[value_nzd],tblStock[sku],tblSKU[[#This Row],[sku]])</f>
        <v>76091.62000000001</v>
      </c>
      <c r="AI239" s="4">
        <f>SUMIFS(tblStock[cbm],tblStock[sku],tblSKU[[#This Row],[sku]])</f>
        <v>1.8870353333333332</v>
      </c>
      <c r="AJ239" s="1">
        <f>SUMIFS(tblStock[positions],tblStock[sku],tblSKU[[#This Row],[sku]])</f>
        <v>2</v>
      </c>
      <c r="AK239" s="3">
        <f>SUMIFS(tblStock[value_nzd],tblStock[sku],tblSKU[[#This Row],[sku]],tblStock[stock_type],"Expired")</f>
        <v>0</v>
      </c>
      <c r="AL239" s="3" cm="1">
        <f t="array" ref="AL239">SUM(SUMIFS(tblStock[value_nzd],tblStock[sku],tblSKU[[#This Row],[sku]],tblStock[stock_type],{"Saleable","FOC"},tblStock[expiry_date],"&lt;"&amp;EDATE(SnapshotDate,6)))</f>
        <v>0</v>
      </c>
    </row>
    <row r="240" spans="1:38">
      <c r="A240" s="1" t="s">
        <v>526</v>
      </c>
      <c r="B240" s="1" t="s">
        <v>527</v>
      </c>
      <c r="C240" s="1" t="s">
        <v>52</v>
      </c>
      <c r="D240" s="1" t="s">
        <v>37</v>
      </c>
      <c r="E240" s="1" t="s">
        <v>38</v>
      </c>
      <c r="F240" s="1" t="s">
        <v>39</v>
      </c>
      <c r="G240">
        <v>60</v>
      </c>
      <c r="H240">
        <v>48.3</v>
      </c>
      <c r="I240">
        <v>33.9</v>
      </c>
      <c r="J240">
        <v>25.4</v>
      </c>
      <c r="K240">
        <v>4.1590000000000002E-2</v>
      </c>
      <c r="L240">
        <v>8.74</v>
      </c>
      <c r="M240">
        <v>6.06</v>
      </c>
      <c r="N240">
        <v>6</v>
      </c>
      <c r="O240">
        <v>5</v>
      </c>
      <c r="P240">
        <v>30</v>
      </c>
      <c r="Q240">
        <v>142</v>
      </c>
      <c r="R240">
        <v>287.2</v>
      </c>
      <c r="S240">
        <v>1.2477</v>
      </c>
      <c r="T240">
        <v>26</v>
      </c>
      <c r="U240">
        <v>1135</v>
      </c>
      <c r="V240">
        <v>6878.0999999999995</v>
      </c>
      <c r="W240" s="1" t="s">
        <v>1258</v>
      </c>
      <c r="X240" s="1" t="s">
        <v>1262</v>
      </c>
      <c r="Y240">
        <v>0.30588235294117649</v>
      </c>
      <c r="Z240">
        <v>3.7091503267973856E-2</v>
      </c>
      <c r="AA240" s="1" t="s">
        <v>1259</v>
      </c>
      <c r="AB240">
        <v>0</v>
      </c>
      <c r="AC240">
        <v>1</v>
      </c>
      <c r="AD240" s="1">
        <v>7.5171806167400881</v>
      </c>
      <c r="AE240">
        <v>2</v>
      </c>
      <c r="AF240">
        <f>COUNTIFS(tblStock[sku],tblSKU[[#This Row],[sku]])</f>
        <v>4</v>
      </c>
      <c r="AG240" cm="1">
        <f t="array" ref="AG240">SUM(SUMIFS(tblStock[qty_units],tblStock[sku],tblSKU[[#This Row],[sku]],tblStock[stock_type],{"Saleable","FOC"}))</f>
        <v>2133</v>
      </c>
      <c r="AH240" s="3">
        <f>SUMIFS(tblStock[value_nzd],tblStock[sku],tblSKU[[#This Row],[sku]])</f>
        <v>12925.98</v>
      </c>
      <c r="AI240" s="4">
        <f>SUMIFS(tblStock[cbm],tblStock[sku],tblSKU[[#This Row],[sku]])</f>
        <v>1.4785245000000002</v>
      </c>
      <c r="AJ240" s="1">
        <f>SUMIFS(tblStock[positions],tblStock[sku],tblSKU[[#This Row],[sku]])</f>
        <v>1</v>
      </c>
      <c r="AK240" s="3">
        <f>SUMIFS(tblStock[value_nzd],tblStock[sku],tblSKU[[#This Row],[sku]],tblStock[stock_type],"Expired")</f>
        <v>0</v>
      </c>
      <c r="AL240" s="3" cm="1">
        <f t="array" ref="AL240">SUM(SUMIFS(tblStock[value_nzd],tblStock[sku],tblSKU[[#This Row],[sku]],tblStock[stock_type],{"Saleable","FOC"},tblStock[expiry_date],"&lt;"&amp;EDATE(SnapshotDate,6)))</f>
        <v>0</v>
      </c>
    </row>
    <row r="241" spans="1:38">
      <c r="A241" s="1" t="s">
        <v>528</v>
      </c>
      <c r="B241" s="1" t="s">
        <v>529</v>
      </c>
      <c r="C241" s="1" t="s">
        <v>70</v>
      </c>
      <c r="D241" s="1" t="s">
        <v>37</v>
      </c>
      <c r="E241" s="1" t="s">
        <v>38</v>
      </c>
      <c r="F241" s="1" t="s">
        <v>39</v>
      </c>
      <c r="G241">
        <v>240</v>
      </c>
      <c r="H241">
        <v>34.4</v>
      </c>
      <c r="I241">
        <v>25.5</v>
      </c>
      <c r="J241">
        <v>26.1</v>
      </c>
      <c r="K241">
        <v>2.2890000000000001E-2</v>
      </c>
      <c r="L241">
        <v>3.94</v>
      </c>
      <c r="M241">
        <v>15.28</v>
      </c>
      <c r="N241">
        <v>9</v>
      </c>
      <c r="O241">
        <v>2</v>
      </c>
      <c r="P241">
        <v>18</v>
      </c>
      <c r="Q241">
        <v>67.2</v>
      </c>
      <c r="R241">
        <v>95.92</v>
      </c>
      <c r="S241">
        <v>0.41202</v>
      </c>
      <c r="T241">
        <v>48</v>
      </c>
      <c r="U241">
        <v>3545</v>
      </c>
      <c r="V241">
        <v>54167.6</v>
      </c>
      <c r="W241" s="1" t="s">
        <v>1258</v>
      </c>
      <c r="X241" s="1" t="s">
        <v>1258</v>
      </c>
      <c r="Y241">
        <v>0.56470588235294117</v>
      </c>
      <c r="Z241">
        <v>4.8270697167755991E-2</v>
      </c>
      <c r="AA241" s="1" t="s">
        <v>1259</v>
      </c>
      <c r="AB241">
        <v>0</v>
      </c>
      <c r="AC241">
        <v>1</v>
      </c>
      <c r="AD241" s="1">
        <v>4.477291960507757</v>
      </c>
      <c r="AE241">
        <v>4</v>
      </c>
      <c r="AF241">
        <f>COUNTIFS(tblStock[sku],tblSKU[[#This Row],[sku]])</f>
        <v>4</v>
      </c>
      <c r="AG241" cm="1">
        <f t="array" ref="AG241">SUM(SUMIFS(tblStock[qty_units],tblStock[sku],tblSKU[[#This Row],[sku]],tblStock[stock_type],{"Saleable","FOC"}))</f>
        <v>3968</v>
      </c>
      <c r="AH241" s="3">
        <f>SUMIFS(tblStock[value_nzd],tblStock[sku],tblSKU[[#This Row],[sku]])</f>
        <v>61838.159999999996</v>
      </c>
      <c r="AI241" s="4">
        <f>SUMIFS(tblStock[cbm],tblStock[sku],tblSKU[[#This Row],[sku]])</f>
        <v>0.38598262500000002</v>
      </c>
      <c r="AJ241" s="1">
        <f>SUMIFS(tblStock[positions],tblStock[sku],tblSKU[[#This Row],[sku]])</f>
        <v>0</v>
      </c>
      <c r="AK241" s="3">
        <f>SUMIFS(tblStock[value_nzd],tblStock[sku],tblSKU[[#This Row],[sku]],tblStock[stock_type],"Expired")</f>
        <v>0</v>
      </c>
      <c r="AL241" s="3" cm="1">
        <f t="array" ref="AL241">SUM(SUMIFS(tblStock[value_nzd],tblStock[sku],tblSKU[[#This Row],[sku]],tblStock[stock_type],{"Saleable","FOC"},tblStock[expiry_date],"&lt;"&amp;EDATE(SnapshotDate,6)))</f>
        <v>0</v>
      </c>
    </row>
    <row r="242" spans="1:38">
      <c r="A242" s="1" t="s">
        <v>530</v>
      </c>
      <c r="B242" s="1" t="s">
        <v>531</v>
      </c>
      <c r="C242" s="1" t="s">
        <v>70</v>
      </c>
      <c r="D242" s="1" t="s">
        <v>37</v>
      </c>
      <c r="E242" s="1" t="s">
        <v>38</v>
      </c>
      <c r="F242" s="1" t="s">
        <v>39</v>
      </c>
      <c r="G242">
        <v>180</v>
      </c>
      <c r="H242">
        <v>58.3</v>
      </c>
      <c r="I242">
        <v>37.1</v>
      </c>
      <c r="J242">
        <v>30.5</v>
      </c>
      <c r="K242">
        <v>6.5970000000000001E-2</v>
      </c>
      <c r="L242">
        <v>19.64</v>
      </c>
      <c r="M242">
        <v>10.01</v>
      </c>
      <c r="N242">
        <v>4</v>
      </c>
      <c r="O242">
        <v>3</v>
      </c>
      <c r="P242">
        <v>12</v>
      </c>
      <c r="Q242">
        <v>106.5</v>
      </c>
      <c r="R242">
        <v>260.68</v>
      </c>
      <c r="S242">
        <v>0.79164000000000001</v>
      </c>
      <c r="T242">
        <v>232</v>
      </c>
      <c r="U242">
        <v>22880</v>
      </c>
      <c r="V242">
        <v>229028.8</v>
      </c>
      <c r="W242" s="1" t="s">
        <v>1264</v>
      </c>
      <c r="X242" s="1" t="s">
        <v>1264</v>
      </c>
      <c r="Y242">
        <v>2.7294117647058824</v>
      </c>
      <c r="Z242">
        <v>0.62309368191721137</v>
      </c>
      <c r="AA242" s="1" t="s">
        <v>1265</v>
      </c>
      <c r="AB242">
        <v>1</v>
      </c>
      <c r="AC242">
        <v>0</v>
      </c>
      <c r="AD242" s="1">
        <v>5.7816433566433565</v>
      </c>
      <c r="AE242">
        <v>12</v>
      </c>
      <c r="AF242">
        <f>COUNTIFS(tblStock[sku],tblSKU[[#This Row],[sku]])</f>
        <v>5</v>
      </c>
      <c r="AG242" cm="1">
        <f t="array" ref="AG242">SUM(SUMIFS(tblStock[qty_units],tblStock[sku],tblSKU[[#This Row],[sku]],tblStock[stock_type],{"Saleable","FOC"}))</f>
        <v>33071</v>
      </c>
      <c r="AH242" s="3">
        <f>SUMIFS(tblStock[value_nzd],tblStock[sku],tblSKU[[#This Row],[sku]])</f>
        <v>337657.31999999995</v>
      </c>
      <c r="AI242" s="4">
        <f>SUMIFS(tblStock[cbm],tblStock[sku],tblSKU[[#This Row],[sku]])</f>
        <v>12.362777999999999</v>
      </c>
      <c r="AJ242" s="1">
        <f>SUMIFS(tblStock[positions],tblStock[sku],tblSKU[[#This Row],[sku]])</f>
        <v>16</v>
      </c>
      <c r="AK242" s="3">
        <f>SUMIFS(tblStock[value_nzd],tblStock[sku],tblSKU[[#This Row],[sku]],tblStock[stock_type],"Expired")</f>
        <v>0</v>
      </c>
      <c r="AL242" s="3" cm="1">
        <f t="array" ref="AL242">SUM(SUMIFS(tblStock[value_nzd],tblStock[sku],tblSKU[[#This Row],[sku]],tblStock[stock_type],{"Saleable","FOC"},tblStock[expiry_date],"&lt;"&amp;EDATE(SnapshotDate,6)))</f>
        <v>0</v>
      </c>
    </row>
    <row r="243" spans="1:38">
      <c r="A243" s="1" t="s">
        <v>532</v>
      </c>
      <c r="B243" s="1" t="s">
        <v>533</v>
      </c>
      <c r="C243" s="1" t="s">
        <v>48</v>
      </c>
      <c r="D243" s="1" t="s">
        <v>37</v>
      </c>
      <c r="E243" s="1" t="s">
        <v>38</v>
      </c>
      <c r="F243" s="1" t="s">
        <v>39</v>
      </c>
      <c r="G243">
        <v>100</v>
      </c>
      <c r="H243">
        <v>35.200000000000003</v>
      </c>
      <c r="I243">
        <v>36.4</v>
      </c>
      <c r="J243">
        <v>17.399999999999999</v>
      </c>
      <c r="K243">
        <v>2.2290000000000001E-2</v>
      </c>
      <c r="L243">
        <v>6.31</v>
      </c>
      <c r="M243">
        <v>7.55</v>
      </c>
      <c r="N243">
        <v>5</v>
      </c>
      <c r="O243">
        <v>8</v>
      </c>
      <c r="P243">
        <v>40</v>
      </c>
      <c r="Q243">
        <v>154.19999999999999</v>
      </c>
      <c r="R243">
        <v>277.39999999999998</v>
      </c>
      <c r="S243">
        <v>0.89160000000000006</v>
      </c>
      <c r="T243">
        <v>58</v>
      </c>
      <c r="U243">
        <v>3324</v>
      </c>
      <c r="V243">
        <v>25096.2</v>
      </c>
      <c r="W243" s="1" t="s">
        <v>1258</v>
      </c>
      <c r="X243" s="1" t="s">
        <v>1262</v>
      </c>
      <c r="Y243">
        <v>0.68235294117647061</v>
      </c>
      <c r="Z243">
        <v>4.8882352941176474E-2</v>
      </c>
      <c r="AA243" s="1" t="s">
        <v>1259</v>
      </c>
      <c r="AB243">
        <v>0</v>
      </c>
      <c r="AC243">
        <v>1</v>
      </c>
      <c r="AD243" s="1">
        <v>5.8796630565583632</v>
      </c>
      <c r="AE243">
        <v>2</v>
      </c>
      <c r="AF243">
        <f>COUNTIFS(tblStock[sku],tblSKU[[#This Row],[sku]])</f>
        <v>1</v>
      </c>
      <c r="AG243" cm="1">
        <f t="array" ref="AG243">SUM(SUMIFS(tblStock[qty_units],tblStock[sku],tblSKU[[#This Row],[sku]],tblStock[stock_type],{"Saleable","FOC"}))</f>
        <v>4886</v>
      </c>
      <c r="AH243" s="3">
        <f>SUMIFS(tblStock[value_nzd],tblStock[sku],tblSKU[[#This Row],[sku]])</f>
        <v>36889.299999999996</v>
      </c>
      <c r="AI243" s="4">
        <f>SUMIFS(tblStock[cbm],tblStock[sku],tblSKU[[#This Row],[sku]])</f>
        <v>1.0890894</v>
      </c>
      <c r="AJ243" s="1">
        <f>SUMIFS(tblStock[positions],tblStock[sku],tblSKU[[#This Row],[sku]])</f>
        <v>2</v>
      </c>
      <c r="AK243" s="3">
        <f>SUMIFS(tblStock[value_nzd],tblStock[sku],tblSKU[[#This Row],[sku]],tblStock[stock_type],"Expired")</f>
        <v>0</v>
      </c>
      <c r="AL243" s="3" cm="1">
        <f t="array" ref="AL243">SUM(SUMIFS(tblStock[value_nzd],tblStock[sku],tblSKU[[#This Row],[sku]],tblStock[stock_type],{"Saleable","FOC"},tblStock[expiry_date],"&lt;"&amp;EDATE(SnapshotDate,6)))</f>
        <v>0</v>
      </c>
    </row>
    <row r="244" spans="1:38">
      <c r="A244" s="1" t="s">
        <v>534</v>
      </c>
      <c r="B244" s="1" t="s">
        <v>535</v>
      </c>
      <c r="C244" s="1" t="s">
        <v>52</v>
      </c>
      <c r="D244" s="1" t="s">
        <v>37</v>
      </c>
      <c r="E244" s="1" t="s">
        <v>38</v>
      </c>
      <c r="F244" s="1" t="s">
        <v>39</v>
      </c>
      <c r="G244">
        <v>60</v>
      </c>
      <c r="H244">
        <v>47.2</v>
      </c>
      <c r="I244">
        <v>38.5</v>
      </c>
      <c r="J244">
        <v>23.1</v>
      </c>
      <c r="K244">
        <v>4.1980000000000003E-2</v>
      </c>
      <c r="L244">
        <v>10.47</v>
      </c>
      <c r="M244">
        <v>15.54</v>
      </c>
      <c r="N244">
        <v>6</v>
      </c>
      <c r="O244">
        <v>5</v>
      </c>
      <c r="P244">
        <v>30</v>
      </c>
      <c r="Q244">
        <v>130.5</v>
      </c>
      <c r="R244">
        <v>339.1</v>
      </c>
      <c r="S244">
        <v>1.2594000000000001</v>
      </c>
      <c r="T244">
        <v>1</v>
      </c>
      <c r="U244">
        <v>6</v>
      </c>
      <c r="V244">
        <v>93.24</v>
      </c>
      <c r="W244" s="1" t="s">
        <v>1262</v>
      </c>
      <c r="X244" s="1" t="s">
        <v>1262</v>
      </c>
      <c r="Y244">
        <v>1.1764705882352941E-2</v>
      </c>
      <c r="Z244">
        <v>1.9607843137254904E-4</v>
      </c>
      <c r="AA244" s="1" t="s">
        <v>1263</v>
      </c>
      <c r="AB244">
        <v>0</v>
      </c>
      <c r="AC244">
        <v>0</v>
      </c>
      <c r="AD244" s="1">
        <v>5.333333333333333</v>
      </c>
      <c r="AE244">
        <v>2</v>
      </c>
      <c r="AF244">
        <f>COUNTIFS(tblStock[sku],tblSKU[[#This Row],[sku]])</f>
        <v>1</v>
      </c>
      <c r="AG244" cm="1">
        <f t="array" ref="AG244">SUM(SUMIFS(tblStock[qty_units],tblStock[sku],tblSKU[[#This Row],[sku]],tblStock[stock_type],{"Saleable","FOC"}))</f>
        <v>8</v>
      </c>
      <c r="AH244" s="3">
        <f>SUMIFS(tblStock[value_nzd],tblStock[sku],tblSKU[[#This Row],[sku]])</f>
        <v>124.32</v>
      </c>
      <c r="AI244" s="4">
        <f>SUMIFS(tblStock[cbm],tblStock[sku],tblSKU[[#This Row],[sku]])</f>
        <v>5.5973333333333335E-3</v>
      </c>
      <c r="AJ244" s="1">
        <f>SUMIFS(tblStock[positions],tblStock[sku],tblSKU[[#This Row],[sku]])</f>
        <v>0</v>
      </c>
      <c r="AK244" s="3">
        <f>SUMIFS(tblStock[value_nzd],tblStock[sku],tblSKU[[#This Row],[sku]],tblStock[stock_type],"Expired")</f>
        <v>0</v>
      </c>
      <c r="AL244" s="3" cm="1">
        <f t="array" ref="AL244">SUM(SUMIFS(tblStock[value_nzd],tblStock[sku],tblSKU[[#This Row],[sku]],tblStock[stock_type],{"Saleable","FOC"},tblStock[expiry_date],"&lt;"&amp;EDATE(SnapshotDate,6)))</f>
        <v>0</v>
      </c>
    </row>
    <row r="245" spans="1:38">
      <c r="A245" s="1" t="s">
        <v>536</v>
      </c>
      <c r="B245" s="1" t="s">
        <v>537</v>
      </c>
      <c r="C245" s="1" t="s">
        <v>48</v>
      </c>
      <c r="D245" s="1" t="s">
        <v>37</v>
      </c>
      <c r="E245" s="1" t="s">
        <v>38</v>
      </c>
      <c r="F245" s="1" t="s">
        <v>39</v>
      </c>
      <c r="G245">
        <v>240</v>
      </c>
      <c r="H245">
        <v>54</v>
      </c>
      <c r="I245">
        <v>26.8</v>
      </c>
      <c r="J245">
        <v>32.6</v>
      </c>
      <c r="K245">
        <v>4.718E-2</v>
      </c>
      <c r="L245">
        <v>9.4700000000000006</v>
      </c>
      <c r="M245">
        <v>25</v>
      </c>
      <c r="N245">
        <v>6</v>
      </c>
      <c r="O245">
        <v>3</v>
      </c>
      <c r="P245">
        <v>18</v>
      </c>
      <c r="Q245">
        <v>112.80000000000001</v>
      </c>
      <c r="R245">
        <v>195.46</v>
      </c>
      <c r="S245">
        <v>0.84923999999999999</v>
      </c>
      <c r="T245">
        <v>439</v>
      </c>
      <c r="U245">
        <v>58149</v>
      </c>
      <c r="V245">
        <v>1453725</v>
      </c>
      <c r="W245" s="1" t="s">
        <v>1264</v>
      </c>
      <c r="X245" s="1" t="s">
        <v>1264</v>
      </c>
      <c r="Y245">
        <v>5.1647058823529415</v>
      </c>
      <c r="Z245">
        <v>0.79178921568627458</v>
      </c>
      <c r="AA245" s="1" t="s">
        <v>1265</v>
      </c>
      <c r="AB245">
        <v>1</v>
      </c>
      <c r="AC245">
        <v>0</v>
      </c>
      <c r="AD245" s="1">
        <v>4.1230631653166867</v>
      </c>
      <c r="AE245">
        <v>12</v>
      </c>
      <c r="AF245">
        <f>COUNTIFS(tblStock[sku],tblSKU[[#This Row],[sku]])</f>
        <v>1</v>
      </c>
      <c r="AG245" cm="1">
        <f t="array" ref="AG245">SUM(SUMIFS(tblStock[qty_units],tblStock[sku],tblSKU[[#This Row],[sku]],tblStock[stock_type],{"Saleable","FOC"}))</f>
        <v>59938</v>
      </c>
      <c r="AH245" s="3">
        <f>SUMIFS(tblStock[value_nzd],tblStock[sku],tblSKU[[#This Row],[sku]])</f>
        <v>1498450</v>
      </c>
      <c r="AI245" s="4">
        <f>SUMIFS(tblStock[cbm],tblStock[sku],tblSKU[[#This Row],[sku]])</f>
        <v>11.782811833333334</v>
      </c>
      <c r="AJ245" s="1">
        <f>SUMIFS(tblStock[positions],tblStock[sku],tblSKU[[#This Row],[sku]])</f>
        <v>14</v>
      </c>
      <c r="AK245" s="3">
        <f>SUMIFS(tblStock[value_nzd],tblStock[sku],tblSKU[[#This Row],[sku]],tblStock[stock_type],"Expired")</f>
        <v>0</v>
      </c>
      <c r="AL245" s="3" cm="1">
        <f t="array" ref="AL245">SUM(SUMIFS(tblStock[value_nzd],tblStock[sku],tblSKU[[#This Row],[sku]],tblStock[stock_type],{"Saleable","FOC"},tblStock[expiry_date],"&lt;"&amp;EDATE(SnapshotDate,6)))</f>
        <v>0</v>
      </c>
    </row>
    <row r="246" spans="1:38">
      <c r="A246" s="1" t="s">
        <v>538</v>
      </c>
      <c r="B246" s="1" t="s">
        <v>539</v>
      </c>
      <c r="C246" s="1" t="s">
        <v>36</v>
      </c>
      <c r="D246" s="1" t="s">
        <v>37</v>
      </c>
      <c r="E246" s="1" t="s">
        <v>38</v>
      </c>
      <c r="F246" s="1" t="s">
        <v>39</v>
      </c>
      <c r="G246">
        <v>100</v>
      </c>
      <c r="H246">
        <v>38.6</v>
      </c>
      <c r="I246">
        <v>31.9</v>
      </c>
      <c r="J246">
        <v>31.7</v>
      </c>
      <c r="K246">
        <v>3.9030000000000002E-2</v>
      </c>
      <c r="L246">
        <v>10.96</v>
      </c>
      <c r="M246">
        <v>2.34</v>
      </c>
      <c r="N246">
        <v>8</v>
      </c>
      <c r="O246">
        <v>3</v>
      </c>
      <c r="P246">
        <v>24</v>
      </c>
      <c r="Q246">
        <v>110.1</v>
      </c>
      <c r="R246">
        <v>288.04000000000002</v>
      </c>
      <c r="S246">
        <v>0.93672</v>
      </c>
      <c r="T246">
        <v>86</v>
      </c>
      <c r="U246">
        <v>4980</v>
      </c>
      <c r="V246">
        <v>11653.199999999999</v>
      </c>
      <c r="W246" s="1" t="s">
        <v>1264</v>
      </c>
      <c r="X246" s="1" t="s">
        <v>1262</v>
      </c>
      <c r="Y246">
        <v>1.0117647058823529</v>
      </c>
      <c r="Z246">
        <v>0.12205882352941176</v>
      </c>
      <c r="AA246" s="1" t="s">
        <v>1265</v>
      </c>
      <c r="AB246">
        <v>1</v>
      </c>
      <c r="AC246">
        <v>0</v>
      </c>
      <c r="AD246" s="1">
        <v>8.8506024096385545</v>
      </c>
      <c r="AE246">
        <v>2</v>
      </c>
      <c r="AF246">
        <f>COUNTIFS(tblStock[sku],tblSKU[[#This Row],[sku]])</f>
        <v>1</v>
      </c>
      <c r="AG246" cm="1">
        <f t="array" ref="AG246">SUM(SUMIFS(tblStock[qty_units],tblStock[sku],tblSKU[[#This Row],[sku]],tblStock[stock_type],{"Saleable","FOC"}))</f>
        <v>11019</v>
      </c>
      <c r="AH246" s="3">
        <f>SUMIFS(tblStock[value_nzd],tblStock[sku],tblSKU[[#This Row],[sku]])</f>
        <v>25784.46</v>
      </c>
      <c r="AI246" s="4">
        <f>SUMIFS(tblStock[cbm],tblStock[sku],tblSKU[[#This Row],[sku]])</f>
        <v>4.3007157000000005</v>
      </c>
      <c r="AJ246" s="1">
        <f>SUMIFS(tblStock[positions],tblStock[sku],tblSKU[[#This Row],[sku]])</f>
        <v>5</v>
      </c>
      <c r="AK246" s="3">
        <f>SUMIFS(tblStock[value_nzd],tblStock[sku],tblSKU[[#This Row],[sku]],tblStock[stock_type],"Expired")</f>
        <v>0</v>
      </c>
      <c r="AL246" s="3" cm="1">
        <f t="array" ref="AL246">SUM(SUMIFS(tblStock[value_nzd],tblStock[sku],tblSKU[[#This Row],[sku]],tblStock[stock_type],{"Saleable","FOC"},tblStock[expiry_date],"&lt;"&amp;EDATE(SnapshotDate,6)))</f>
        <v>0</v>
      </c>
    </row>
    <row r="247" spans="1:38">
      <c r="A247" s="1" t="s">
        <v>540</v>
      </c>
      <c r="B247" s="1" t="s">
        <v>541</v>
      </c>
      <c r="C247" s="1" t="s">
        <v>67</v>
      </c>
      <c r="D247" s="1" t="s">
        <v>37</v>
      </c>
      <c r="E247" s="1" t="s">
        <v>38</v>
      </c>
      <c r="F247" s="1" t="s">
        <v>39</v>
      </c>
      <c r="G247">
        <v>240</v>
      </c>
      <c r="H247">
        <v>51.7</v>
      </c>
      <c r="I247">
        <v>26.6</v>
      </c>
      <c r="J247">
        <v>18.399999999999999</v>
      </c>
      <c r="K247">
        <v>2.5304048000000003E-2</v>
      </c>
      <c r="L247">
        <v>5.5</v>
      </c>
      <c r="M247">
        <v>22.07</v>
      </c>
      <c r="N247">
        <v>6</v>
      </c>
      <c r="O247">
        <v>5</v>
      </c>
      <c r="P247">
        <v>30</v>
      </c>
      <c r="Q247">
        <v>107</v>
      </c>
      <c r="R247">
        <v>190</v>
      </c>
      <c r="S247">
        <v>0.75912144000000004</v>
      </c>
      <c r="T247">
        <v>199</v>
      </c>
      <c r="U247">
        <v>17700</v>
      </c>
      <c r="V247">
        <v>390639</v>
      </c>
      <c r="W247" s="1" t="s">
        <v>1264</v>
      </c>
      <c r="X247" s="1" t="s">
        <v>1264</v>
      </c>
      <c r="Y247">
        <v>2.3411764705882354</v>
      </c>
      <c r="Z247">
        <v>0.14460784313725489</v>
      </c>
      <c r="AA247" s="1" t="s">
        <v>1265</v>
      </c>
      <c r="AB247">
        <v>1</v>
      </c>
      <c r="AC247">
        <v>0</v>
      </c>
      <c r="AD247" s="1">
        <v>2.5129943502824861</v>
      </c>
      <c r="AE247">
        <v>12</v>
      </c>
      <c r="AF247">
        <f>COUNTIFS(tblStock[sku],tblSKU[[#This Row],[sku]])</f>
        <v>3</v>
      </c>
      <c r="AG247" cm="1">
        <f t="array" ref="AG247">SUM(SUMIFS(tblStock[qty_units],tblStock[sku],tblSKU[[#This Row],[sku]],tblStock[stock_type],{"Saleable","FOC"}))</f>
        <v>11120</v>
      </c>
      <c r="AH247" s="3">
        <f>SUMIFS(tblStock[value_nzd],tblStock[sku],tblSKU[[#This Row],[sku]])</f>
        <v>245418.40000000002</v>
      </c>
      <c r="AI247" s="4">
        <f>SUMIFS(tblStock[cbm],tblStock[sku],tblSKU[[#This Row],[sku]])</f>
        <v>1.1724208906666667</v>
      </c>
      <c r="AJ247" s="1">
        <f>SUMIFS(tblStock[positions],tblStock[sku],tblSKU[[#This Row],[sku]])</f>
        <v>3</v>
      </c>
      <c r="AK247" s="3">
        <f>SUMIFS(tblStock[value_nzd],tblStock[sku],tblSKU[[#This Row],[sku]],tblStock[stock_type],"Expired")</f>
        <v>0</v>
      </c>
      <c r="AL247" s="3" cm="1">
        <f t="array" ref="AL247">SUM(SUMIFS(tblStock[value_nzd],tblStock[sku],tblSKU[[#This Row],[sku]],tblStock[stock_type],{"Saleable","FOC"},tblStock[expiry_date],"&lt;"&amp;EDATE(SnapshotDate,6)))</f>
        <v>0</v>
      </c>
    </row>
    <row r="248" spans="1:38">
      <c r="A248" s="1" t="s">
        <v>542</v>
      </c>
      <c r="B248" s="1" t="s">
        <v>543</v>
      </c>
      <c r="C248" s="1" t="s">
        <v>70</v>
      </c>
      <c r="D248" s="1" t="s">
        <v>37</v>
      </c>
      <c r="E248" s="1" t="s">
        <v>38</v>
      </c>
      <c r="F248" s="1" t="s">
        <v>39</v>
      </c>
      <c r="G248">
        <v>180</v>
      </c>
      <c r="H248">
        <v>42.4</v>
      </c>
      <c r="I248">
        <v>36</v>
      </c>
      <c r="J248">
        <v>17.2</v>
      </c>
      <c r="K248">
        <v>2.6249999999999999E-2</v>
      </c>
      <c r="L248">
        <v>5.2</v>
      </c>
      <c r="M248">
        <v>7.67</v>
      </c>
      <c r="N248">
        <v>6</v>
      </c>
      <c r="O248">
        <v>5</v>
      </c>
      <c r="P248">
        <v>30</v>
      </c>
      <c r="Q248">
        <v>101</v>
      </c>
      <c r="R248">
        <v>181</v>
      </c>
      <c r="S248">
        <v>0.78749999999999998</v>
      </c>
      <c r="T248">
        <v>14</v>
      </c>
      <c r="U248">
        <v>1146</v>
      </c>
      <c r="V248">
        <v>8789.82</v>
      </c>
      <c r="W248" s="1" t="s">
        <v>1262</v>
      </c>
      <c r="X248" s="1" t="s">
        <v>1262</v>
      </c>
      <c r="Y248">
        <v>0.16470588235294117</v>
      </c>
      <c r="Z248">
        <v>1.2483660130718952E-2</v>
      </c>
      <c r="AA248" s="1" t="s">
        <v>1263</v>
      </c>
      <c r="AB248">
        <v>0</v>
      </c>
      <c r="AC248">
        <v>0</v>
      </c>
      <c r="AD248" s="1">
        <v>7.2146596858638743</v>
      </c>
      <c r="AE248">
        <v>2</v>
      </c>
      <c r="AF248">
        <f>COUNTIFS(tblStock[sku],tblSKU[[#This Row],[sku]])</f>
        <v>2</v>
      </c>
      <c r="AG248" cm="1">
        <f t="array" ref="AG248">SUM(SUMIFS(tblStock[qty_units],tblStock[sku],tblSKU[[#This Row],[sku]],tblStock[stock_type],{"Saleable","FOC"}))</f>
        <v>2067</v>
      </c>
      <c r="AH248" s="3">
        <f>SUMIFS(tblStock[value_nzd],tblStock[sku],tblSKU[[#This Row],[sku]])</f>
        <v>15853.89</v>
      </c>
      <c r="AI248" s="4">
        <f>SUMIFS(tblStock[cbm],tblStock[sku],tblSKU[[#This Row],[sku]])</f>
        <v>0.30143749999999997</v>
      </c>
      <c r="AJ248" s="1">
        <f>SUMIFS(tblStock[positions],tblStock[sku],tblSKU[[#This Row],[sku]])</f>
        <v>1</v>
      </c>
      <c r="AK248" s="3">
        <f>SUMIFS(tblStock[value_nzd],tblStock[sku],tblSKU[[#This Row],[sku]],tblStock[stock_type],"Expired")</f>
        <v>0</v>
      </c>
      <c r="AL248" s="3" cm="1">
        <f t="array" ref="AL248">SUM(SUMIFS(tblStock[value_nzd],tblStock[sku],tblSKU[[#This Row],[sku]],tblStock[stock_type],{"Saleable","FOC"},tblStock[expiry_date],"&lt;"&amp;EDATE(SnapshotDate,6)))</f>
        <v>0</v>
      </c>
    </row>
    <row r="249" spans="1:38">
      <c r="A249" s="1" t="s">
        <v>544</v>
      </c>
      <c r="B249" s="1" t="s">
        <v>545</v>
      </c>
      <c r="C249" s="1" t="s">
        <v>52</v>
      </c>
      <c r="D249" s="1" t="s">
        <v>37</v>
      </c>
      <c r="E249" s="1" t="s">
        <v>38</v>
      </c>
      <c r="F249" s="1" t="s">
        <v>39</v>
      </c>
      <c r="G249">
        <v>240</v>
      </c>
      <c r="H249">
        <v>52</v>
      </c>
      <c r="I249">
        <v>38</v>
      </c>
      <c r="J249">
        <v>31.7</v>
      </c>
      <c r="K249">
        <v>6.2640000000000001E-2</v>
      </c>
      <c r="L249">
        <v>17.399999999999999</v>
      </c>
      <c r="M249">
        <v>10.1</v>
      </c>
      <c r="N249">
        <v>3</v>
      </c>
      <c r="O249">
        <v>4</v>
      </c>
      <c r="P249">
        <v>12</v>
      </c>
      <c r="Q249">
        <v>141.80000000000001</v>
      </c>
      <c r="R249">
        <v>233.79999999999998</v>
      </c>
      <c r="S249">
        <v>0.75168000000000001</v>
      </c>
      <c r="T249">
        <v>56</v>
      </c>
      <c r="U249">
        <v>3277</v>
      </c>
      <c r="V249">
        <v>33097.699999999997</v>
      </c>
      <c r="W249" s="1" t="s">
        <v>1258</v>
      </c>
      <c r="X249" s="1" t="s">
        <v>1258</v>
      </c>
      <c r="Y249">
        <v>0.6588235294117647</v>
      </c>
      <c r="Z249">
        <v>6.6932189542483658E-2</v>
      </c>
      <c r="AA249" s="1" t="s">
        <v>1259</v>
      </c>
      <c r="AB249">
        <v>0</v>
      </c>
      <c r="AC249">
        <v>1</v>
      </c>
      <c r="AD249" s="1">
        <v>5.5013732072017092</v>
      </c>
      <c r="AE249">
        <v>4</v>
      </c>
      <c r="AF249">
        <f>COUNTIFS(tblStock[sku],tblSKU[[#This Row],[sku]])</f>
        <v>1</v>
      </c>
      <c r="AG249" cm="1">
        <f t="array" ref="AG249">SUM(SUMIFS(tblStock[qty_units],tblStock[sku],tblSKU[[#This Row],[sku]],tblStock[stock_type],{"Saleable","FOC"}))</f>
        <v>4507</v>
      </c>
      <c r="AH249" s="3">
        <f>SUMIFS(tblStock[value_nzd],tblStock[sku],tblSKU[[#This Row],[sku]])</f>
        <v>45520.7</v>
      </c>
      <c r="AI249" s="4">
        <f>SUMIFS(tblStock[cbm],tblStock[sku],tblSKU[[#This Row],[sku]])</f>
        <v>1.1763269999999999</v>
      </c>
      <c r="AJ249" s="1">
        <f>SUMIFS(tblStock[positions],tblStock[sku],tblSKU[[#This Row],[sku]])</f>
        <v>2</v>
      </c>
      <c r="AK249" s="3">
        <f>SUMIFS(tblStock[value_nzd],tblStock[sku],tblSKU[[#This Row],[sku]],tblStock[stock_type],"Expired")</f>
        <v>0</v>
      </c>
      <c r="AL249" s="3" cm="1">
        <f t="array" ref="AL249">SUM(SUMIFS(tblStock[value_nzd],tblStock[sku],tblSKU[[#This Row],[sku]],tblStock[stock_type],{"Saleable","FOC"},tblStock[expiry_date],"&lt;"&amp;EDATE(SnapshotDate,6)))</f>
        <v>0</v>
      </c>
    </row>
    <row r="250" spans="1:38">
      <c r="A250" s="1" t="s">
        <v>546</v>
      </c>
      <c r="B250" s="1" t="s">
        <v>547</v>
      </c>
      <c r="C250" s="1" t="s">
        <v>48</v>
      </c>
      <c r="D250" s="1" t="s">
        <v>37</v>
      </c>
      <c r="E250" s="1" t="s">
        <v>38</v>
      </c>
      <c r="F250" s="1" t="s">
        <v>39</v>
      </c>
      <c r="G250">
        <v>240</v>
      </c>
      <c r="H250">
        <v>47.1</v>
      </c>
      <c r="I250">
        <v>26.5</v>
      </c>
      <c r="J250">
        <v>19.2</v>
      </c>
      <c r="K250">
        <v>2.3959999999999999E-2</v>
      </c>
      <c r="L250">
        <v>3.92</v>
      </c>
      <c r="M250">
        <v>24.76</v>
      </c>
      <c r="N250">
        <v>8</v>
      </c>
      <c r="O250">
        <v>5</v>
      </c>
      <c r="P250">
        <v>40</v>
      </c>
      <c r="Q250">
        <v>111</v>
      </c>
      <c r="R250">
        <v>181.8</v>
      </c>
      <c r="S250">
        <v>0.95839999999999992</v>
      </c>
      <c r="T250">
        <v>399</v>
      </c>
      <c r="U250">
        <v>47839</v>
      </c>
      <c r="V250">
        <v>1184493.6400000001</v>
      </c>
      <c r="W250" s="1" t="s">
        <v>1264</v>
      </c>
      <c r="X250" s="1" t="s">
        <v>1264</v>
      </c>
      <c r="Y250">
        <v>4.6941176470588237</v>
      </c>
      <c r="Z250">
        <v>0.29313112745098041</v>
      </c>
      <c r="AA250" s="1" t="s">
        <v>1265</v>
      </c>
      <c r="AB250">
        <v>1</v>
      </c>
      <c r="AC250">
        <v>0</v>
      </c>
      <c r="AD250" s="1">
        <v>5.3453458475302575</v>
      </c>
      <c r="AE250">
        <v>12</v>
      </c>
      <c r="AF250">
        <f>COUNTIFS(tblStock[sku],tblSKU[[#This Row],[sku]])</f>
        <v>2</v>
      </c>
      <c r="AG250" cm="1">
        <f t="array" ref="AG250">SUM(SUMIFS(tblStock[qty_units],tblStock[sku],tblSKU[[#This Row],[sku]],tblStock[stock_type],{"Saleable","FOC"}))</f>
        <v>63929</v>
      </c>
      <c r="AH250" s="3">
        <f>SUMIFS(tblStock[value_nzd],tblStock[sku],tblSKU[[#This Row],[sku]])</f>
        <v>1582882.04</v>
      </c>
      <c r="AI250" s="4">
        <f>SUMIFS(tblStock[cbm],tblStock[sku],tblSKU[[#This Row],[sku]])</f>
        <v>6.3822451666666655</v>
      </c>
      <c r="AJ250" s="1">
        <f>SUMIFS(tblStock[positions],tblStock[sku],tblSKU[[#This Row],[sku]])</f>
        <v>8</v>
      </c>
      <c r="AK250" s="3">
        <f>SUMIFS(tblStock[value_nzd],tblStock[sku],tblSKU[[#This Row],[sku]],tblStock[stock_type],"Expired")</f>
        <v>0</v>
      </c>
      <c r="AL250" s="3" cm="1">
        <f t="array" ref="AL250">SUM(SUMIFS(tblStock[value_nzd],tblStock[sku],tblSKU[[#This Row],[sku]],tblStock[stock_type],{"Saleable","FOC"},tblStock[expiry_date],"&lt;"&amp;EDATE(SnapshotDate,6)))</f>
        <v>0</v>
      </c>
    </row>
    <row r="251" spans="1:38">
      <c r="A251" s="1" t="s">
        <v>548</v>
      </c>
      <c r="B251" s="1" t="s">
        <v>549</v>
      </c>
      <c r="C251" s="1" t="s">
        <v>70</v>
      </c>
      <c r="D251" s="1" t="s">
        <v>37</v>
      </c>
      <c r="E251" s="1" t="s">
        <v>38</v>
      </c>
      <c r="F251" s="1" t="s">
        <v>39</v>
      </c>
      <c r="G251">
        <v>120</v>
      </c>
      <c r="H251">
        <v>57.1</v>
      </c>
      <c r="I251">
        <v>32.799999999999997</v>
      </c>
      <c r="J251">
        <v>31.5</v>
      </c>
      <c r="K251">
        <v>5.8999999999999997E-2</v>
      </c>
      <c r="L251">
        <v>10.039999999999999</v>
      </c>
      <c r="M251">
        <v>16.62</v>
      </c>
      <c r="N251">
        <v>6</v>
      </c>
      <c r="O251">
        <v>4</v>
      </c>
      <c r="P251">
        <v>24</v>
      </c>
      <c r="Q251">
        <v>141</v>
      </c>
      <c r="R251">
        <v>265.95999999999998</v>
      </c>
      <c r="S251">
        <v>1.4159999999999999</v>
      </c>
      <c r="T251">
        <v>20</v>
      </c>
      <c r="U251">
        <v>684</v>
      </c>
      <c r="V251">
        <v>11368.08</v>
      </c>
      <c r="W251" s="1" t="s">
        <v>1262</v>
      </c>
      <c r="X251" s="1" t="s">
        <v>1262</v>
      </c>
      <c r="Y251">
        <v>0.23529411764705882</v>
      </c>
      <c r="Z251">
        <v>1.3970588235294118E-2</v>
      </c>
      <c r="AA251" s="1" t="s">
        <v>1263</v>
      </c>
      <c r="AB251">
        <v>0</v>
      </c>
      <c r="AC251">
        <v>0</v>
      </c>
      <c r="AD251" s="1">
        <v>17.994152046783626</v>
      </c>
      <c r="AE251">
        <v>2</v>
      </c>
      <c r="AF251">
        <f>COUNTIFS(tblStock[sku],tblSKU[[#This Row],[sku]])</f>
        <v>3</v>
      </c>
      <c r="AG251" cm="1">
        <f t="array" ref="AG251">SUM(SUMIFS(tblStock[qty_units],tblStock[sku],tblSKU[[#This Row],[sku]],tblStock[stock_type],{"Saleable","FOC"}))</f>
        <v>3077</v>
      </c>
      <c r="AH251" s="3">
        <f>SUMIFS(tblStock[value_nzd],tblStock[sku],tblSKU[[#This Row],[sku]])</f>
        <v>55228.260000000009</v>
      </c>
      <c r="AI251" s="4">
        <f>SUMIFS(tblStock[cbm],tblStock[sku],tblSKU[[#This Row],[sku]])</f>
        <v>1.6338083333333333</v>
      </c>
      <c r="AJ251" s="1">
        <f>SUMIFS(tblStock[positions],tblStock[sku],tblSKU[[#This Row],[sku]])</f>
        <v>2</v>
      </c>
      <c r="AK251" s="3">
        <f>SUMIFS(tblStock[value_nzd],tblStock[sku],tblSKU[[#This Row],[sku]],tblStock[stock_type],"Expired")</f>
        <v>4088.5200000000004</v>
      </c>
      <c r="AL251" s="3" cm="1">
        <f t="array" ref="AL251">SUM(SUMIFS(tblStock[value_nzd],tblStock[sku],tblSKU[[#This Row],[sku]],tblStock[stock_type],{"Saleable","FOC"},tblStock[expiry_date],"&lt;"&amp;EDATE(SnapshotDate,6)))</f>
        <v>0</v>
      </c>
    </row>
    <row r="252" spans="1:38">
      <c r="A252" s="1" t="s">
        <v>550</v>
      </c>
      <c r="B252" s="1" t="s">
        <v>551</v>
      </c>
      <c r="C252" s="1" t="s">
        <v>43</v>
      </c>
      <c r="D252" s="1" t="s">
        <v>37</v>
      </c>
      <c r="E252" s="1" t="s">
        <v>38</v>
      </c>
      <c r="F252" s="1" t="s">
        <v>39</v>
      </c>
      <c r="G252">
        <v>120</v>
      </c>
      <c r="H252">
        <v>55.3</v>
      </c>
      <c r="I252">
        <v>25.9</v>
      </c>
      <c r="J252">
        <v>16.7</v>
      </c>
      <c r="K252">
        <v>2.392E-2</v>
      </c>
      <c r="L252">
        <v>3.92</v>
      </c>
      <c r="M252">
        <v>19.34</v>
      </c>
      <c r="N252">
        <v>6</v>
      </c>
      <c r="O252">
        <v>5</v>
      </c>
      <c r="P252">
        <v>30</v>
      </c>
      <c r="Q252">
        <v>98.5</v>
      </c>
      <c r="R252">
        <v>142.6</v>
      </c>
      <c r="S252">
        <v>0.71760000000000002</v>
      </c>
      <c r="T252">
        <v>119</v>
      </c>
      <c r="U252">
        <v>10016</v>
      </c>
      <c r="V252">
        <v>193709.44</v>
      </c>
      <c r="W252" s="1" t="s">
        <v>1264</v>
      </c>
      <c r="X252" s="1" t="s">
        <v>1264</v>
      </c>
      <c r="Y252">
        <v>1.4</v>
      </c>
      <c r="Z252">
        <v>0.16366013071895427</v>
      </c>
      <c r="AA252" s="1" t="s">
        <v>1265</v>
      </c>
      <c r="AB252">
        <v>1</v>
      </c>
      <c r="AC252">
        <v>0</v>
      </c>
      <c r="AD252" s="1">
        <v>4.9265175718849843</v>
      </c>
      <c r="AE252">
        <v>12</v>
      </c>
      <c r="AF252">
        <f>COUNTIFS(tblStock[sku],tblSKU[[#This Row],[sku]])</f>
        <v>5</v>
      </c>
      <c r="AG252" cm="1">
        <f t="array" ref="AG252">SUM(SUMIFS(tblStock[qty_units],tblStock[sku],tblSKU[[#This Row],[sku]],tblStock[stock_type],{"Saleable","FOC"}))</f>
        <v>12336</v>
      </c>
      <c r="AH252" s="3">
        <f>SUMIFS(tblStock[value_nzd],tblStock[sku],tblSKU[[#This Row],[sku]])</f>
        <v>238578.24</v>
      </c>
      <c r="AI252" s="4">
        <f>SUMIFS(tblStock[cbm],tblStock[sku],tblSKU[[#This Row],[sku]])</f>
        <v>2.4589759999999998</v>
      </c>
      <c r="AJ252" s="1">
        <f>SUMIFS(tblStock[positions],tblStock[sku],tblSKU[[#This Row],[sku]])</f>
        <v>5</v>
      </c>
      <c r="AK252" s="3">
        <f>SUMIFS(tblStock[value_nzd],tblStock[sku],tblSKU[[#This Row],[sku]],tblStock[stock_type],"Expired")</f>
        <v>0</v>
      </c>
      <c r="AL252" s="3" cm="1">
        <f t="array" ref="AL252">SUM(SUMIFS(tblStock[value_nzd],tblStock[sku],tblSKU[[#This Row],[sku]],tblStock[stock_type],{"Saleable","FOC"},tblStock[expiry_date],"&lt;"&amp;EDATE(SnapshotDate,6)))</f>
        <v>0</v>
      </c>
    </row>
    <row r="253" spans="1:38">
      <c r="A253" s="1" t="s">
        <v>552</v>
      </c>
      <c r="B253" s="1" t="s">
        <v>553</v>
      </c>
      <c r="C253" s="1" t="s">
        <v>48</v>
      </c>
      <c r="D253" s="1" t="s">
        <v>37</v>
      </c>
      <c r="E253" s="1" t="s">
        <v>38</v>
      </c>
      <c r="F253" s="1" t="s">
        <v>39</v>
      </c>
      <c r="G253">
        <v>120</v>
      </c>
      <c r="H253">
        <v>37.299999999999997</v>
      </c>
      <c r="I253">
        <v>40</v>
      </c>
      <c r="J253">
        <v>20.8</v>
      </c>
      <c r="K253">
        <v>3.1029999999999999E-2</v>
      </c>
      <c r="L253">
        <v>6.79</v>
      </c>
      <c r="M253">
        <v>10</v>
      </c>
      <c r="N253">
        <v>6</v>
      </c>
      <c r="O253">
        <v>7</v>
      </c>
      <c r="P253">
        <v>42</v>
      </c>
      <c r="Q253">
        <v>160.6</v>
      </c>
      <c r="R253">
        <v>310.18</v>
      </c>
      <c r="S253">
        <v>1.3032599999999999</v>
      </c>
      <c r="T253">
        <v>286</v>
      </c>
      <c r="U253">
        <v>23966</v>
      </c>
      <c r="V253">
        <v>239660</v>
      </c>
      <c r="W253" s="1" t="s">
        <v>1264</v>
      </c>
      <c r="X253" s="1" t="s">
        <v>1264</v>
      </c>
      <c r="Y253">
        <v>3.3647058823529412</v>
      </c>
      <c r="Z253">
        <v>0.27971521942110178</v>
      </c>
      <c r="AA253" s="1" t="s">
        <v>1265</v>
      </c>
      <c r="AB253">
        <v>1</v>
      </c>
      <c r="AC253">
        <v>0</v>
      </c>
      <c r="AD253" s="1">
        <v>6.352165567887841</v>
      </c>
      <c r="AE253">
        <v>12</v>
      </c>
      <c r="AF253">
        <f>COUNTIFS(tblStock[sku],tblSKU[[#This Row],[sku]])</f>
        <v>4</v>
      </c>
      <c r="AG253" cm="1">
        <f t="array" ref="AG253">SUM(SUMIFS(tblStock[qty_units],tblStock[sku],tblSKU[[#This Row],[sku]],tblStock[stock_type],{"Saleable","FOC"}))</f>
        <v>38059</v>
      </c>
      <c r="AH253" s="3">
        <f>SUMIFS(tblStock[value_nzd],tblStock[sku],tblSKU[[#This Row],[sku]])</f>
        <v>380590</v>
      </c>
      <c r="AI253" s="4">
        <f>SUMIFS(tblStock[cbm],tblStock[sku],tblSKU[[#This Row],[sku]])</f>
        <v>9.841423083333332</v>
      </c>
      <c r="AJ253" s="1">
        <f>SUMIFS(tblStock[positions],tblStock[sku],tblSKU[[#This Row],[sku]])</f>
        <v>9</v>
      </c>
      <c r="AK253" s="3">
        <f>SUMIFS(tblStock[value_nzd],tblStock[sku],tblSKU[[#This Row],[sku]],tblStock[stock_type],"Expired")</f>
        <v>0</v>
      </c>
      <c r="AL253" s="3" cm="1">
        <f t="array" ref="AL253">SUM(SUMIFS(tblStock[value_nzd],tblStock[sku],tblSKU[[#This Row],[sku]],tblStock[stock_type],{"Saleable","FOC"},tblStock[expiry_date],"&lt;"&amp;EDATE(SnapshotDate,6)))</f>
        <v>0</v>
      </c>
    </row>
    <row r="254" spans="1:38">
      <c r="A254" s="1" t="s">
        <v>554</v>
      </c>
      <c r="B254" s="1" t="s">
        <v>555</v>
      </c>
      <c r="C254" s="1" t="s">
        <v>43</v>
      </c>
      <c r="D254" s="1" t="s">
        <v>37</v>
      </c>
      <c r="E254" s="1" t="s">
        <v>38</v>
      </c>
      <c r="F254" s="1" t="s">
        <v>39</v>
      </c>
      <c r="G254">
        <v>240</v>
      </c>
      <c r="H254">
        <v>49.8</v>
      </c>
      <c r="I254">
        <v>30</v>
      </c>
      <c r="J254">
        <v>19.7</v>
      </c>
      <c r="K254">
        <v>2.9430000000000001E-2</v>
      </c>
      <c r="L254">
        <v>6.89</v>
      </c>
      <c r="M254">
        <v>16.559999999999999</v>
      </c>
      <c r="N254">
        <v>8</v>
      </c>
      <c r="O254">
        <v>4</v>
      </c>
      <c r="P254">
        <v>32</v>
      </c>
      <c r="Q254">
        <v>93.8</v>
      </c>
      <c r="R254">
        <v>245.48</v>
      </c>
      <c r="S254">
        <v>0.94176000000000004</v>
      </c>
      <c r="T254">
        <v>663</v>
      </c>
      <c r="U254">
        <v>82934</v>
      </c>
      <c r="V254">
        <v>1373387.0399999998</v>
      </c>
      <c r="W254" s="1" t="s">
        <v>1264</v>
      </c>
      <c r="X254" s="1" t="s">
        <v>1264</v>
      </c>
      <c r="Y254">
        <v>7.8</v>
      </c>
      <c r="Z254">
        <v>0.63521752450980395</v>
      </c>
      <c r="AA254" s="1" t="s">
        <v>1265</v>
      </c>
      <c r="AB254">
        <v>1</v>
      </c>
      <c r="AC254">
        <v>0</v>
      </c>
      <c r="AD254" s="1">
        <v>1.6119323799647913</v>
      </c>
      <c r="AE254">
        <v>12</v>
      </c>
      <c r="AF254">
        <f>COUNTIFS(tblStock[sku],tblSKU[[#This Row],[sku]])</f>
        <v>2</v>
      </c>
      <c r="AG254" cm="1">
        <f t="array" ref="AG254">SUM(SUMIFS(tblStock[qty_units],tblStock[sku],tblSKU[[#This Row],[sku]],tblStock[stock_type],{"Saleable","FOC"}))</f>
        <v>33421</v>
      </c>
      <c r="AH254" s="3">
        <f>SUMIFS(tblStock[value_nzd],tblStock[sku],tblSKU[[#This Row],[sku]])</f>
        <v>553451.75999999989</v>
      </c>
      <c r="AI254" s="4">
        <f>SUMIFS(tblStock[cbm],tblStock[sku],tblSKU[[#This Row],[sku]])</f>
        <v>4.0982501249999999</v>
      </c>
      <c r="AJ254" s="1">
        <f>SUMIFS(tblStock[positions],tblStock[sku],tblSKU[[#This Row],[sku]])</f>
        <v>5</v>
      </c>
      <c r="AK254" s="3">
        <f>SUMIFS(tblStock[value_nzd],tblStock[sku],tblSKU[[#This Row],[sku]],tblStock[stock_type],"Expired")</f>
        <v>0</v>
      </c>
      <c r="AL254" s="3" cm="1">
        <f t="array" ref="AL254">SUM(SUMIFS(tblStock[value_nzd],tblStock[sku],tblSKU[[#This Row],[sku]],tblStock[stock_type],{"Saleable","FOC"},tblStock[expiry_date],"&lt;"&amp;EDATE(SnapshotDate,6)))</f>
        <v>527104.79999999993</v>
      </c>
    </row>
    <row r="255" spans="1:38">
      <c r="A255" s="1" t="s">
        <v>556</v>
      </c>
      <c r="B255" s="1" t="s">
        <v>557</v>
      </c>
      <c r="C255" s="1" t="s">
        <v>70</v>
      </c>
      <c r="D255" s="1" t="s">
        <v>37</v>
      </c>
      <c r="E255" s="1" t="s">
        <v>38</v>
      </c>
      <c r="F255" s="1" t="s">
        <v>39</v>
      </c>
      <c r="G255">
        <v>120</v>
      </c>
      <c r="H255">
        <v>58</v>
      </c>
      <c r="I255">
        <v>30.8</v>
      </c>
      <c r="J255">
        <v>30</v>
      </c>
      <c r="K255">
        <v>5.3589999999999999E-2</v>
      </c>
      <c r="L255">
        <v>11.82</v>
      </c>
      <c r="M255">
        <v>11.32</v>
      </c>
      <c r="N255">
        <v>6</v>
      </c>
      <c r="O255">
        <v>2</v>
      </c>
      <c r="P255">
        <v>12</v>
      </c>
      <c r="Q255">
        <v>75</v>
      </c>
      <c r="R255">
        <v>166.84</v>
      </c>
      <c r="S255">
        <v>0.64307999999999998</v>
      </c>
      <c r="T255">
        <v>9</v>
      </c>
      <c r="U255">
        <v>146</v>
      </c>
      <c r="V255">
        <v>1652.72</v>
      </c>
      <c r="W255" s="1" t="s">
        <v>1262</v>
      </c>
      <c r="X255" s="1" t="s">
        <v>1262</v>
      </c>
      <c r="Y255">
        <v>0.10588235294117647</v>
      </c>
      <c r="Z255">
        <v>5.964052287581699E-3</v>
      </c>
      <c r="AA255" s="1" t="s">
        <v>1263</v>
      </c>
      <c r="AB255">
        <v>0</v>
      </c>
      <c r="AC255">
        <v>0</v>
      </c>
      <c r="AD255" s="1">
        <v>18.082191780821919</v>
      </c>
      <c r="AE255">
        <v>2</v>
      </c>
      <c r="AF255">
        <f>COUNTIFS(tblStock[sku],tblSKU[[#This Row],[sku]])</f>
        <v>1</v>
      </c>
      <c r="AG255" cm="1">
        <f t="array" ref="AG255">SUM(SUMIFS(tblStock[qty_units],tblStock[sku],tblSKU[[#This Row],[sku]],tblStock[stock_type],{"Saleable","FOC"}))</f>
        <v>660</v>
      </c>
      <c r="AH255" s="3">
        <f>SUMIFS(tblStock[value_nzd],tblStock[sku],tblSKU[[#This Row],[sku]])</f>
        <v>7471.2</v>
      </c>
      <c r="AI255" s="4">
        <f>SUMIFS(tblStock[cbm],tblStock[sku],tblSKU[[#This Row],[sku]])</f>
        <v>0.29474499999999998</v>
      </c>
      <c r="AJ255" s="1">
        <f>SUMIFS(tblStock[positions],tblStock[sku],tblSKU[[#This Row],[sku]])</f>
        <v>1</v>
      </c>
      <c r="AK255" s="3">
        <f>SUMIFS(tblStock[value_nzd],tblStock[sku],tblSKU[[#This Row],[sku]],tblStock[stock_type],"Expired")</f>
        <v>0</v>
      </c>
      <c r="AL255" s="3" cm="1">
        <f t="array" ref="AL255">SUM(SUMIFS(tblStock[value_nzd],tblStock[sku],tblSKU[[#This Row],[sku]],tblStock[stock_type],{"Saleable","FOC"},tblStock[expiry_date],"&lt;"&amp;EDATE(SnapshotDate,6)))</f>
        <v>0</v>
      </c>
    </row>
    <row r="256" spans="1:38">
      <c r="A256" s="1" t="s">
        <v>558</v>
      </c>
      <c r="B256" s="1" t="s">
        <v>559</v>
      </c>
      <c r="C256" s="1" t="s">
        <v>52</v>
      </c>
      <c r="D256" s="1" t="s">
        <v>37</v>
      </c>
      <c r="E256" s="1" t="s">
        <v>38</v>
      </c>
      <c r="F256" s="1" t="s">
        <v>39</v>
      </c>
      <c r="G256">
        <v>240</v>
      </c>
      <c r="H256">
        <v>55.2</v>
      </c>
      <c r="I256">
        <v>25.4</v>
      </c>
      <c r="J256">
        <v>29.7</v>
      </c>
      <c r="K256">
        <v>4.1640000000000003E-2</v>
      </c>
      <c r="L256">
        <v>6.37</v>
      </c>
      <c r="M256">
        <v>16.079999999999998</v>
      </c>
      <c r="N256">
        <v>6</v>
      </c>
      <c r="O256">
        <v>3</v>
      </c>
      <c r="P256">
        <v>18</v>
      </c>
      <c r="Q256">
        <v>104.1</v>
      </c>
      <c r="R256">
        <v>139.66</v>
      </c>
      <c r="S256">
        <v>0.74952000000000008</v>
      </c>
      <c r="T256">
        <v>8</v>
      </c>
      <c r="U256">
        <v>812</v>
      </c>
      <c r="V256">
        <v>13056.96</v>
      </c>
      <c r="W256" s="1" t="s">
        <v>1262</v>
      </c>
      <c r="X256" s="1" t="s">
        <v>1262</v>
      </c>
      <c r="Y256">
        <v>9.4117647058823528E-2</v>
      </c>
      <c r="Z256">
        <v>1.1056644880174292E-2</v>
      </c>
      <c r="AA256" s="1" t="s">
        <v>1263</v>
      </c>
      <c r="AB256">
        <v>0</v>
      </c>
      <c r="AC256">
        <v>0</v>
      </c>
      <c r="AD256" s="1">
        <v>5.7192118226600988</v>
      </c>
      <c r="AE256">
        <v>2</v>
      </c>
      <c r="AF256">
        <f>COUNTIFS(tblStock[sku],tblSKU[[#This Row],[sku]])</f>
        <v>1</v>
      </c>
      <c r="AG256" cm="1">
        <f t="array" ref="AG256">SUM(SUMIFS(tblStock[qty_units],tblStock[sku],tblSKU[[#This Row],[sku]],tblStock[stock_type],{"Saleable","FOC"}))</f>
        <v>1161</v>
      </c>
      <c r="AH256" s="3">
        <f>SUMIFS(tblStock[value_nzd],tblStock[sku],tblSKU[[#This Row],[sku]])</f>
        <v>18668.879999999997</v>
      </c>
      <c r="AI256" s="4">
        <f>SUMIFS(tblStock[cbm],tblStock[sku],tblSKU[[#This Row],[sku]])</f>
        <v>0.20143350000000004</v>
      </c>
      <c r="AJ256" s="1">
        <f>SUMIFS(tblStock[positions],tblStock[sku],tblSKU[[#This Row],[sku]])</f>
        <v>0</v>
      </c>
      <c r="AK256" s="3">
        <f>SUMIFS(tblStock[value_nzd],tblStock[sku],tblSKU[[#This Row],[sku]],tblStock[stock_type],"Expired")</f>
        <v>0</v>
      </c>
      <c r="AL256" s="3" cm="1">
        <f t="array" ref="AL256">SUM(SUMIFS(tblStock[value_nzd],tblStock[sku],tblSKU[[#This Row],[sku]],tblStock[stock_type],{"Saleable","FOC"},tblStock[expiry_date],"&lt;"&amp;EDATE(SnapshotDate,6)))</f>
        <v>0</v>
      </c>
    </row>
    <row r="257" spans="1:38">
      <c r="A257" s="1" t="s">
        <v>560</v>
      </c>
      <c r="B257" s="1" t="s">
        <v>561</v>
      </c>
      <c r="C257" s="1" t="s">
        <v>48</v>
      </c>
      <c r="D257" s="1" t="s">
        <v>37</v>
      </c>
      <c r="E257" s="1" t="s">
        <v>38</v>
      </c>
      <c r="F257" s="1" t="s">
        <v>39</v>
      </c>
      <c r="G257">
        <v>100</v>
      </c>
      <c r="H257">
        <v>42.2</v>
      </c>
      <c r="I257">
        <v>26.4</v>
      </c>
      <c r="J257">
        <v>30.9</v>
      </c>
      <c r="K257">
        <v>3.4430000000000002E-2</v>
      </c>
      <c r="L257">
        <v>6.71</v>
      </c>
      <c r="M257">
        <v>20.48</v>
      </c>
      <c r="N257">
        <v>6</v>
      </c>
      <c r="O257">
        <v>4</v>
      </c>
      <c r="P257">
        <v>24</v>
      </c>
      <c r="Q257">
        <v>138.6</v>
      </c>
      <c r="R257">
        <v>186.04</v>
      </c>
      <c r="S257">
        <v>0.82632000000000005</v>
      </c>
      <c r="T257">
        <v>15</v>
      </c>
      <c r="U257">
        <v>776</v>
      </c>
      <c r="V257">
        <v>15892.48</v>
      </c>
      <c r="W257" s="1" t="s">
        <v>1262</v>
      </c>
      <c r="X257" s="1" t="s">
        <v>1262</v>
      </c>
      <c r="Y257">
        <v>0.17647058823529413</v>
      </c>
      <c r="Z257">
        <v>1.9019607843137252E-2</v>
      </c>
      <c r="AA257" s="1" t="s">
        <v>1263</v>
      </c>
      <c r="AB257">
        <v>0</v>
      </c>
      <c r="AC257">
        <v>0</v>
      </c>
      <c r="AD257" s="1">
        <v>7.8865979381443303</v>
      </c>
      <c r="AE257">
        <v>2</v>
      </c>
      <c r="AF257">
        <f>COUNTIFS(tblStock[sku],tblSKU[[#This Row],[sku]])</f>
        <v>1</v>
      </c>
      <c r="AG257" cm="1">
        <f t="array" ref="AG257">SUM(SUMIFS(tblStock[qty_units],tblStock[sku],tblSKU[[#This Row],[sku]],tblStock[stock_type],{"Saleable","FOC"}))</f>
        <v>1530</v>
      </c>
      <c r="AH257" s="3">
        <f>SUMIFS(tblStock[value_nzd],tblStock[sku],tblSKU[[#This Row],[sku]])</f>
        <v>31334.400000000001</v>
      </c>
      <c r="AI257" s="4">
        <f>SUMIFS(tblStock[cbm],tblStock[sku],tblSKU[[#This Row],[sku]])</f>
        <v>0.52677900000000011</v>
      </c>
      <c r="AJ257" s="1">
        <f>SUMIFS(tblStock[positions],tblStock[sku],tblSKU[[#This Row],[sku]])</f>
        <v>1</v>
      </c>
      <c r="AK257" s="3">
        <f>SUMIFS(tblStock[value_nzd],tblStock[sku],tblSKU[[#This Row],[sku]],tblStock[stock_type],"Expired")</f>
        <v>0</v>
      </c>
      <c r="AL257" s="3" cm="1">
        <f t="array" ref="AL257">SUM(SUMIFS(tblStock[value_nzd],tblStock[sku],tblSKU[[#This Row],[sku]],tblStock[stock_type],{"Saleable","FOC"},tblStock[expiry_date],"&lt;"&amp;EDATE(SnapshotDate,6)))</f>
        <v>0</v>
      </c>
    </row>
    <row r="258" spans="1:38">
      <c r="A258" s="1" t="s">
        <v>562</v>
      </c>
      <c r="B258" s="1" t="s">
        <v>563</v>
      </c>
      <c r="C258" s="1" t="s">
        <v>36</v>
      </c>
      <c r="D258" s="1" t="s">
        <v>37</v>
      </c>
      <c r="E258" s="1" t="s">
        <v>564</v>
      </c>
      <c r="F258" s="1" t="s">
        <v>39</v>
      </c>
      <c r="G258">
        <v>120</v>
      </c>
      <c r="H258">
        <v>52.1</v>
      </c>
      <c r="I258">
        <v>25.4</v>
      </c>
      <c r="J258">
        <v>21.1</v>
      </c>
      <c r="K258">
        <v>2.792E-2</v>
      </c>
      <c r="L258">
        <v>7.13</v>
      </c>
      <c r="M258">
        <v>21.25</v>
      </c>
      <c r="N258">
        <v>6</v>
      </c>
      <c r="O258">
        <v>5</v>
      </c>
      <c r="P258">
        <v>30</v>
      </c>
      <c r="Q258">
        <v>120.5</v>
      </c>
      <c r="R258">
        <v>238.9</v>
      </c>
      <c r="S258">
        <v>0.83760000000000001</v>
      </c>
      <c r="T258">
        <v>28</v>
      </c>
      <c r="U258">
        <v>2655</v>
      </c>
      <c r="V258">
        <v>56418.75</v>
      </c>
      <c r="W258" s="1" t="s">
        <v>1258</v>
      </c>
      <c r="X258" s="1" t="s">
        <v>1258</v>
      </c>
      <c r="Y258">
        <v>0.32941176470588235</v>
      </c>
      <c r="Z258">
        <v>4.3382352941176469E-2</v>
      </c>
      <c r="AA258" s="1" t="s">
        <v>1259</v>
      </c>
      <c r="AB258">
        <v>0</v>
      </c>
      <c r="AC258">
        <v>1</v>
      </c>
      <c r="AD258" s="1">
        <v>3.3280602636534842</v>
      </c>
      <c r="AE258">
        <v>4</v>
      </c>
      <c r="AF258">
        <f>COUNTIFS(tblStock[sku],tblSKU[[#This Row],[sku]])</f>
        <v>1</v>
      </c>
      <c r="AG258" cm="1">
        <f t="array" ref="AG258">SUM(SUMIFS(tblStock[qty_units],tblStock[sku],tblSKU[[#This Row],[sku]],tblStock[stock_type],{"Saleable","FOC"}))</f>
        <v>2209</v>
      </c>
      <c r="AH258" s="3">
        <f>SUMIFS(tblStock[value_nzd],tblStock[sku],tblSKU[[#This Row],[sku]])</f>
        <v>46941.25</v>
      </c>
      <c r="AI258" s="4">
        <f>SUMIFS(tblStock[cbm],tblStock[sku],tblSKU[[#This Row],[sku]])</f>
        <v>0.51396066666666673</v>
      </c>
      <c r="AJ258" s="1">
        <f>SUMIFS(tblStock[positions],tblStock[sku],tblSKU[[#This Row],[sku]])</f>
        <v>1</v>
      </c>
      <c r="AK258" s="3">
        <f>SUMIFS(tblStock[value_nzd],tblStock[sku],tblSKU[[#This Row],[sku]],tblStock[stock_type],"Expired")</f>
        <v>0</v>
      </c>
      <c r="AL258" s="3" cm="1">
        <f t="array" ref="AL258">SUM(SUMIFS(tblStock[value_nzd],tblStock[sku],tblSKU[[#This Row],[sku]],tblStock[stock_type],{"Saleable","FOC"},tblStock[expiry_date],"&lt;"&amp;EDATE(SnapshotDate,6)))</f>
        <v>0</v>
      </c>
    </row>
    <row r="259" spans="1:38">
      <c r="A259" s="1" t="s">
        <v>565</v>
      </c>
      <c r="B259" s="1" t="s">
        <v>566</v>
      </c>
      <c r="C259" s="1" t="s">
        <v>70</v>
      </c>
      <c r="D259" s="1" t="s">
        <v>37</v>
      </c>
      <c r="E259" s="1" t="s">
        <v>564</v>
      </c>
      <c r="F259" s="1" t="s">
        <v>39</v>
      </c>
      <c r="G259">
        <v>120</v>
      </c>
      <c r="H259">
        <v>37</v>
      </c>
      <c r="I259">
        <v>35.799999999999997</v>
      </c>
      <c r="J259">
        <v>29.1</v>
      </c>
      <c r="K259">
        <v>3.8550000000000001E-2</v>
      </c>
      <c r="L259">
        <v>8.86</v>
      </c>
      <c r="M259">
        <v>9.57</v>
      </c>
      <c r="N259">
        <v>6</v>
      </c>
      <c r="O259">
        <v>2</v>
      </c>
      <c r="P259">
        <v>12</v>
      </c>
      <c r="Q259">
        <v>73.2</v>
      </c>
      <c r="R259">
        <v>131.32</v>
      </c>
      <c r="S259">
        <v>0.46260000000000001</v>
      </c>
      <c r="T259">
        <v>23</v>
      </c>
      <c r="U259">
        <v>597</v>
      </c>
      <c r="V259">
        <v>5713.29</v>
      </c>
      <c r="W259" s="1" t="s">
        <v>1262</v>
      </c>
      <c r="X259" s="1" t="s">
        <v>1262</v>
      </c>
      <c r="Y259">
        <v>0.27058823529411763</v>
      </c>
      <c r="Z259">
        <v>2.4387254901960781E-2</v>
      </c>
      <c r="AA259" s="1" t="s">
        <v>1263</v>
      </c>
      <c r="AB259">
        <v>0</v>
      </c>
      <c r="AC259">
        <v>0</v>
      </c>
      <c r="AD259" s="1">
        <v>16.482412060301506</v>
      </c>
      <c r="AE259">
        <v>2</v>
      </c>
      <c r="AF259">
        <f>COUNTIFS(tblStock[sku],tblSKU[[#This Row],[sku]])</f>
        <v>1</v>
      </c>
      <c r="AG259" cm="1">
        <f t="array" ref="AG259">SUM(SUMIFS(tblStock[qty_units],tblStock[sku],tblSKU[[#This Row],[sku]],tblStock[stock_type],{"Saleable","FOC"}))</f>
        <v>2460</v>
      </c>
      <c r="AH259" s="3">
        <f>SUMIFS(tblStock[value_nzd],tblStock[sku],tblSKU[[#This Row],[sku]])</f>
        <v>23542.2</v>
      </c>
      <c r="AI259" s="4">
        <f>SUMIFS(tblStock[cbm],tblStock[sku],tblSKU[[#This Row],[sku]])</f>
        <v>0.79027500000000006</v>
      </c>
      <c r="AJ259" s="1">
        <f>SUMIFS(tblStock[positions],tblStock[sku],tblSKU[[#This Row],[sku]])</f>
        <v>2</v>
      </c>
      <c r="AK259" s="3">
        <f>SUMIFS(tblStock[value_nzd],tblStock[sku],tblSKU[[#This Row],[sku]],tblStock[stock_type],"Expired")</f>
        <v>0</v>
      </c>
      <c r="AL259" s="3" cm="1">
        <f t="array" ref="AL259">SUM(SUMIFS(tblStock[value_nzd],tblStock[sku],tblSKU[[#This Row],[sku]],tblStock[stock_type],{"Saleable","FOC"},tblStock[expiry_date],"&lt;"&amp;EDATE(SnapshotDate,6)))</f>
        <v>0</v>
      </c>
    </row>
    <row r="260" spans="1:38">
      <c r="A260" s="1" t="s">
        <v>567</v>
      </c>
      <c r="B260" s="1" t="s">
        <v>568</v>
      </c>
      <c r="C260" s="1" t="s">
        <v>36</v>
      </c>
      <c r="D260" s="1" t="s">
        <v>37</v>
      </c>
      <c r="E260" s="1" t="s">
        <v>564</v>
      </c>
      <c r="F260" s="1" t="s">
        <v>39</v>
      </c>
      <c r="G260">
        <v>100</v>
      </c>
      <c r="H260">
        <v>38.4</v>
      </c>
      <c r="I260">
        <v>30.6</v>
      </c>
      <c r="J260">
        <v>27.6</v>
      </c>
      <c r="K260">
        <v>3.243E-2</v>
      </c>
      <c r="L260">
        <v>5.37</v>
      </c>
      <c r="M260">
        <v>27.66</v>
      </c>
      <c r="N260">
        <v>9</v>
      </c>
      <c r="O260">
        <v>3</v>
      </c>
      <c r="P260">
        <v>27</v>
      </c>
      <c r="Q260">
        <v>97.800000000000011</v>
      </c>
      <c r="R260">
        <v>169.99</v>
      </c>
      <c r="S260">
        <v>0.87561</v>
      </c>
      <c r="T260">
        <v>34</v>
      </c>
      <c r="U260">
        <v>1425</v>
      </c>
      <c r="V260">
        <v>39415.5</v>
      </c>
      <c r="W260" s="1" t="s">
        <v>1258</v>
      </c>
      <c r="X260" s="1" t="s">
        <v>1258</v>
      </c>
      <c r="Y260">
        <v>0.4</v>
      </c>
      <c r="Z260">
        <v>3.1045751633986925E-2</v>
      </c>
      <c r="AA260" s="1" t="s">
        <v>1259</v>
      </c>
      <c r="AB260">
        <v>0</v>
      </c>
      <c r="AC260">
        <v>1</v>
      </c>
      <c r="AD260" s="1">
        <v>4.4294736842105262</v>
      </c>
      <c r="AE260">
        <v>4</v>
      </c>
      <c r="AF260">
        <f>COUNTIFS(tblStock[sku],tblSKU[[#This Row],[sku]])</f>
        <v>2</v>
      </c>
      <c r="AG260" cm="1">
        <f t="array" ref="AG260">SUM(SUMIFS(tblStock[qty_units],tblStock[sku],tblSKU[[#This Row],[sku]],tblStock[stock_type],{"Saleable","FOC"}))</f>
        <v>1578</v>
      </c>
      <c r="AH260" s="3">
        <f>SUMIFS(tblStock[value_nzd],tblStock[sku],tblSKU[[#This Row],[sku]])</f>
        <v>44947.5</v>
      </c>
      <c r="AI260" s="4">
        <f>SUMIFS(tblStock[cbm],tblStock[sku],tblSKU[[#This Row],[sku]])</f>
        <v>0.52698750000000005</v>
      </c>
      <c r="AJ260" s="1">
        <f>SUMIFS(tblStock[positions],tblStock[sku],tblSKU[[#This Row],[sku]])</f>
        <v>1</v>
      </c>
      <c r="AK260" s="3">
        <f>SUMIFS(tblStock[value_nzd],tblStock[sku],tblSKU[[#This Row],[sku]],tblStock[stock_type],"Expired")</f>
        <v>0</v>
      </c>
      <c r="AL260" s="3" cm="1">
        <f t="array" ref="AL260">SUM(SUMIFS(tblStock[value_nzd],tblStock[sku],tblSKU[[#This Row],[sku]],tblStock[stock_type],{"Saleable","FOC"},tblStock[expiry_date],"&lt;"&amp;EDATE(SnapshotDate,6)))</f>
        <v>43647.48</v>
      </c>
    </row>
    <row r="261" spans="1:38">
      <c r="A261" s="1" t="s">
        <v>569</v>
      </c>
      <c r="B261" s="1" t="s">
        <v>570</v>
      </c>
      <c r="C261" s="1" t="s">
        <v>43</v>
      </c>
      <c r="D261" s="1" t="s">
        <v>37</v>
      </c>
      <c r="E261" s="1" t="s">
        <v>564</v>
      </c>
      <c r="F261" s="1" t="s">
        <v>39</v>
      </c>
      <c r="G261">
        <v>60</v>
      </c>
      <c r="H261">
        <v>44.9</v>
      </c>
      <c r="I261">
        <v>39.200000000000003</v>
      </c>
      <c r="J261">
        <v>20.8</v>
      </c>
      <c r="K261">
        <v>3.6609999999999997E-2</v>
      </c>
      <c r="L261">
        <v>6.19</v>
      </c>
      <c r="M261">
        <v>10.6</v>
      </c>
      <c r="N261">
        <v>5</v>
      </c>
      <c r="O261">
        <v>7</v>
      </c>
      <c r="P261">
        <v>35</v>
      </c>
      <c r="Q261">
        <v>160.6</v>
      </c>
      <c r="R261">
        <v>241.65</v>
      </c>
      <c r="S261">
        <v>1.28135</v>
      </c>
      <c r="T261">
        <v>59</v>
      </c>
      <c r="U261">
        <v>4297</v>
      </c>
      <c r="V261">
        <v>45548.2</v>
      </c>
      <c r="W261" s="1" t="s">
        <v>1258</v>
      </c>
      <c r="X261" s="1" t="s">
        <v>1258</v>
      </c>
      <c r="Y261">
        <v>0.69411764705882351</v>
      </c>
      <c r="Z261">
        <v>0.12036414565826328</v>
      </c>
      <c r="AA261" s="1" t="s">
        <v>1259</v>
      </c>
      <c r="AB261">
        <v>0</v>
      </c>
      <c r="AC261">
        <v>1</v>
      </c>
      <c r="AD261" s="1">
        <v>5.1580172213171984</v>
      </c>
      <c r="AE261">
        <v>4</v>
      </c>
      <c r="AF261">
        <f>COUNTIFS(tblStock[sku],tblSKU[[#This Row],[sku]])</f>
        <v>2</v>
      </c>
      <c r="AG261" cm="1">
        <f t="array" ref="AG261">SUM(SUMIFS(tblStock[qty_units],tblStock[sku],tblSKU[[#This Row],[sku]],tblStock[stock_type],{"Saleable","FOC"}))</f>
        <v>5541</v>
      </c>
      <c r="AH261" s="3">
        <f>SUMIFS(tblStock[value_nzd],tblStock[sku],tblSKU[[#This Row],[sku]])</f>
        <v>59900.6</v>
      </c>
      <c r="AI261" s="4">
        <f>SUMIFS(tblStock[cbm],tblStock[sku],tblSKU[[#This Row],[sku]])</f>
        <v>3.4480518333333325</v>
      </c>
      <c r="AJ261" s="1">
        <f>SUMIFS(tblStock[positions],tblStock[sku],tblSKU[[#This Row],[sku]])</f>
        <v>3</v>
      </c>
      <c r="AK261" s="3">
        <f>SUMIFS(tblStock[value_nzd],tblStock[sku],tblSKU[[#This Row],[sku]],tblStock[stock_type],"Expired")</f>
        <v>0</v>
      </c>
      <c r="AL261" s="3" cm="1">
        <f t="array" ref="AL261">SUM(SUMIFS(tblStock[value_nzd],tblStock[sku],tblSKU[[#This Row],[sku]],tblStock[stock_type],{"Saleable","FOC"},tblStock[expiry_date],"&lt;"&amp;EDATE(SnapshotDate,6)))</f>
        <v>0</v>
      </c>
    </row>
    <row r="262" spans="1:38">
      <c r="A262" s="1" t="s">
        <v>571</v>
      </c>
      <c r="B262" s="1" t="s">
        <v>572</v>
      </c>
      <c r="C262" s="1" t="s">
        <v>36</v>
      </c>
      <c r="D262" s="1" t="s">
        <v>37</v>
      </c>
      <c r="E262" s="1" t="s">
        <v>564</v>
      </c>
      <c r="F262" s="1" t="s">
        <v>39</v>
      </c>
      <c r="G262">
        <v>100</v>
      </c>
      <c r="H262">
        <v>40.299999999999997</v>
      </c>
      <c r="I262">
        <v>36.299999999999997</v>
      </c>
      <c r="J262">
        <v>23.1</v>
      </c>
      <c r="K262">
        <v>3.3790000000000001E-2</v>
      </c>
      <c r="L262">
        <v>9.4499999999999993</v>
      </c>
      <c r="M262">
        <v>16.52</v>
      </c>
      <c r="N262">
        <v>6</v>
      </c>
      <c r="O262">
        <v>3</v>
      </c>
      <c r="P262">
        <v>18</v>
      </c>
      <c r="Q262">
        <v>84.300000000000011</v>
      </c>
      <c r="R262">
        <v>195.1</v>
      </c>
      <c r="S262">
        <v>0.60821999999999998</v>
      </c>
      <c r="T262">
        <v>8</v>
      </c>
      <c r="U262">
        <v>773</v>
      </c>
      <c r="V262">
        <v>12769.96</v>
      </c>
      <c r="W262" s="1" t="s">
        <v>1262</v>
      </c>
      <c r="X262" s="1" t="s">
        <v>1262</v>
      </c>
      <c r="Y262">
        <v>9.4117647058823528E-2</v>
      </c>
      <c r="Z262">
        <v>2.5261437908496734E-2</v>
      </c>
      <c r="AA262" s="1" t="s">
        <v>1263</v>
      </c>
      <c r="AB262">
        <v>0</v>
      </c>
      <c r="AC262">
        <v>0</v>
      </c>
      <c r="AD262" s="1">
        <v>9.1487710219922374</v>
      </c>
      <c r="AE262">
        <v>2</v>
      </c>
      <c r="AF262">
        <f>COUNTIFS(tblStock[sku],tblSKU[[#This Row],[sku]])</f>
        <v>1</v>
      </c>
      <c r="AG262" cm="1">
        <f t="array" ref="AG262">SUM(SUMIFS(tblStock[qty_units],tblStock[sku],tblSKU[[#This Row],[sku]],tblStock[stock_type],{"Saleable","FOC"}))</f>
        <v>1768</v>
      </c>
      <c r="AH262" s="3">
        <f>SUMIFS(tblStock[value_nzd],tblStock[sku],tblSKU[[#This Row],[sku]])</f>
        <v>29207.360000000001</v>
      </c>
      <c r="AI262" s="4">
        <f>SUMIFS(tblStock[cbm],tblStock[sku],tblSKU[[#This Row],[sku]])</f>
        <v>0.59740720000000003</v>
      </c>
      <c r="AJ262" s="1">
        <f>SUMIFS(tblStock[positions],tblStock[sku],tblSKU[[#This Row],[sku]])</f>
        <v>1</v>
      </c>
      <c r="AK262" s="3">
        <f>SUMIFS(tblStock[value_nzd],tblStock[sku],tblSKU[[#This Row],[sku]],tblStock[stock_type],"Expired")</f>
        <v>0</v>
      </c>
      <c r="AL262" s="3" cm="1">
        <f t="array" ref="AL262">SUM(SUMIFS(tblStock[value_nzd],tblStock[sku],tblSKU[[#This Row],[sku]],tblStock[stock_type],{"Saleable","FOC"},tblStock[expiry_date],"&lt;"&amp;EDATE(SnapshotDate,6)))</f>
        <v>0</v>
      </c>
    </row>
    <row r="263" spans="1:38">
      <c r="A263" s="1" t="s">
        <v>573</v>
      </c>
      <c r="B263" s="1" t="s">
        <v>574</v>
      </c>
      <c r="C263" s="1" t="s">
        <v>36</v>
      </c>
      <c r="D263" s="1" t="s">
        <v>37</v>
      </c>
      <c r="E263" s="1" t="s">
        <v>564</v>
      </c>
      <c r="F263" s="1" t="s">
        <v>39</v>
      </c>
      <c r="G263">
        <v>200</v>
      </c>
      <c r="H263">
        <v>43.5</v>
      </c>
      <c r="I263">
        <v>25.1</v>
      </c>
      <c r="J263">
        <v>26.4</v>
      </c>
      <c r="K263">
        <v>2.8819999999999998E-2</v>
      </c>
      <c r="L263">
        <v>4.5599999999999996</v>
      </c>
      <c r="M263">
        <v>4.54</v>
      </c>
      <c r="N263">
        <v>8</v>
      </c>
      <c r="O263">
        <v>3</v>
      </c>
      <c r="P263">
        <v>24</v>
      </c>
      <c r="Q263">
        <v>94.199999999999989</v>
      </c>
      <c r="R263">
        <v>134.44</v>
      </c>
      <c r="S263">
        <v>0.69167999999999996</v>
      </c>
      <c r="T263">
        <v>46</v>
      </c>
      <c r="U263">
        <v>3972</v>
      </c>
      <c r="V263">
        <v>18032.88</v>
      </c>
      <c r="W263" s="1" t="s">
        <v>1258</v>
      </c>
      <c r="X263" s="1" t="s">
        <v>1262</v>
      </c>
      <c r="Y263">
        <v>0.54117647058823526</v>
      </c>
      <c r="Z263">
        <v>4.8676470588235293E-2</v>
      </c>
      <c r="AA263" s="1" t="s">
        <v>1259</v>
      </c>
      <c r="AB263">
        <v>0</v>
      </c>
      <c r="AC263">
        <v>1</v>
      </c>
      <c r="AD263" s="1">
        <v>3.9506545820745216</v>
      </c>
      <c r="AE263">
        <v>2</v>
      </c>
      <c r="AF263">
        <f>COUNTIFS(tblStock[sku],tblSKU[[#This Row],[sku]])</f>
        <v>2</v>
      </c>
      <c r="AG263" cm="1">
        <f t="array" ref="AG263">SUM(SUMIFS(tblStock[qty_units],tblStock[sku],tblSKU[[#This Row],[sku]],tblStock[stock_type],{"Saleable","FOC"}))</f>
        <v>3923</v>
      </c>
      <c r="AH263" s="3">
        <f>SUMIFS(tblStock[value_nzd],tblStock[sku],tblSKU[[#This Row],[sku]])</f>
        <v>17810.420000000002</v>
      </c>
      <c r="AI263" s="4">
        <f>SUMIFS(tblStock[cbm],tblStock[sku],tblSKU[[#This Row],[sku]])</f>
        <v>0.56530429999999998</v>
      </c>
      <c r="AJ263" s="1">
        <f>SUMIFS(tblStock[positions],tblStock[sku],tblSKU[[#This Row],[sku]])</f>
        <v>1</v>
      </c>
      <c r="AK263" s="3">
        <f>SUMIFS(tblStock[value_nzd],tblStock[sku],tblSKU[[#This Row],[sku]],tblStock[stock_type],"Expired")</f>
        <v>0</v>
      </c>
      <c r="AL263" s="3" cm="1">
        <f t="array" ref="AL263">SUM(SUMIFS(tblStock[value_nzd],tblStock[sku],tblSKU[[#This Row],[sku]],tblStock[stock_type],{"Saleable","FOC"},tblStock[expiry_date],"&lt;"&amp;EDATE(SnapshotDate,6)))</f>
        <v>0</v>
      </c>
    </row>
    <row r="264" spans="1:38">
      <c r="A264" s="1" t="s">
        <v>575</v>
      </c>
      <c r="B264" s="1" t="s">
        <v>576</v>
      </c>
      <c r="C264" s="1" t="s">
        <v>577</v>
      </c>
      <c r="D264" s="1" t="s">
        <v>37</v>
      </c>
      <c r="E264" s="1" t="s">
        <v>564</v>
      </c>
      <c r="F264" s="1" t="s">
        <v>39</v>
      </c>
      <c r="G264">
        <v>60</v>
      </c>
      <c r="H264">
        <v>40.700000000000003</v>
      </c>
      <c r="I264">
        <v>33.5</v>
      </c>
      <c r="J264">
        <v>16.2</v>
      </c>
      <c r="K264">
        <v>2.2089999999999999E-2</v>
      </c>
      <c r="L264">
        <v>5.53</v>
      </c>
      <c r="M264">
        <v>20.66</v>
      </c>
      <c r="N264">
        <v>6</v>
      </c>
      <c r="O264">
        <v>5</v>
      </c>
      <c r="P264">
        <v>30</v>
      </c>
      <c r="Q264">
        <v>96</v>
      </c>
      <c r="R264">
        <v>190.9</v>
      </c>
      <c r="S264">
        <v>0.66269999999999996</v>
      </c>
      <c r="T264">
        <v>5</v>
      </c>
      <c r="U264">
        <v>27</v>
      </c>
      <c r="V264">
        <v>557.82000000000005</v>
      </c>
      <c r="W264" s="1" t="s">
        <v>1262</v>
      </c>
      <c r="X264" s="1" t="s">
        <v>1262</v>
      </c>
      <c r="Y264">
        <v>5.8823529411764705E-2</v>
      </c>
      <c r="Z264">
        <v>8.8235294117647062E-4</v>
      </c>
      <c r="AA264" s="1" t="s">
        <v>1263</v>
      </c>
      <c r="AB264">
        <v>0</v>
      </c>
      <c r="AC264">
        <v>0</v>
      </c>
      <c r="AD264" s="1">
        <v>24.74074074074074</v>
      </c>
      <c r="AE264">
        <v>2</v>
      </c>
      <c r="AF264">
        <f>COUNTIFS(tblStock[sku],tblSKU[[#This Row],[sku]])</f>
        <v>3</v>
      </c>
      <c r="AG264" cm="1">
        <f t="array" ref="AG264">SUM(SUMIFS(tblStock[qty_units],tblStock[sku],tblSKU[[#This Row],[sku]],tblStock[stock_type],{"Saleable","FOC"}))</f>
        <v>167</v>
      </c>
      <c r="AH264" s="3">
        <f>SUMIFS(tblStock[value_nzd],tblStock[sku],tblSKU[[#This Row],[sku]])</f>
        <v>3450.2200000000003</v>
      </c>
      <c r="AI264" s="4">
        <f>SUMIFS(tblStock[cbm],tblStock[sku],tblSKU[[#This Row],[sku]])</f>
        <v>6.1483833333333328E-2</v>
      </c>
      <c r="AJ264" s="1">
        <f>SUMIFS(tblStock[positions],tblStock[sku],tblSKU[[#This Row],[sku]])</f>
        <v>0</v>
      </c>
      <c r="AK264" s="3">
        <f>SUMIFS(tblStock[value_nzd],tblStock[sku],tblSKU[[#This Row],[sku]],tblStock[stock_type],"Expired")</f>
        <v>0</v>
      </c>
      <c r="AL264" s="3" cm="1">
        <f t="array" ref="AL264">SUM(SUMIFS(tblStock[value_nzd],tblStock[sku],tblSKU[[#This Row],[sku]],tblStock[stock_type],{"Saleable","FOC"},tblStock[expiry_date],"&lt;"&amp;EDATE(SnapshotDate,6)))</f>
        <v>0</v>
      </c>
    </row>
    <row r="265" spans="1:38">
      <c r="A265" s="1" t="s">
        <v>578</v>
      </c>
      <c r="B265" s="1" t="s">
        <v>579</v>
      </c>
      <c r="C265" s="1" t="s">
        <v>36</v>
      </c>
      <c r="D265" s="1" t="s">
        <v>37</v>
      </c>
      <c r="E265" s="1" t="s">
        <v>564</v>
      </c>
      <c r="F265" s="1" t="s">
        <v>39</v>
      </c>
      <c r="G265">
        <v>60</v>
      </c>
      <c r="H265">
        <v>51.2</v>
      </c>
      <c r="I265">
        <v>38.6</v>
      </c>
      <c r="J265">
        <v>29.8</v>
      </c>
      <c r="K265">
        <v>5.8889999999999998E-2</v>
      </c>
      <c r="L265">
        <v>8.3699999999999992</v>
      </c>
      <c r="M265">
        <v>15.79</v>
      </c>
      <c r="N265">
        <v>4</v>
      </c>
      <c r="O265">
        <v>2</v>
      </c>
      <c r="P265">
        <v>8</v>
      </c>
      <c r="Q265">
        <v>74.599999999999994</v>
      </c>
      <c r="R265">
        <v>91.96</v>
      </c>
      <c r="S265">
        <v>0.47111999999999998</v>
      </c>
      <c r="T265">
        <v>18</v>
      </c>
      <c r="U265">
        <v>1011</v>
      </c>
      <c r="V265">
        <v>15963.689999999999</v>
      </c>
      <c r="W265" s="1" t="s">
        <v>1262</v>
      </c>
      <c r="X265" s="1" t="s">
        <v>1262</v>
      </c>
      <c r="Y265">
        <v>0.21176470588235294</v>
      </c>
      <c r="Z265">
        <v>0.12389705882352942</v>
      </c>
      <c r="AA265" s="1" t="s">
        <v>1263</v>
      </c>
      <c r="AB265">
        <v>0</v>
      </c>
      <c r="AC265">
        <v>0</v>
      </c>
      <c r="AD265" s="1">
        <v>7.5964391691394662</v>
      </c>
      <c r="AE265">
        <v>2</v>
      </c>
      <c r="AF265">
        <f>COUNTIFS(tblStock[sku],tblSKU[[#This Row],[sku]])</f>
        <v>2</v>
      </c>
      <c r="AG265" cm="1">
        <f t="array" ref="AG265">SUM(SUMIFS(tblStock[qty_units],tblStock[sku],tblSKU[[#This Row],[sku]],tblStock[stock_type],{"Saleable","FOC"}))</f>
        <v>1920</v>
      </c>
      <c r="AH265" s="3">
        <f>SUMIFS(tblStock[value_nzd],tblStock[sku],tblSKU[[#This Row],[sku]])</f>
        <v>30316.799999999999</v>
      </c>
      <c r="AI265" s="4">
        <f>SUMIFS(tblStock[cbm],tblStock[sku],tblSKU[[#This Row],[sku]])</f>
        <v>1.8844799999999999</v>
      </c>
      <c r="AJ265" s="1">
        <f>SUMIFS(tblStock[positions],tblStock[sku],tblSKU[[#This Row],[sku]])</f>
        <v>5</v>
      </c>
      <c r="AK265" s="3">
        <f>SUMIFS(tblStock[value_nzd],tblStock[sku],tblSKU[[#This Row],[sku]],tblStock[stock_type],"Expired")</f>
        <v>0</v>
      </c>
      <c r="AL265" s="3" cm="1">
        <f t="array" ref="AL265">SUM(SUMIFS(tblStock[value_nzd],tblStock[sku],tblSKU[[#This Row],[sku]],tblStock[stock_type],{"Saleable","FOC"},tblStock[expiry_date],"&lt;"&amp;EDATE(SnapshotDate,6)))</f>
        <v>0</v>
      </c>
    </row>
    <row r="266" spans="1:38">
      <c r="A266" s="1" t="s">
        <v>580</v>
      </c>
      <c r="B266" s="1" t="s">
        <v>581</v>
      </c>
      <c r="C266" s="1" t="s">
        <v>43</v>
      </c>
      <c r="D266" s="1" t="s">
        <v>37</v>
      </c>
      <c r="E266" s="1" t="s">
        <v>564</v>
      </c>
      <c r="F266" s="1" t="s">
        <v>39</v>
      </c>
      <c r="G266">
        <v>200</v>
      </c>
      <c r="H266">
        <v>37</v>
      </c>
      <c r="I266">
        <v>25.9</v>
      </c>
      <c r="J266">
        <v>24.3</v>
      </c>
      <c r="K266">
        <v>2.3290000000000002E-2</v>
      </c>
      <c r="L266">
        <v>4.62</v>
      </c>
      <c r="M266">
        <v>20.7</v>
      </c>
      <c r="N266">
        <v>9</v>
      </c>
      <c r="O266">
        <v>5</v>
      </c>
      <c r="P266">
        <v>45</v>
      </c>
      <c r="Q266">
        <v>136.5</v>
      </c>
      <c r="R266">
        <v>232.9</v>
      </c>
      <c r="S266">
        <v>1.0480500000000001</v>
      </c>
      <c r="T266">
        <v>4</v>
      </c>
      <c r="U266">
        <v>907</v>
      </c>
      <c r="V266">
        <v>18774.899999999998</v>
      </c>
      <c r="W266" s="1" t="s">
        <v>1262</v>
      </c>
      <c r="X266" s="1" t="s">
        <v>1262</v>
      </c>
      <c r="Y266">
        <v>4.7058823529411764E-2</v>
      </c>
      <c r="Z266">
        <v>5.9281045751633987E-3</v>
      </c>
      <c r="AA266" s="1" t="s">
        <v>1263</v>
      </c>
      <c r="AB266">
        <v>0</v>
      </c>
      <c r="AC266">
        <v>0</v>
      </c>
      <c r="AD266" s="1">
        <v>7.1091510474090409</v>
      </c>
      <c r="AE266">
        <v>2</v>
      </c>
      <c r="AF266">
        <f>COUNTIFS(tblStock[sku],tblSKU[[#This Row],[sku]])</f>
        <v>3</v>
      </c>
      <c r="AG266" cm="1">
        <f t="array" ref="AG266">SUM(SUMIFS(tblStock[qty_units],tblStock[sku],tblSKU[[#This Row],[sku]],tblStock[stock_type],{"Saleable","FOC"}))</f>
        <v>1612</v>
      </c>
      <c r="AH266" s="3">
        <f>SUMIFS(tblStock[value_nzd],tblStock[sku],tblSKU[[#This Row],[sku]])</f>
        <v>33368.399999999994</v>
      </c>
      <c r="AI266" s="4">
        <f>SUMIFS(tblStock[cbm],tblStock[sku],tblSKU[[#This Row],[sku]])</f>
        <v>0.18771740000000001</v>
      </c>
      <c r="AJ266" s="1">
        <f>SUMIFS(tblStock[positions],tblStock[sku],tblSKU[[#This Row],[sku]])</f>
        <v>0</v>
      </c>
      <c r="AK266" s="3">
        <f>SUMIFS(tblStock[value_nzd],tblStock[sku],tblSKU[[#This Row],[sku]],tblStock[stock_type],"Expired")</f>
        <v>0</v>
      </c>
      <c r="AL266" s="3" cm="1">
        <f t="array" ref="AL266">SUM(SUMIFS(tblStock[value_nzd],tblStock[sku],tblSKU[[#This Row],[sku]],tblStock[stock_type],{"Saleable","FOC"},tblStock[expiry_date],"&lt;"&amp;EDATE(SnapshotDate,6)))</f>
        <v>0</v>
      </c>
    </row>
    <row r="267" spans="1:38">
      <c r="A267" s="1" t="s">
        <v>582</v>
      </c>
      <c r="B267" s="1" t="s">
        <v>583</v>
      </c>
      <c r="C267" s="1" t="s">
        <v>43</v>
      </c>
      <c r="D267" s="1" t="s">
        <v>37</v>
      </c>
      <c r="E267" s="1" t="s">
        <v>564</v>
      </c>
      <c r="F267" s="1" t="s">
        <v>39</v>
      </c>
      <c r="G267">
        <v>200</v>
      </c>
      <c r="H267">
        <v>30.2</v>
      </c>
      <c r="I267">
        <v>30.3</v>
      </c>
      <c r="J267">
        <v>16.7</v>
      </c>
      <c r="K267">
        <v>1.528E-2</v>
      </c>
      <c r="L267">
        <v>3.19</v>
      </c>
      <c r="M267">
        <v>23.99</v>
      </c>
      <c r="N267">
        <v>9</v>
      </c>
      <c r="O267">
        <v>6</v>
      </c>
      <c r="P267">
        <v>54</v>
      </c>
      <c r="Q267">
        <v>115.19999999999999</v>
      </c>
      <c r="R267">
        <v>197.26</v>
      </c>
      <c r="S267">
        <v>0.82511999999999996</v>
      </c>
      <c r="T267">
        <v>369</v>
      </c>
      <c r="U267">
        <v>43101</v>
      </c>
      <c r="V267">
        <v>1033992.99</v>
      </c>
      <c r="W267" s="1" t="s">
        <v>1264</v>
      </c>
      <c r="X267" s="1" t="s">
        <v>1264</v>
      </c>
      <c r="Y267">
        <v>4.341176470588235</v>
      </c>
      <c r="Z267">
        <v>0.2347549019607843</v>
      </c>
      <c r="AA267" s="1" t="s">
        <v>1265</v>
      </c>
      <c r="AB267">
        <v>1</v>
      </c>
      <c r="AC267">
        <v>0</v>
      </c>
      <c r="AD267" s="1">
        <v>6.6436509593744928</v>
      </c>
      <c r="AE267">
        <v>12</v>
      </c>
      <c r="AF267">
        <f>COUNTIFS(tblStock[sku],tblSKU[[#This Row],[sku]])</f>
        <v>1</v>
      </c>
      <c r="AG267" cm="1">
        <f t="array" ref="AG267">SUM(SUMIFS(tblStock[qty_units],tblStock[sku],tblSKU[[#This Row],[sku]],tblStock[stock_type],{"Saleable","FOC"}))</f>
        <v>71587</v>
      </c>
      <c r="AH267" s="3">
        <f>SUMIFS(tblStock[value_nzd],tblStock[sku],tblSKU[[#This Row],[sku]])</f>
        <v>1717372.13</v>
      </c>
      <c r="AI267" s="4">
        <f>SUMIFS(tblStock[cbm],tblStock[sku],tblSKU[[#This Row],[sku]])</f>
        <v>5.4692468000000005</v>
      </c>
      <c r="AJ267" s="1">
        <f>SUMIFS(tblStock[positions],tblStock[sku],tblSKU[[#This Row],[sku]])</f>
        <v>7</v>
      </c>
      <c r="AK267" s="3">
        <f>SUMIFS(tblStock[value_nzd],tblStock[sku],tblSKU[[#This Row],[sku]],tblStock[stock_type],"Expired")</f>
        <v>0</v>
      </c>
      <c r="AL267" s="3" cm="1">
        <f t="array" ref="AL267">SUM(SUMIFS(tblStock[value_nzd],tblStock[sku],tblSKU[[#This Row],[sku]],tblStock[stock_type],{"Saleable","FOC"},tblStock[expiry_date],"&lt;"&amp;EDATE(SnapshotDate,6)))</f>
        <v>0</v>
      </c>
    </row>
    <row r="268" spans="1:38">
      <c r="A268" s="1" t="s">
        <v>584</v>
      </c>
      <c r="B268" s="1" t="s">
        <v>585</v>
      </c>
      <c r="C268" s="1" t="s">
        <v>36</v>
      </c>
      <c r="D268" s="1" t="s">
        <v>37</v>
      </c>
      <c r="E268" s="1" t="s">
        <v>564</v>
      </c>
      <c r="F268" s="1" t="s">
        <v>39</v>
      </c>
      <c r="G268">
        <v>120</v>
      </c>
      <c r="H268">
        <v>48.3</v>
      </c>
      <c r="I268">
        <v>39.799999999999997</v>
      </c>
      <c r="J268">
        <v>28.5</v>
      </c>
      <c r="K268">
        <v>5.4789999999999998E-2</v>
      </c>
      <c r="L268">
        <v>7.81</v>
      </c>
      <c r="M268">
        <v>23.66</v>
      </c>
      <c r="N268">
        <v>6</v>
      </c>
      <c r="O268">
        <v>3</v>
      </c>
      <c r="P268">
        <v>18</v>
      </c>
      <c r="Q268">
        <v>100.5</v>
      </c>
      <c r="R268">
        <v>165.57999999999998</v>
      </c>
      <c r="S268">
        <v>0.98621999999999999</v>
      </c>
      <c r="T268">
        <v>0</v>
      </c>
      <c r="U268">
        <v>0</v>
      </c>
      <c r="V268">
        <v>0</v>
      </c>
      <c r="W268" s="1" t="s">
        <v>1260</v>
      </c>
      <c r="X268" s="1" t="s">
        <v>1260</v>
      </c>
      <c r="Y268">
        <v>0</v>
      </c>
      <c r="Z268">
        <v>0</v>
      </c>
      <c r="AA268" s="1" t="s">
        <v>1261</v>
      </c>
      <c r="AB268">
        <v>0</v>
      </c>
      <c r="AC268">
        <v>0</v>
      </c>
      <c r="AD268" s="1"/>
      <c r="AE268">
        <v>1</v>
      </c>
      <c r="AF268">
        <f>COUNTIFS(tblStock[sku],tblSKU[[#This Row],[sku]])</f>
        <v>3</v>
      </c>
      <c r="AG268" cm="1">
        <f t="array" ref="AG268">SUM(SUMIFS(tblStock[qty_units],tblStock[sku],tblSKU[[#This Row],[sku]],tblStock[stock_type],{"Saleable","FOC"}))</f>
        <v>118</v>
      </c>
      <c r="AH268" s="3">
        <f>SUMIFS(tblStock[value_nzd],tblStock[sku],tblSKU[[#This Row],[sku]])</f>
        <v>2791.88</v>
      </c>
      <c r="AI268" s="4">
        <f>SUMIFS(tblStock[cbm],tblStock[sku],tblSKU[[#This Row],[sku]])</f>
        <v>5.3876833333333332E-2</v>
      </c>
      <c r="AJ268" s="1">
        <f>SUMIFS(tblStock[positions],tblStock[sku],tblSKU[[#This Row],[sku]])</f>
        <v>0</v>
      </c>
      <c r="AK268" s="3">
        <f>SUMIFS(tblStock[value_nzd],tblStock[sku],tblSKU[[#This Row],[sku]],tblStock[stock_type],"Expired")</f>
        <v>0</v>
      </c>
      <c r="AL268" s="3" cm="1">
        <f t="array" ref="AL268">SUM(SUMIFS(tblStock[value_nzd],tblStock[sku],tblSKU[[#This Row],[sku]],tblStock[stock_type],{"Saleable","FOC"},tblStock[expiry_date],"&lt;"&amp;EDATE(SnapshotDate,6)))</f>
        <v>0</v>
      </c>
    </row>
    <row r="269" spans="1:38">
      <c r="A269" s="1" t="s">
        <v>586</v>
      </c>
      <c r="B269" s="1" t="s">
        <v>587</v>
      </c>
      <c r="C269" s="1" t="s">
        <v>577</v>
      </c>
      <c r="D269" s="1" t="s">
        <v>37</v>
      </c>
      <c r="E269" s="1" t="s">
        <v>564</v>
      </c>
      <c r="F269" s="1" t="s">
        <v>39</v>
      </c>
      <c r="G269">
        <v>120</v>
      </c>
      <c r="H269">
        <v>45.4</v>
      </c>
      <c r="I269">
        <v>39</v>
      </c>
      <c r="J269">
        <v>17.8</v>
      </c>
      <c r="K269">
        <v>3.1519999999999999E-2</v>
      </c>
      <c r="L269">
        <v>4.7</v>
      </c>
      <c r="M269">
        <v>20.09</v>
      </c>
      <c r="N269">
        <v>6</v>
      </c>
      <c r="O269">
        <v>6</v>
      </c>
      <c r="P269">
        <v>36</v>
      </c>
      <c r="Q269">
        <v>121.80000000000001</v>
      </c>
      <c r="R269">
        <v>194.20000000000002</v>
      </c>
      <c r="S269">
        <v>1.13472</v>
      </c>
      <c r="T269">
        <v>15</v>
      </c>
      <c r="U269">
        <v>1345</v>
      </c>
      <c r="V269">
        <v>27021.05</v>
      </c>
      <c r="W269" s="1" t="s">
        <v>1262</v>
      </c>
      <c r="X269" s="1" t="s">
        <v>1262</v>
      </c>
      <c r="Y269">
        <v>0.17647058823529413</v>
      </c>
      <c r="Z269">
        <v>1.8314270152505446E-2</v>
      </c>
      <c r="AA269" s="1" t="s">
        <v>1263</v>
      </c>
      <c r="AB269">
        <v>0</v>
      </c>
      <c r="AC269">
        <v>0</v>
      </c>
      <c r="AD269" s="1">
        <v>4.5055762081784385</v>
      </c>
      <c r="AE269">
        <v>2</v>
      </c>
      <c r="AF269">
        <f>COUNTIFS(tblStock[sku],tblSKU[[#This Row],[sku]])</f>
        <v>1</v>
      </c>
      <c r="AG269" cm="1">
        <f t="array" ref="AG269">SUM(SUMIFS(tblStock[qty_units],tblStock[sku],tblSKU[[#This Row],[sku]],tblStock[stock_type],{"Saleable","FOC"}))</f>
        <v>1515</v>
      </c>
      <c r="AH269" s="3">
        <f>SUMIFS(tblStock[value_nzd],tblStock[sku],tblSKU[[#This Row],[sku]])</f>
        <v>30436.35</v>
      </c>
      <c r="AI269" s="4">
        <f>SUMIFS(tblStock[cbm],tblStock[sku],tblSKU[[#This Row],[sku]])</f>
        <v>0.39794000000000002</v>
      </c>
      <c r="AJ269" s="1">
        <f>SUMIFS(tblStock[positions],tblStock[sku],tblSKU[[#This Row],[sku]])</f>
        <v>1</v>
      </c>
      <c r="AK269" s="3">
        <f>SUMIFS(tblStock[value_nzd],tblStock[sku],tblSKU[[#This Row],[sku]],tblStock[stock_type],"Expired")</f>
        <v>0</v>
      </c>
      <c r="AL269" s="3" cm="1">
        <f t="array" ref="AL269">SUM(SUMIFS(tblStock[value_nzd],tblStock[sku],tblSKU[[#This Row],[sku]],tblStock[stock_type],{"Saleable","FOC"},tblStock[expiry_date],"&lt;"&amp;EDATE(SnapshotDate,6)))</f>
        <v>0</v>
      </c>
    </row>
    <row r="270" spans="1:38">
      <c r="A270" s="1" t="s">
        <v>588</v>
      </c>
      <c r="B270" s="1" t="s">
        <v>589</v>
      </c>
      <c r="C270" s="1" t="s">
        <v>43</v>
      </c>
      <c r="D270" s="1" t="s">
        <v>37</v>
      </c>
      <c r="E270" s="1" t="s">
        <v>564</v>
      </c>
      <c r="F270" s="1" t="s">
        <v>39</v>
      </c>
      <c r="G270">
        <v>100</v>
      </c>
      <c r="H270">
        <v>38.1</v>
      </c>
      <c r="I270">
        <v>33</v>
      </c>
      <c r="J270">
        <v>20.7</v>
      </c>
      <c r="K270">
        <v>2.6030000000000001E-2</v>
      </c>
      <c r="L270">
        <v>4.6900000000000004</v>
      </c>
      <c r="M270">
        <v>12.02</v>
      </c>
      <c r="N270">
        <v>9</v>
      </c>
      <c r="O270">
        <v>5</v>
      </c>
      <c r="P270">
        <v>45</v>
      </c>
      <c r="Q270">
        <v>118.5</v>
      </c>
      <c r="R270">
        <v>236.05</v>
      </c>
      <c r="S270">
        <v>1.1713500000000001</v>
      </c>
      <c r="T270">
        <v>2</v>
      </c>
      <c r="U270">
        <v>78</v>
      </c>
      <c r="V270">
        <v>937.56</v>
      </c>
      <c r="W270" s="1" t="s">
        <v>1262</v>
      </c>
      <c r="X270" s="1" t="s">
        <v>1262</v>
      </c>
      <c r="Y270">
        <v>2.3529411764705882E-2</v>
      </c>
      <c r="Z270">
        <v>1.019607843137255E-3</v>
      </c>
      <c r="AA270" s="1" t="s">
        <v>1263</v>
      </c>
      <c r="AB270">
        <v>0</v>
      </c>
      <c r="AC270">
        <v>0</v>
      </c>
      <c r="AD270" s="1">
        <v>8.615384615384615</v>
      </c>
      <c r="AE270">
        <v>2</v>
      </c>
      <c r="AF270">
        <f>COUNTIFS(tblStock[sku],tblSKU[[#This Row],[sku]])</f>
        <v>3</v>
      </c>
      <c r="AG270" cm="1">
        <f t="array" ref="AG270">SUM(SUMIFS(tblStock[qty_units],tblStock[sku],tblSKU[[#This Row],[sku]],tblStock[stock_type],{"Saleable","FOC"}))</f>
        <v>168</v>
      </c>
      <c r="AH270" s="3">
        <f>SUMIFS(tblStock[value_nzd],tblStock[sku],tblSKU[[#This Row],[sku]])</f>
        <v>2079.46</v>
      </c>
      <c r="AI270" s="4">
        <f>SUMIFS(tblStock[cbm],tblStock[sku],tblSKU[[#This Row],[sku]])</f>
        <v>4.50319E-2</v>
      </c>
      <c r="AJ270" s="1">
        <f>SUMIFS(tblStock[positions],tblStock[sku],tblSKU[[#This Row],[sku]])</f>
        <v>0</v>
      </c>
      <c r="AK270" s="3">
        <f>SUMIFS(tblStock[value_nzd],tblStock[sku],tblSKU[[#This Row],[sku]],tblStock[stock_type],"Expired")</f>
        <v>0</v>
      </c>
      <c r="AL270" s="3" cm="1">
        <f t="array" ref="AL270">SUM(SUMIFS(tblStock[value_nzd],tblStock[sku],tblSKU[[#This Row],[sku]],tblStock[stock_type],{"Saleable","FOC"},tblStock[expiry_date],"&lt;"&amp;EDATE(SnapshotDate,6)))</f>
        <v>1863.1</v>
      </c>
    </row>
    <row r="271" spans="1:38">
      <c r="A271" s="1" t="s">
        <v>590</v>
      </c>
      <c r="B271" s="1" t="s">
        <v>591</v>
      </c>
      <c r="C271" s="1" t="s">
        <v>577</v>
      </c>
      <c r="D271" s="1" t="s">
        <v>37</v>
      </c>
      <c r="E271" s="1" t="s">
        <v>564</v>
      </c>
      <c r="F271" s="1" t="s">
        <v>39</v>
      </c>
      <c r="G271">
        <v>200</v>
      </c>
      <c r="H271">
        <v>49.1</v>
      </c>
      <c r="I271">
        <v>31.8</v>
      </c>
      <c r="J271">
        <v>25.5</v>
      </c>
      <c r="K271">
        <v>3.9820000000000001E-2</v>
      </c>
      <c r="L271">
        <v>8.91</v>
      </c>
      <c r="M271">
        <v>24.28</v>
      </c>
      <c r="N271">
        <v>6</v>
      </c>
      <c r="O271">
        <v>5</v>
      </c>
      <c r="P271">
        <v>30</v>
      </c>
      <c r="Q271">
        <v>142.5</v>
      </c>
      <c r="R271">
        <v>292.3</v>
      </c>
      <c r="S271">
        <v>1.1946000000000001</v>
      </c>
      <c r="T271">
        <v>64</v>
      </c>
      <c r="U271">
        <v>9133</v>
      </c>
      <c r="V271">
        <v>221749.24000000002</v>
      </c>
      <c r="W271" s="1" t="s">
        <v>1258</v>
      </c>
      <c r="X271" s="1" t="s">
        <v>1264</v>
      </c>
      <c r="Y271">
        <v>0.75294117647058822</v>
      </c>
      <c r="Z271">
        <v>8.9539215686274501E-2</v>
      </c>
      <c r="AA271" s="1" t="s">
        <v>1259</v>
      </c>
      <c r="AB271">
        <v>0</v>
      </c>
      <c r="AC271">
        <v>1</v>
      </c>
      <c r="AD271" s="1">
        <v>3.1661009525895105</v>
      </c>
      <c r="AE271">
        <v>12</v>
      </c>
      <c r="AF271">
        <f>COUNTIFS(tblStock[sku],tblSKU[[#This Row],[sku]])</f>
        <v>5</v>
      </c>
      <c r="AG271" cm="1">
        <f t="array" ref="AG271">SUM(SUMIFS(tblStock[qty_units],tblStock[sku],tblSKU[[#This Row],[sku]],tblStock[stock_type],{"Saleable","FOC"}))</f>
        <v>7229</v>
      </c>
      <c r="AH271" s="3">
        <f>SUMIFS(tblStock[value_nzd],tblStock[sku],tblSKU[[#This Row],[sku]])</f>
        <v>189553.96</v>
      </c>
      <c r="AI271" s="4">
        <f>SUMIFS(tblStock[cbm],tblStock[sku],tblSKU[[#This Row],[sku]])</f>
        <v>1.5543737</v>
      </c>
      <c r="AJ271" s="1">
        <f>SUMIFS(tblStock[positions],tblStock[sku],tblSKU[[#This Row],[sku]])</f>
        <v>2</v>
      </c>
      <c r="AK271" s="3">
        <f>SUMIFS(tblStock[value_nzd],tblStock[sku],tblSKU[[#This Row],[sku]],tblStock[stock_type],"Expired")</f>
        <v>14033.84</v>
      </c>
      <c r="AL271" s="3" cm="1">
        <f t="array" ref="AL271">SUM(SUMIFS(tblStock[value_nzd],tblStock[sku],tblSKU[[#This Row],[sku]],tblStock[stock_type],{"Saleable","FOC"},tblStock[expiry_date],"&lt;"&amp;EDATE(SnapshotDate,6)))</f>
        <v>0</v>
      </c>
    </row>
    <row r="272" spans="1:38">
      <c r="A272" s="1" t="s">
        <v>592</v>
      </c>
      <c r="B272" s="1" t="s">
        <v>593</v>
      </c>
      <c r="C272" s="1" t="s">
        <v>70</v>
      </c>
      <c r="D272" s="1" t="s">
        <v>37</v>
      </c>
      <c r="E272" s="1" t="s">
        <v>564</v>
      </c>
      <c r="F272" s="1" t="s">
        <v>39</v>
      </c>
      <c r="G272">
        <v>60</v>
      </c>
      <c r="H272">
        <v>34.6</v>
      </c>
      <c r="I272">
        <v>37.6</v>
      </c>
      <c r="J272">
        <v>18.7</v>
      </c>
      <c r="K272">
        <v>2.4330000000000001E-2</v>
      </c>
      <c r="L272">
        <v>6.22</v>
      </c>
      <c r="M272">
        <v>19.05</v>
      </c>
      <c r="N272">
        <v>6</v>
      </c>
      <c r="O272">
        <v>3</v>
      </c>
      <c r="P272">
        <v>18</v>
      </c>
      <c r="Q272">
        <v>71.099999999999994</v>
      </c>
      <c r="R272">
        <v>136.95999999999998</v>
      </c>
      <c r="S272">
        <v>0.43794</v>
      </c>
      <c r="T272">
        <v>61</v>
      </c>
      <c r="U272">
        <v>2812</v>
      </c>
      <c r="V272">
        <v>53568.6</v>
      </c>
      <c r="W272" s="1" t="s">
        <v>1258</v>
      </c>
      <c r="X272" s="1" t="s">
        <v>1258</v>
      </c>
      <c r="Y272">
        <v>0.71764705882352942</v>
      </c>
      <c r="Z272">
        <v>0.1531590413943355</v>
      </c>
      <c r="AA272" s="1" t="s">
        <v>1259</v>
      </c>
      <c r="AB272">
        <v>0</v>
      </c>
      <c r="AC272">
        <v>1</v>
      </c>
      <c r="AD272" s="1">
        <v>3.9559032716927454</v>
      </c>
      <c r="AE272">
        <v>4</v>
      </c>
      <c r="AF272">
        <f>COUNTIFS(tblStock[sku],tblSKU[[#This Row],[sku]])</f>
        <v>2</v>
      </c>
      <c r="AG272" cm="1">
        <f t="array" ref="AG272">SUM(SUMIFS(tblStock[qty_units],tblStock[sku],tblSKU[[#This Row],[sku]],tblStock[stock_type],{"Saleable","FOC"}))</f>
        <v>2781</v>
      </c>
      <c r="AH272" s="3">
        <f>SUMIFS(tblStock[value_nzd],tblStock[sku],tblSKU[[#This Row],[sku]])</f>
        <v>52978.05</v>
      </c>
      <c r="AI272" s="4">
        <f>SUMIFS(tblStock[cbm],tblStock[sku],tblSKU[[#This Row],[sku]])</f>
        <v>1.1276955</v>
      </c>
      <c r="AJ272" s="1">
        <f>SUMIFS(tblStock[positions],tblStock[sku],tblSKU[[#This Row],[sku]])</f>
        <v>3</v>
      </c>
      <c r="AK272" s="3">
        <f>SUMIFS(tblStock[value_nzd],tblStock[sku],tblSKU[[#This Row],[sku]],tblStock[stock_type],"Expired")</f>
        <v>0</v>
      </c>
      <c r="AL272" s="3" cm="1">
        <f t="array" ref="AL272">SUM(SUMIFS(tblStock[value_nzd],tblStock[sku],tblSKU[[#This Row],[sku]],tblStock[stock_type],{"Saleable","FOC"},tblStock[expiry_date],"&lt;"&amp;EDATE(SnapshotDate,6)))</f>
        <v>4972.05</v>
      </c>
    </row>
    <row r="273" spans="1:38">
      <c r="A273" s="1" t="s">
        <v>594</v>
      </c>
      <c r="B273" s="1" t="s">
        <v>595</v>
      </c>
      <c r="C273" s="1" t="s">
        <v>43</v>
      </c>
      <c r="D273" s="1" t="s">
        <v>37</v>
      </c>
      <c r="E273" s="1" t="s">
        <v>564</v>
      </c>
      <c r="F273" s="1" t="s">
        <v>39</v>
      </c>
      <c r="G273">
        <v>100</v>
      </c>
      <c r="H273">
        <v>53.7</v>
      </c>
      <c r="I273">
        <v>29.2</v>
      </c>
      <c r="J273">
        <v>25.5</v>
      </c>
      <c r="K273">
        <v>3.9989999999999998E-2</v>
      </c>
      <c r="L273">
        <v>8.48</v>
      </c>
      <c r="M273">
        <v>27.32</v>
      </c>
      <c r="N273">
        <v>6</v>
      </c>
      <c r="O273">
        <v>5</v>
      </c>
      <c r="P273">
        <v>30</v>
      </c>
      <c r="Q273">
        <v>142.5</v>
      </c>
      <c r="R273">
        <v>279.39999999999998</v>
      </c>
      <c r="S273">
        <v>1.1997</v>
      </c>
      <c r="T273">
        <v>19</v>
      </c>
      <c r="U273">
        <v>1113</v>
      </c>
      <c r="V273">
        <v>30407.16</v>
      </c>
      <c r="W273" s="1" t="s">
        <v>1262</v>
      </c>
      <c r="X273" s="1" t="s">
        <v>1258</v>
      </c>
      <c r="Y273">
        <v>0.22352941176470589</v>
      </c>
      <c r="Z273">
        <v>2.1823529411764707E-2</v>
      </c>
      <c r="AA273" s="1" t="s">
        <v>1263</v>
      </c>
      <c r="AB273">
        <v>0</v>
      </c>
      <c r="AC273">
        <v>0</v>
      </c>
      <c r="AD273" s="1">
        <v>3.105121293800539</v>
      </c>
      <c r="AE273">
        <v>4</v>
      </c>
      <c r="AF273">
        <f>COUNTIFS(tblStock[sku],tblSKU[[#This Row],[sku]])</f>
        <v>2</v>
      </c>
      <c r="AG273" cm="1">
        <f t="array" ref="AG273">SUM(SUMIFS(tblStock[qty_units],tblStock[sku],tblSKU[[#This Row],[sku]],tblStock[stock_type],{"Saleable","FOC"}))</f>
        <v>864</v>
      </c>
      <c r="AH273" s="3">
        <f>SUMIFS(tblStock[value_nzd],tblStock[sku],tblSKU[[#This Row],[sku]])</f>
        <v>23604.480000000003</v>
      </c>
      <c r="AI273" s="4">
        <f>SUMIFS(tblStock[cbm],tblStock[sku],tblSKU[[#This Row],[sku]])</f>
        <v>0.34551359999999998</v>
      </c>
      <c r="AJ273" s="1">
        <f>SUMIFS(tblStock[positions],tblStock[sku],tblSKU[[#This Row],[sku]])</f>
        <v>0</v>
      </c>
      <c r="AK273" s="3">
        <f>SUMIFS(tblStock[value_nzd],tblStock[sku],tblSKU[[#This Row],[sku]],tblStock[stock_type],"Expired")</f>
        <v>0</v>
      </c>
      <c r="AL273" s="3" cm="1">
        <f t="array" ref="AL273">SUM(SUMIFS(tblStock[value_nzd],tblStock[sku],tblSKU[[#This Row],[sku]],tblStock[stock_type],{"Saleable","FOC"},tblStock[expiry_date],"&lt;"&amp;EDATE(SnapshotDate,6)))</f>
        <v>0</v>
      </c>
    </row>
    <row r="274" spans="1:38">
      <c r="A274" s="1" t="s">
        <v>596</v>
      </c>
      <c r="B274" s="1" t="s">
        <v>597</v>
      </c>
      <c r="C274" s="1" t="s">
        <v>43</v>
      </c>
      <c r="D274" s="1" t="s">
        <v>37</v>
      </c>
      <c r="E274" s="1" t="s">
        <v>564</v>
      </c>
      <c r="F274" s="1" t="s">
        <v>39</v>
      </c>
      <c r="G274">
        <v>120</v>
      </c>
      <c r="H274">
        <v>41.8</v>
      </c>
      <c r="I274">
        <v>33.4</v>
      </c>
      <c r="J274">
        <v>29.3</v>
      </c>
      <c r="K274">
        <v>4.0910000000000002E-2</v>
      </c>
      <c r="L274">
        <v>9.5399999999999991</v>
      </c>
      <c r="M274">
        <v>13.24</v>
      </c>
      <c r="N274">
        <v>6</v>
      </c>
      <c r="O274">
        <v>5</v>
      </c>
      <c r="P274">
        <v>30</v>
      </c>
      <c r="Q274">
        <v>161.5</v>
      </c>
      <c r="R274">
        <v>311.2</v>
      </c>
      <c r="S274">
        <v>1.2273000000000001</v>
      </c>
      <c r="T274">
        <v>5</v>
      </c>
      <c r="U274">
        <v>505</v>
      </c>
      <c r="V274">
        <v>6686.2</v>
      </c>
      <c r="W274" s="1" t="s">
        <v>1262</v>
      </c>
      <c r="X274" s="1" t="s">
        <v>1262</v>
      </c>
      <c r="Y274">
        <v>5.8823529411764705E-2</v>
      </c>
      <c r="Z274">
        <v>8.2516339869281047E-3</v>
      </c>
      <c r="AA274" s="1" t="s">
        <v>1263</v>
      </c>
      <c r="AB274">
        <v>0</v>
      </c>
      <c r="AC274">
        <v>0</v>
      </c>
      <c r="AD274" s="1">
        <v>14.003960396039604</v>
      </c>
      <c r="AE274">
        <v>2</v>
      </c>
      <c r="AF274">
        <f>COUNTIFS(tblStock[sku],tblSKU[[#This Row],[sku]])</f>
        <v>1</v>
      </c>
      <c r="AG274" cm="1">
        <f t="array" ref="AG274">SUM(SUMIFS(tblStock[qty_units],tblStock[sku],tblSKU[[#This Row],[sku]],tblStock[stock_type],{"Saleable","FOC"}))</f>
        <v>1768</v>
      </c>
      <c r="AH274" s="3">
        <f>SUMIFS(tblStock[value_nzd],tblStock[sku],tblSKU[[#This Row],[sku]])</f>
        <v>23408.32</v>
      </c>
      <c r="AI274" s="4">
        <f>SUMIFS(tblStock[cbm],tblStock[sku],tblSKU[[#This Row],[sku]])</f>
        <v>0.6027406666666667</v>
      </c>
      <c r="AJ274" s="1">
        <f>SUMIFS(tblStock[positions],tblStock[sku],tblSKU[[#This Row],[sku]])</f>
        <v>1</v>
      </c>
      <c r="AK274" s="3">
        <f>SUMIFS(tblStock[value_nzd],tblStock[sku],tblSKU[[#This Row],[sku]],tblStock[stock_type],"Expired")</f>
        <v>0</v>
      </c>
      <c r="AL274" s="3" cm="1">
        <f t="array" ref="AL274">SUM(SUMIFS(tblStock[value_nzd],tblStock[sku],tblSKU[[#This Row],[sku]],tblStock[stock_type],{"Saleable","FOC"},tblStock[expiry_date],"&lt;"&amp;EDATE(SnapshotDate,6)))</f>
        <v>0</v>
      </c>
    </row>
    <row r="275" spans="1:38">
      <c r="A275" s="1" t="s">
        <v>598</v>
      </c>
      <c r="B275" s="1" t="s">
        <v>599</v>
      </c>
      <c r="C275" s="1" t="s">
        <v>70</v>
      </c>
      <c r="D275" s="1" t="s">
        <v>37</v>
      </c>
      <c r="E275" s="1" t="s">
        <v>564</v>
      </c>
      <c r="F275" s="1" t="s">
        <v>39</v>
      </c>
      <c r="G275">
        <v>200</v>
      </c>
      <c r="H275">
        <v>51.7</v>
      </c>
      <c r="I275">
        <v>39.5</v>
      </c>
      <c r="J275">
        <v>20.8</v>
      </c>
      <c r="K275">
        <v>4.2479999999999997E-2</v>
      </c>
      <c r="L275">
        <v>9.07</v>
      </c>
      <c r="M275">
        <v>8.58</v>
      </c>
      <c r="N275">
        <v>3</v>
      </c>
      <c r="O275">
        <v>4</v>
      </c>
      <c r="P275">
        <v>12</v>
      </c>
      <c r="Q275">
        <v>98.2</v>
      </c>
      <c r="R275">
        <v>133.84</v>
      </c>
      <c r="S275">
        <v>0.50975999999999999</v>
      </c>
      <c r="T275">
        <v>1</v>
      </c>
      <c r="U275">
        <v>6</v>
      </c>
      <c r="V275">
        <v>51.480000000000004</v>
      </c>
      <c r="W275" s="1" t="s">
        <v>1262</v>
      </c>
      <c r="X275" s="1" t="s">
        <v>1262</v>
      </c>
      <c r="Y275">
        <v>1.1764705882352941E-2</v>
      </c>
      <c r="Z275">
        <v>1.4705882352941175E-4</v>
      </c>
      <c r="AA275" s="1" t="s">
        <v>1263</v>
      </c>
      <c r="AB275">
        <v>0</v>
      </c>
      <c r="AC275">
        <v>0</v>
      </c>
      <c r="AD275" s="1">
        <v>8</v>
      </c>
      <c r="AE275">
        <v>2</v>
      </c>
      <c r="AF275">
        <f>COUNTIFS(tblStock[sku],tblSKU[[#This Row],[sku]])</f>
        <v>1</v>
      </c>
      <c r="AG275" cm="1">
        <f t="array" ref="AG275">SUM(SUMIFS(tblStock[qty_units],tblStock[sku],tblSKU[[#This Row],[sku]],tblStock[stock_type],{"Saleable","FOC"}))</f>
        <v>12</v>
      </c>
      <c r="AH275" s="3">
        <f>SUMIFS(tblStock[value_nzd],tblStock[sku],tblSKU[[#This Row],[sku]])</f>
        <v>102.96000000000001</v>
      </c>
      <c r="AI275" s="4">
        <f>SUMIFS(tblStock[cbm],tblStock[sku],tblSKU[[#This Row],[sku]])</f>
        <v>2.5487999999999999E-3</v>
      </c>
      <c r="AJ275" s="1">
        <f>SUMIFS(tblStock[positions],tblStock[sku],tblSKU[[#This Row],[sku]])</f>
        <v>0</v>
      </c>
      <c r="AK275" s="3">
        <f>SUMIFS(tblStock[value_nzd],tblStock[sku],tblSKU[[#This Row],[sku]],tblStock[stock_type],"Expired")</f>
        <v>0</v>
      </c>
      <c r="AL275" s="3" cm="1">
        <f t="array" ref="AL275">SUM(SUMIFS(tblStock[value_nzd],tblStock[sku],tblSKU[[#This Row],[sku]],tblStock[stock_type],{"Saleable","FOC"},tblStock[expiry_date],"&lt;"&amp;EDATE(SnapshotDate,6)))</f>
        <v>102.96000000000001</v>
      </c>
    </row>
    <row r="276" spans="1:38">
      <c r="A276" s="1" t="s">
        <v>600</v>
      </c>
      <c r="B276" s="1" t="s">
        <v>601</v>
      </c>
      <c r="C276" s="1" t="s">
        <v>70</v>
      </c>
      <c r="D276" s="1" t="s">
        <v>37</v>
      </c>
      <c r="E276" s="1" t="s">
        <v>564</v>
      </c>
      <c r="F276" s="1" t="s">
        <v>39</v>
      </c>
      <c r="G276">
        <v>60</v>
      </c>
      <c r="H276">
        <v>52.3</v>
      </c>
      <c r="I276">
        <v>35.1</v>
      </c>
      <c r="J276">
        <v>21.6</v>
      </c>
      <c r="K276">
        <v>3.9649999999999998E-2</v>
      </c>
      <c r="L276">
        <v>8.99</v>
      </c>
      <c r="M276">
        <v>6.15</v>
      </c>
      <c r="N276">
        <v>4</v>
      </c>
      <c r="O276">
        <v>4</v>
      </c>
      <c r="P276">
        <v>16</v>
      </c>
      <c r="Q276">
        <v>101.4</v>
      </c>
      <c r="R276">
        <v>168.84</v>
      </c>
      <c r="S276">
        <v>0.63439999999999996</v>
      </c>
      <c r="T276">
        <v>14</v>
      </c>
      <c r="U276">
        <v>230</v>
      </c>
      <c r="V276">
        <v>1414.5</v>
      </c>
      <c r="W276" s="1" t="s">
        <v>1262</v>
      </c>
      <c r="X276" s="1" t="s">
        <v>1262</v>
      </c>
      <c r="Y276">
        <v>0.16470588235294117</v>
      </c>
      <c r="Z276">
        <v>1.4093137254901961E-2</v>
      </c>
      <c r="AA276" s="1" t="s">
        <v>1263</v>
      </c>
      <c r="AB276">
        <v>0</v>
      </c>
      <c r="AC276">
        <v>0</v>
      </c>
      <c r="AD276" s="1">
        <v>18.121739130434783</v>
      </c>
      <c r="AE276">
        <v>2</v>
      </c>
      <c r="AF276">
        <f>COUNTIFS(tblStock[sku],tblSKU[[#This Row],[sku]])</f>
        <v>4</v>
      </c>
      <c r="AG276" cm="1">
        <f t="array" ref="AG276">SUM(SUMIFS(tblStock[qty_units],tblStock[sku],tblSKU[[#This Row],[sku]],tblStock[stock_type],{"Saleable","FOC"}))</f>
        <v>1042</v>
      </c>
      <c r="AH276" s="3">
        <f>SUMIFS(tblStock[value_nzd],tblStock[sku],tblSKU[[#This Row],[sku]])</f>
        <v>6408.3</v>
      </c>
      <c r="AI276" s="4">
        <f>SUMIFS(tblStock[cbm],tblStock[sku],tblSKU[[#This Row],[sku]])</f>
        <v>0.68858833333333336</v>
      </c>
      <c r="AJ276" s="1">
        <f>SUMIFS(tblStock[positions],tblStock[sku],tblSKU[[#This Row],[sku]])</f>
        <v>1</v>
      </c>
      <c r="AK276" s="3">
        <f>SUMIFS(tblStock[value_nzd],tblStock[sku],tblSKU[[#This Row],[sku]],tblStock[stock_type],"Expired")</f>
        <v>0</v>
      </c>
      <c r="AL276" s="3" cm="1">
        <f t="array" ref="AL276">SUM(SUMIFS(tblStock[value_nzd],tblStock[sku],tblSKU[[#This Row],[sku]],tblStock[stock_type],{"Saleable","FOC"},tblStock[expiry_date],"&lt;"&amp;EDATE(SnapshotDate,6)))</f>
        <v>332.1</v>
      </c>
    </row>
    <row r="277" spans="1:38">
      <c r="A277" s="1" t="s">
        <v>602</v>
      </c>
      <c r="B277" s="1" t="s">
        <v>603</v>
      </c>
      <c r="C277" s="1" t="s">
        <v>36</v>
      </c>
      <c r="D277" s="1" t="s">
        <v>37</v>
      </c>
      <c r="E277" s="1" t="s">
        <v>564</v>
      </c>
      <c r="F277" s="1" t="s">
        <v>39</v>
      </c>
      <c r="G277">
        <v>100</v>
      </c>
      <c r="H277">
        <v>39.799999999999997</v>
      </c>
      <c r="I277">
        <v>37.1</v>
      </c>
      <c r="J277">
        <v>17.100000000000001</v>
      </c>
      <c r="K277">
        <v>2.5250000000000002E-2</v>
      </c>
      <c r="L277">
        <v>6.15</v>
      </c>
      <c r="M277">
        <v>3.88</v>
      </c>
      <c r="N277">
        <v>6</v>
      </c>
      <c r="O277">
        <v>4</v>
      </c>
      <c r="P277">
        <v>24</v>
      </c>
      <c r="Q277">
        <v>83.4</v>
      </c>
      <c r="R277">
        <v>172.60000000000002</v>
      </c>
      <c r="S277">
        <v>0.60600000000000009</v>
      </c>
      <c r="T277">
        <v>32</v>
      </c>
      <c r="U277">
        <v>2622</v>
      </c>
      <c r="V277">
        <v>10173.36</v>
      </c>
      <c r="W277" s="1" t="s">
        <v>1258</v>
      </c>
      <c r="X277" s="1" t="s">
        <v>1262</v>
      </c>
      <c r="Y277">
        <v>0.37647058823529411</v>
      </c>
      <c r="Z277">
        <v>6.4264705882352932E-2</v>
      </c>
      <c r="AA277" s="1" t="s">
        <v>1259</v>
      </c>
      <c r="AB277">
        <v>0</v>
      </c>
      <c r="AC277">
        <v>1</v>
      </c>
      <c r="AD277" s="1">
        <v>7.6369183829138061</v>
      </c>
      <c r="AE277">
        <v>2</v>
      </c>
      <c r="AF277">
        <f>COUNTIFS(tblStock[sku],tblSKU[[#This Row],[sku]])</f>
        <v>2</v>
      </c>
      <c r="AG277" cm="1">
        <f t="array" ref="AG277">SUM(SUMIFS(tblStock[qty_units],tblStock[sku],tblSKU[[#This Row],[sku]],tblStock[stock_type],{"Saleable","FOC"}))</f>
        <v>5006</v>
      </c>
      <c r="AH277" s="3">
        <f>SUMIFS(tblStock[value_nzd],tblStock[sku],tblSKU[[#This Row],[sku]])</f>
        <v>19423.28</v>
      </c>
      <c r="AI277" s="4">
        <f>SUMIFS(tblStock[cbm],tblStock[sku],tblSKU[[#This Row],[sku]])</f>
        <v>1.2640150000000001</v>
      </c>
      <c r="AJ277" s="1">
        <f>SUMIFS(tblStock[positions],tblStock[sku],tblSKU[[#This Row],[sku]])</f>
        <v>3</v>
      </c>
      <c r="AK277" s="3">
        <f>SUMIFS(tblStock[value_nzd],tblStock[sku],tblSKU[[#This Row],[sku]],tblStock[stock_type],"Expired")</f>
        <v>0</v>
      </c>
      <c r="AL277" s="3" cm="1">
        <f t="array" ref="AL277">SUM(SUMIFS(tblStock[value_nzd],tblStock[sku],tblSKU[[#This Row],[sku]],tblStock[stock_type],{"Saleable","FOC"},tblStock[expiry_date],"&lt;"&amp;EDATE(SnapshotDate,6)))</f>
        <v>0</v>
      </c>
    </row>
    <row r="278" spans="1:38">
      <c r="A278" s="1" t="s">
        <v>604</v>
      </c>
      <c r="B278" s="1" t="s">
        <v>605</v>
      </c>
      <c r="C278" s="1" t="s">
        <v>43</v>
      </c>
      <c r="D278" s="1" t="s">
        <v>37</v>
      </c>
      <c r="E278" s="1" t="s">
        <v>564</v>
      </c>
      <c r="F278" s="1" t="s">
        <v>39</v>
      </c>
      <c r="G278">
        <v>60</v>
      </c>
      <c r="H278">
        <v>50.7</v>
      </c>
      <c r="I278">
        <v>28.9</v>
      </c>
      <c r="J278">
        <v>17.600000000000001</v>
      </c>
      <c r="K278">
        <v>2.579E-2</v>
      </c>
      <c r="L278">
        <v>5.91</v>
      </c>
      <c r="M278">
        <v>27.93</v>
      </c>
      <c r="N278">
        <v>6</v>
      </c>
      <c r="O278">
        <v>3</v>
      </c>
      <c r="P278">
        <v>18</v>
      </c>
      <c r="Q278">
        <v>67.800000000000011</v>
      </c>
      <c r="R278">
        <v>131.38</v>
      </c>
      <c r="S278">
        <v>0.46422000000000002</v>
      </c>
      <c r="T278">
        <v>204</v>
      </c>
      <c r="U278">
        <v>11209</v>
      </c>
      <c r="V278">
        <v>313067.37</v>
      </c>
      <c r="W278" s="1" t="s">
        <v>1264</v>
      </c>
      <c r="X278" s="1" t="s">
        <v>1264</v>
      </c>
      <c r="Y278">
        <v>2.4</v>
      </c>
      <c r="Z278">
        <v>0.61051198257080608</v>
      </c>
      <c r="AA278" s="1" t="s">
        <v>1265</v>
      </c>
      <c r="AB278">
        <v>1</v>
      </c>
      <c r="AC278">
        <v>0</v>
      </c>
      <c r="AD278" s="1">
        <v>4.4835400124899634</v>
      </c>
      <c r="AE278">
        <v>12</v>
      </c>
      <c r="AF278">
        <f>COUNTIFS(tblStock[sku],tblSKU[[#This Row],[sku]])</f>
        <v>4</v>
      </c>
      <c r="AG278" cm="1">
        <f t="array" ref="AG278">SUM(SUMIFS(tblStock[qty_units],tblStock[sku],tblSKU[[#This Row],[sku]],tblStock[stock_type],{"Saleable","FOC"}))</f>
        <v>12564</v>
      </c>
      <c r="AH278" s="3">
        <f>SUMIFS(tblStock[value_nzd],tblStock[sku],tblSKU[[#This Row],[sku]])</f>
        <v>350912.52</v>
      </c>
      <c r="AI278" s="4">
        <f>SUMIFS(tblStock[cbm],tblStock[sku],tblSKU[[#This Row],[sku]])</f>
        <v>5.4004260000000004</v>
      </c>
      <c r="AJ278" s="1">
        <f>SUMIFS(tblStock[positions],tblStock[sku],tblSKU[[#This Row],[sku]])</f>
        <v>12</v>
      </c>
      <c r="AK278" s="3">
        <f>SUMIFS(tblStock[value_nzd],tblStock[sku],tblSKU[[#This Row],[sku]],tblStock[stock_type],"Expired")</f>
        <v>0</v>
      </c>
      <c r="AL278" s="3" cm="1">
        <f t="array" ref="AL278">SUM(SUMIFS(tblStock[value_nzd],tblStock[sku],tblSKU[[#This Row],[sku]],tblStock[stock_type],{"Saleable","FOC"},tblStock[expiry_date],"&lt;"&amp;EDATE(SnapshotDate,6)))</f>
        <v>0</v>
      </c>
    </row>
    <row r="279" spans="1:38">
      <c r="A279" s="1" t="s">
        <v>606</v>
      </c>
      <c r="B279" s="1" t="s">
        <v>607</v>
      </c>
      <c r="C279" s="1" t="s">
        <v>43</v>
      </c>
      <c r="D279" s="1" t="s">
        <v>37</v>
      </c>
      <c r="E279" s="1" t="s">
        <v>564</v>
      </c>
      <c r="F279" s="1" t="s">
        <v>39</v>
      </c>
      <c r="G279">
        <v>120</v>
      </c>
      <c r="H279">
        <v>39.700000000000003</v>
      </c>
      <c r="I279">
        <v>26.6</v>
      </c>
      <c r="J279">
        <v>19.399999999999999</v>
      </c>
      <c r="K279">
        <v>2.0490000000000001E-2</v>
      </c>
      <c r="L279">
        <v>5.09</v>
      </c>
      <c r="M279">
        <v>15.97</v>
      </c>
      <c r="N279">
        <v>9</v>
      </c>
      <c r="O279">
        <v>4</v>
      </c>
      <c r="P279">
        <v>36</v>
      </c>
      <c r="Q279">
        <v>92.6</v>
      </c>
      <c r="R279">
        <v>208.24</v>
      </c>
      <c r="S279">
        <v>0.73764000000000007</v>
      </c>
      <c r="T279">
        <v>67</v>
      </c>
      <c r="U279">
        <v>4021</v>
      </c>
      <c r="V279">
        <v>64215.37</v>
      </c>
      <c r="W279" s="1" t="s">
        <v>1258</v>
      </c>
      <c r="X279" s="1" t="s">
        <v>1258</v>
      </c>
      <c r="Y279">
        <v>0.78823529411764703</v>
      </c>
      <c r="Z279">
        <v>5.4752178649237475E-2</v>
      </c>
      <c r="AA279" s="1" t="s">
        <v>1259</v>
      </c>
      <c r="AB279">
        <v>0</v>
      </c>
      <c r="AC279">
        <v>1</v>
      </c>
      <c r="AD279" s="1">
        <v>4.9788609798557575</v>
      </c>
      <c r="AE279">
        <v>4</v>
      </c>
      <c r="AF279">
        <f>COUNTIFS(tblStock[sku],tblSKU[[#This Row],[sku]])</f>
        <v>3</v>
      </c>
      <c r="AG279" cm="1">
        <f t="array" ref="AG279">SUM(SUMIFS(tblStock[qty_units],tblStock[sku],tblSKU[[#This Row],[sku]],tblStock[stock_type],{"Saleable","FOC"}))</f>
        <v>5005</v>
      </c>
      <c r="AH279" s="3">
        <f>SUMIFS(tblStock[value_nzd],tblStock[sku],tblSKU[[#This Row],[sku]])</f>
        <v>81526.850000000006</v>
      </c>
      <c r="AI279" s="4">
        <f>SUMIFS(tblStock[cbm],tblStock[sku],tblSKU[[#This Row],[sku]])</f>
        <v>0.87167875000000006</v>
      </c>
      <c r="AJ279" s="1">
        <f>SUMIFS(tblStock[positions],tblStock[sku],tblSKU[[#This Row],[sku]])</f>
        <v>1</v>
      </c>
      <c r="AK279" s="3">
        <f>SUMIFS(tblStock[value_nzd],tblStock[sku],tblSKU[[#This Row],[sku]],tblStock[stock_type],"Expired")</f>
        <v>0</v>
      </c>
      <c r="AL279" s="3" cm="1">
        <f t="array" ref="AL279">SUM(SUMIFS(tblStock[value_nzd],tblStock[sku],tblSKU[[#This Row],[sku]],tblStock[stock_type],{"Saleable","FOC"},tblStock[expiry_date],"&lt;"&amp;EDATE(SnapshotDate,6)))</f>
        <v>22629.49</v>
      </c>
    </row>
    <row r="280" spans="1:38">
      <c r="A280" s="1" t="s">
        <v>608</v>
      </c>
      <c r="B280" s="1" t="s">
        <v>609</v>
      </c>
      <c r="C280" s="1" t="s">
        <v>43</v>
      </c>
      <c r="D280" s="1" t="s">
        <v>37</v>
      </c>
      <c r="E280" s="1" t="s">
        <v>564</v>
      </c>
      <c r="F280" s="1" t="s">
        <v>39</v>
      </c>
      <c r="G280">
        <v>120</v>
      </c>
      <c r="H280">
        <v>36.6</v>
      </c>
      <c r="I280">
        <v>31.8</v>
      </c>
      <c r="J280">
        <v>25</v>
      </c>
      <c r="K280">
        <v>2.9100000000000001E-2</v>
      </c>
      <c r="L280">
        <v>7.2</v>
      </c>
      <c r="M280">
        <v>17.2</v>
      </c>
      <c r="N280">
        <v>8</v>
      </c>
      <c r="O280">
        <v>4</v>
      </c>
      <c r="P280">
        <v>32</v>
      </c>
      <c r="Q280">
        <v>115</v>
      </c>
      <c r="R280">
        <v>255.4</v>
      </c>
      <c r="S280">
        <v>0.93120000000000003</v>
      </c>
      <c r="T280">
        <v>152</v>
      </c>
      <c r="U280">
        <v>12043</v>
      </c>
      <c r="V280">
        <v>207139.6</v>
      </c>
      <c r="W280" s="1" t="s">
        <v>1264</v>
      </c>
      <c r="X280" s="1" t="s">
        <v>1264</v>
      </c>
      <c r="Y280">
        <v>1.7882352941176471</v>
      </c>
      <c r="Z280">
        <v>0.18448223039215686</v>
      </c>
      <c r="AA280" s="1" t="s">
        <v>1265</v>
      </c>
      <c r="AB280">
        <v>1</v>
      </c>
      <c r="AC280">
        <v>0</v>
      </c>
      <c r="AD280" s="1">
        <v>4.6088184007307147</v>
      </c>
      <c r="AE280">
        <v>12</v>
      </c>
      <c r="AF280">
        <f>COUNTIFS(tblStock[sku],tblSKU[[#This Row],[sku]])</f>
        <v>1</v>
      </c>
      <c r="AG280" cm="1">
        <f t="array" ref="AG280">SUM(SUMIFS(tblStock[qty_units],tblStock[sku],tblSKU[[#This Row],[sku]],tblStock[stock_type],{"Saleable","FOC"}))</f>
        <v>13876</v>
      </c>
      <c r="AH280" s="3">
        <f>SUMIFS(tblStock[value_nzd],tblStock[sku],tblSKU[[#This Row],[sku]])</f>
        <v>238667.19999999998</v>
      </c>
      <c r="AI280" s="4">
        <f>SUMIFS(tblStock[cbm],tblStock[sku],tblSKU[[#This Row],[sku]])</f>
        <v>3.3649300000000002</v>
      </c>
      <c r="AJ280" s="1">
        <f>SUMIFS(tblStock[positions],tblStock[sku],tblSKU[[#This Row],[sku]])</f>
        <v>4</v>
      </c>
      <c r="AK280" s="3">
        <f>SUMIFS(tblStock[value_nzd],tblStock[sku],tblSKU[[#This Row],[sku]],tblStock[stock_type],"Expired")</f>
        <v>0</v>
      </c>
      <c r="AL280" s="3" cm="1">
        <f t="array" ref="AL280">SUM(SUMIFS(tblStock[value_nzd],tblStock[sku],tblSKU[[#This Row],[sku]],tblStock[stock_type],{"Saleable","FOC"},tblStock[expiry_date],"&lt;"&amp;EDATE(SnapshotDate,6)))</f>
        <v>0</v>
      </c>
    </row>
    <row r="281" spans="1:38">
      <c r="A281" s="1" t="s">
        <v>610</v>
      </c>
      <c r="B281" s="1" t="s">
        <v>611</v>
      </c>
      <c r="C281" s="1" t="s">
        <v>36</v>
      </c>
      <c r="D281" s="1" t="s">
        <v>37</v>
      </c>
      <c r="E281" s="1" t="s">
        <v>564</v>
      </c>
      <c r="F281" s="1" t="s">
        <v>39</v>
      </c>
      <c r="G281">
        <v>60</v>
      </c>
      <c r="H281">
        <v>42.2</v>
      </c>
      <c r="I281">
        <v>32.700000000000003</v>
      </c>
      <c r="J281">
        <v>20.2</v>
      </c>
      <c r="K281">
        <v>2.7869999999999999E-2</v>
      </c>
      <c r="L281">
        <v>4.95</v>
      </c>
      <c r="M281">
        <v>11.45</v>
      </c>
      <c r="N281">
        <v>6</v>
      </c>
      <c r="O281">
        <v>5</v>
      </c>
      <c r="P281">
        <v>30</v>
      </c>
      <c r="Q281">
        <v>116</v>
      </c>
      <c r="R281">
        <v>173.5</v>
      </c>
      <c r="S281">
        <v>0.83609999999999995</v>
      </c>
      <c r="T281">
        <v>18</v>
      </c>
      <c r="U281">
        <v>892</v>
      </c>
      <c r="V281">
        <v>10213.4</v>
      </c>
      <c r="W281" s="1" t="s">
        <v>1262</v>
      </c>
      <c r="X281" s="1" t="s">
        <v>1262</v>
      </c>
      <c r="Y281">
        <v>0.21176470588235294</v>
      </c>
      <c r="Z281">
        <v>2.915032679738562E-2</v>
      </c>
      <c r="AA281" s="1" t="s">
        <v>1263</v>
      </c>
      <c r="AB281">
        <v>0</v>
      </c>
      <c r="AC281">
        <v>0</v>
      </c>
      <c r="AD281" s="1">
        <v>12.578475336322869</v>
      </c>
      <c r="AE281">
        <v>2</v>
      </c>
      <c r="AF281">
        <f>COUNTIFS(tblStock[sku],tblSKU[[#This Row],[sku]])</f>
        <v>2</v>
      </c>
      <c r="AG281" cm="1">
        <f t="array" ref="AG281">SUM(SUMIFS(tblStock[qty_units],tblStock[sku],tblSKU[[#This Row],[sku]],tblStock[stock_type],{"Saleable","FOC"}))</f>
        <v>2805</v>
      </c>
      <c r="AH281" s="3">
        <f>SUMIFS(tblStock[value_nzd],tblStock[sku],tblSKU[[#This Row],[sku]])</f>
        <v>32758.449999999997</v>
      </c>
      <c r="AI281" s="4">
        <f>SUMIFS(tblStock[cbm],tblStock[sku],tblSKU[[#This Row],[sku]])</f>
        <v>1.3289344999999999</v>
      </c>
      <c r="AJ281" s="1">
        <f>SUMIFS(tblStock[positions],tblStock[sku],tblSKU[[#This Row],[sku]])</f>
        <v>2</v>
      </c>
      <c r="AK281" s="3">
        <f>SUMIFS(tblStock[value_nzd],tblStock[sku],tblSKU[[#This Row],[sku]],tblStock[stock_type],"Expired")</f>
        <v>0</v>
      </c>
      <c r="AL281" s="3" cm="1">
        <f t="array" ref="AL281">SUM(SUMIFS(tblStock[value_nzd],tblStock[sku],tblSKU[[#This Row],[sku]],tblStock[stock_type],{"Saleable","FOC"},tblStock[expiry_date],"&lt;"&amp;EDATE(SnapshotDate,6)))</f>
        <v>0</v>
      </c>
    </row>
    <row r="282" spans="1:38">
      <c r="A282" s="1" t="s">
        <v>612</v>
      </c>
      <c r="B282" s="1" t="s">
        <v>613</v>
      </c>
      <c r="C282" s="1" t="s">
        <v>36</v>
      </c>
      <c r="D282" s="1" t="s">
        <v>37</v>
      </c>
      <c r="E282" s="1" t="s">
        <v>564</v>
      </c>
      <c r="F282" s="1" t="s">
        <v>39</v>
      </c>
      <c r="G282">
        <v>120</v>
      </c>
      <c r="H282">
        <v>34.5</v>
      </c>
      <c r="I282">
        <v>35.299999999999997</v>
      </c>
      <c r="J282">
        <v>15.4</v>
      </c>
      <c r="K282">
        <v>1.8749999999999999E-2</v>
      </c>
      <c r="L282">
        <v>3.35</v>
      </c>
      <c r="M282">
        <v>15.31</v>
      </c>
      <c r="N282">
        <v>6</v>
      </c>
      <c r="O282">
        <v>4</v>
      </c>
      <c r="P282">
        <v>24</v>
      </c>
      <c r="Q282">
        <v>76.599999999999994</v>
      </c>
      <c r="R282">
        <v>105.4</v>
      </c>
      <c r="S282">
        <v>0.44999999999999996</v>
      </c>
      <c r="T282">
        <v>26</v>
      </c>
      <c r="U282">
        <v>1637</v>
      </c>
      <c r="V282">
        <v>25062.47</v>
      </c>
      <c r="W282" s="1" t="s">
        <v>1258</v>
      </c>
      <c r="X282" s="1" t="s">
        <v>1262</v>
      </c>
      <c r="Y282">
        <v>0.30588235294117649</v>
      </c>
      <c r="Z282">
        <v>3.3435457516339868E-2</v>
      </c>
      <c r="AA282" s="1" t="s">
        <v>1259</v>
      </c>
      <c r="AB282">
        <v>0</v>
      </c>
      <c r="AC282">
        <v>1</v>
      </c>
      <c r="AD282" s="1">
        <v>10.878436163714111</v>
      </c>
      <c r="AE282">
        <v>2</v>
      </c>
      <c r="AF282">
        <f>COUNTIFS(tblStock[sku],tblSKU[[#This Row],[sku]])</f>
        <v>2</v>
      </c>
      <c r="AG282" cm="1">
        <f t="array" ref="AG282">SUM(SUMIFS(tblStock[qty_units],tblStock[sku],tblSKU[[#This Row],[sku]],tblStock[stock_type],{"Saleable","FOC"}))</f>
        <v>4452</v>
      </c>
      <c r="AH282" s="3">
        <f>SUMIFS(tblStock[value_nzd],tblStock[sku],tblSKU[[#This Row],[sku]])</f>
        <v>68160.12</v>
      </c>
      <c r="AI282" s="4">
        <f>SUMIFS(tblStock[cbm],tblStock[sku],tblSKU[[#This Row],[sku]])</f>
        <v>0.69562499999999994</v>
      </c>
      <c r="AJ282" s="1">
        <f>SUMIFS(tblStock[positions],tblStock[sku],tblSKU[[#This Row],[sku]])</f>
        <v>2</v>
      </c>
      <c r="AK282" s="3">
        <f>SUMIFS(tblStock[value_nzd],tblStock[sku],tblSKU[[#This Row],[sku]],tblStock[stock_type],"Expired")</f>
        <v>0</v>
      </c>
      <c r="AL282" s="3" cm="1">
        <f t="array" ref="AL282">SUM(SUMIFS(tblStock[value_nzd],tblStock[sku],tblSKU[[#This Row],[sku]],tblStock[stock_type],{"Saleable","FOC"},tblStock[expiry_date],"&lt;"&amp;EDATE(SnapshotDate,6)))</f>
        <v>0</v>
      </c>
    </row>
    <row r="283" spans="1:38">
      <c r="A283" s="1" t="s">
        <v>614</v>
      </c>
      <c r="B283" s="1" t="s">
        <v>615</v>
      </c>
      <c r="C283" s="1" t="s">
        <v>43</v>
      </c>
      <c r="D283" s="1" t="s">
        <v>37</v>
      </c>
      <c r="E283" s="1" t="s">
        <v>564</v>
      </c>
      <c r="F283" s="1" t="s">
        <v>39</v>
      </c>
      <c r="G283">
        <v>100</v>
      </c>
      <c r="H283">
        <v>38.5</v>
      </c>
      <c r="I283">
        <v>29</v>
      </c>
      <c r="J283">
        <v>24.7</v>
      </c>
      <c r="K283">
        <v>2.758E-2</v>
      </c>
      <c r="L283">
        <v>5.28</v>
      </c>
      <c r="M283">
        <v>25.75</v>
      </c>
      <c r="N283">
        <v>9</v>
      </c>
      <c r="O283">
        <v>5</v>
      </c>
      <c r="P283">
        <v>45</v>
      </c>
      <c r="Q283">
        <v>138.5</v>
      </c>
      <c r="R283">
        <v>262.60000000000002</v>
      </c>
      <c r="S283">
        <v>1.2411000000000001</v>
      </c>
      <c r="T283">
        <v>57</v>
      </c>
      <c r="U283">
        <v>5782</v>
      </c>
      <c r="V283">
        <v>148886.5</v>
      </c>
      <c r="W283" s="1" t="s">
        <v>1258</v>
      </c>
      <c r="X283" s="1" t="s">
        <v>1264</v>
      </c>
      <c r="Y283">
        <v>0.6705882352941176</v>
      </c>
      <c r="Z283">
        <v>7.5581699346405226E-2</v>
      </c>
      <c r="AA283" s="1" t="s">
        <v>1259</v>
      </c>
      <c r="AB283">
        <v>0</v>
      </c>
      <c r="AC283">
        <v>1</v>
      </c>
      <c r="AD283" s="1">
        <v>5.7592528536838463</v>
      </c>
      <c r="AE283">
        <v>12</v>
      </c>
      <c r="AF283">
        <f>COUNTIFS(tblStock[sku],tblSKU[[#This Row],[sku]])</f>
        <v>3</v>
      </c>
      <c r="AG283" cm="1">
        <f t="array" ref="AG283">SUM(SUMIFS(tblStock[qty_units],tblStock[sku],tblSKU[[#This Row],[sku]],tblStock[stock_type],{"Saleable","FOC"}))</f>
        <v>8325</v>
      </c>
      <c r="AH283" s="3">
        <f>SUMIFS(tblStock[value_nzd],tblStock[sku],tblSKU[[#This Row],[sku]])</f>
        <v>231518.25</v>
      </c>
      <c r="AI283" s="4">
        <f>SUMIFS(tblStock[cbm],tblStock[sku],tblSKU[[#This Row],[sku]])</f>
        <v>2.4797178</v>
      </c>
      <c r="AJ283" s="1">
        <f>SUMIFS(tblStock[positions],tblStock[sku],tblSKU[[#This Row],[sku]])</f>
        <v>3</v>
      </c>
      <c r="AK283" s="3">
        <f>SUMIFS(tblStock[value_nzd],tblStock[sku],tblSKU[[#This Row],[sku]],tblStock[stock_type],"Expired")</f>
        <v>17149.5</v>
      </c>
      <c r="AL283" s="3" cm="1">
        <f t="array" ref="AL283">SUM(SUMIFS(tblStock[value_nzd],tblStock[sku],tblSKU[[#This Row],[sku]],tblStock[stock_type],{"Saleable","FOC"},tblStock[expiry_date],"&lt;"&amp;EDATE(SnapshotDate,6)))</f>
        <v>0</v>
      </c>
    </row>
    <row r="284" spans="1:38">
      <c r="A284" s="1" t="s">
        <v>616</v>
      </c>
      <c r="B284" s="1" t="s">
        <v>617</v>
      </c>
      <c r="C284" s="1" t="s">
        <v>36</v>
      </c>
      <c r="D284" s="1" t="s">
        <v>37</v>
      </c>
      <c r="E284" s="1" t="s">
        <v>564</v>
      </c>
      <c r="F284" s="1" t="s">
        <v>39</v>
      </c>
      <c r="G284">
        <v>200</v>
      </c>
      <c r="H284">
        <v>53.7</v>
      </c>
      <c r="I284">
        <v>36.1</v>
      </c>
      <c r="J284">
        <v>20.3</v>
      </c>
      <c r="K284">
        <v>3.9350000000000003E-2</v>
      </c>
      <c r="L284">
        <v>8.51</v>
      </c>
      <c r="M284">
        <v>6.37</v>
      </c>
      <c r="N284">
        <v>2</v>
      </c>
      <c r="O284">
        <v>5</v>
      </c>
      <c r="P284">
        <v>10</v>
      </c>
      <c r="Q284">
        <v>116.5</v>
      </c>
      <c r="R284">
        <v>110.1</v>
      </c>
      <c r="S284">
        <v>0.39350000000000002</v>
      </c>
      <c r="T284">
        <v>42</v>
      </c>
      <c r="U284">
        <v>5228</v>
      </c>
      <c r="V284">
        <v>33302.36</v>
      </c>
      <c r="W284" s="1" t="s">
        <v>1258</v>
      </c>
      <c r="X284" s="1" t="s">
        <v>1258</v>
      </c>
      <c r="Y284">
        <v>0.49411764705882355</v>
      </c>
      <c r="Z284">
        <v>0.15376470588235294</v>
      </c>
      <c r="AA284" s="1" t="s">
        <v>1259</v>
      </c>
      <c r="AB284">
        <v>0</v>
      </c>
      <c r="AC284">
        <v>1</v>
      </c>
      <c r="AD284" s="1">
        <v>6.4093343534812544</v>
      </c>
      <c r="AE284">
        <v>4</v>
      </c>
      <c r="AF284">
        <f>COUNTIFS(tblStock[sku],tblSKU[[#This Row],[sku]])</f>
        <v>1</v>
      </c>
      <c r="AG284" cm="1">
        <f t="array" ref="AG284">SUM(SUMIFS(tblStock[qty_units],tblStock[sku],tblSKU[[#This Row],[sku]],tblStock[stock_type],{"Saleable","FOC"}))</f>
        <v>8377</v>
      </c>
      <c r="AH284" s="3">
        <f>SUMIFS(tblStock[value_nzd],tblStock[sku],tblSKU[[#This Row],[sku]])</f>
        <v>53361.49</v>
      </c>
      <c r="AI284" s="4">
        <f>SUMIFS(tblStock[cbm],tblStock[sku],tblSKU[[#This Row],[sku]])</f>
        <v>1.6481747500000001</v>
      </c>
      <c r="AJ284" s="1">
        <f>SUMIFS(tblStock[positions],tblStock[sku],tblSKU[[#This Row],[sku]])</f>
        <v>5</v>
      </c>
      <c r="AK284" s="3">
        <f>SUMIFS(tblStock[value_nzd],tblStock[sku],tblSKU[[#This Row],[sku]],tblStock[stock_type],"Expired")</f>
        <v>0</v>
      </c>
      <c r="AL284" s="3" cm="1">
        <f t="array" ref="AL284">SUM(SUMIFS(tblStock[value_nzd],tblStock[sku],tblSKU[[#This Row],[sku]],tblStock[stock_type],{"Saleable","FOC"},tblStock[expiry_date],"&lt;"&amp;EDATE(SnapshotDate,6)))</f>
        <v>53361.49</v>
      </c>
    </row>
    <row r="285" spans="1:38">
      <c r="A285" s="1" t="s">
        <v>618</v>
      </c>
      <c r="B285" s="1" t="s">
        <v>619</v>
      </c>
      <c r="C285" s="1" t="s">
        <v>43</v>
      </c>
      <c r="D285" s="1" t="s">
        <v>37</v>
      </c>
      <c r="E285" s="1" t="s">
        <v>564</v>
      </c>
      <c r="F285" s="1" t="s">
        <v>39</v>
      </c>
      <c r="G285">
        <v>100</v>
      </c>
      <c r="H285">
        <v>42.2</v>
      </c>
      <c r="I285">
        <v>31.2</v>
      </c>
      <c r="J285">
        <v>19.2</v>
      </c>
      <c r="K285">
        <v>2.528E-2</v>
      </c>
      <c r="L285">
        <v>3.85</v>
      </c>
      <c r="M285">
        <v>3.59</v>
      </c>
      <c r="N285">
        <v>6</v>
      </c>
      <c r="O285">
        <v>6</v>
      </c>
      <c r="P285">
        <v>36</v>
      </c>
      <c r="Q285">
        <v>130.19999999999999</v>
      </c>
      <c r="R285">
        <v>163.6</v>
      </c>
      <c r="S285">
        <v>0.91008</v>
      </c>
      <c r="T285">
        <v>12</v>
      </c>
      <c r="U285">
        <v>524</v>
      </c>
      <c r="V285">
        <v>1881.1599999999999</v>
      </c>
      <c r="W285" s="1" t="s">
        <v>1262</v>
      </c>
      <c r="X285" s="1" t="s">
        <v>1262</v>
      </c>
      <c r="Y285">
        <v>0.14117647058823529</v>
      </c>
      <c r="Z285">
        <v>8.5620915032679733E-3</v>
      </c>
      <c r="AA285" s="1" t="s">
        <v>1263</v>
      </c>
      <c r="AB285">
        <v>0</v>
      </c>
      <c r="AC285">
        <v>0</v>
      </c>
      <c r="AD285" s="1">
        <v>12.221374045801527</v>
      </c>
      <c r="AE285">
        <v>2</v>
      </c>
      <c r="AF285">
        <f>COUNTIFS(tblStock[sku],tblSKU[[#This Row],[sku]])</f>
        <v>1</v>
      </c>
      <c r="AG285" cm="1">
        <f t="array" ref="AG285">SUM(SUMIFS(tblStock[qty_units],tblStock[sku],tblSKU[[#This Row],[sku]],tblStock[stock_type],{"Saleable","FOC"}))</f>
        <v>1601</v>
      </c>
      <c r="AH285" s="3">
        <f>SUMIFS(tblStock[value_nzd],tblStock[sku],tblSKU[[#This Row],[sku]])</f>
        <v>5747.59</v>
      </c>
      <c r="AI285" s="4">
        <f>SUMIFS(tblStock[cbm],tblStock[sku],tblSKU[[#This Row],[sku]])</f>
        <v>0.40473280000000006</v>
      </c>
      <c r="AJ285" s="1">
        <f>SUMIFS(tblStock[positions],tblStock[sku],tblSKU[[#This Row],[sku]])</f>
        <v>1</v>
      </c>
      <c r="AK285" s="3">
        <f>SUMIFS(tblStock[value_nzd],tblStock[sku],tblSKU[[#This Row],[sku]],tblStock[stock_type],"Expired")</f>
        <v>0</v>
      </c>
      <c r="AL285" s="3" cm="1">
        <f t="array" ref="AL285">SUM(SUMIFS(tblStock[value_nzd],tblStock[sku],tblSKU[[#This Row],[sku]],tblStock[stock_type],{"Saleable","FOC"},tblStock[expiry_date],"&lt;"&amp;EDATE(SnapshotDate,6)))</f>
        <v>0</v>
      </c>
    </row>
    <row r="286" spans="1:38">
      <c r="A286" s="1" t="s">
        <v>620</v>
      </c>
      <c r="B286" s="1" t="s">
        <v>621</v>
      </c>
      <c r="C286" s="1" t="s">
        <v>70</v>
      </c>
      <c r="D286" s="1" t="s">
        <v>37</v>
      </c>
      <c r="E286" s="1" t="s">
        <v>564</v>
      </c>
      <c r="F286" s="1" t="s">
        <v>39</v>
      </c>
      <c r="G286">
        <v>100</v>
      </c>
      <c r="H286">
        <v>32.799999999999997</v>
      </c>
      <c r="I286">
        <v>39.6</v>
      </c>
      <c r="J286">
        <v>17.600000000000001</v>
      </c>
      <c r="K286">
        <v>2.2859999999999998E-2</v>
      </c>
      <c r="L286">
        <v>5.97</v>
      </c>
      <c r="M286">
        <v>10.119999999999999</v>
      </c>
      <c r="N286">
        <v>7</v>
      </c>
      <c r="O286">
        <v>6</v>
      </c>
      <c r="P286">
        <v>42</v>
      </c>
      <c r="Q286">
        <v>120.60000000000001</v>
      </c>
      <c r="R286">
        <v>275.74</v>
      </c>
      <c r="S286">
        <v>0.96011999999999997</v>
      </c>
      <c r="T286">
        <v>80</v>
      </c>
      <c r="U286">
        <v>4168</v>
      </c>
      <c r="V286">
        <v>42180.159999999996</v>
      </c>
      <c r="W286" s="1" t="s">
        <v>1264</v>
      </c>
      <c r="X286" s="1" t="s">
        <v>1258</v>
      </c>
      <c r="Y286">
        <v>0.94117647058823528</v>
      </c>
      <c r="Z286">
        <v>5.8375350140056022E-2</v>
      </c>
      <c r="AA286" s="1" t="s">
        <v>1265</v>
      </c>
      <c r="AB286">
        <v>1</v>
      </c>
      <c r="AC286">
        <v>0</v>
      </c>
      <c r="AD286" s="1">
        <v>7.5633397312859882</v>
      </c>
      <c r="AE286">
        <v>4</v>
      </c>
      <c r="AF286">
        <f>COUNTIFS(tblStock[sku],tblSKU[[#This Row],[sku]])</f>
        <v>2</v>
      </c>
      <c r="AG286" cm="1">
        <f t="array" ref="AG286">SUM(SUMIFS(tblStock[qty_units],tblStock[sku],tblSKU[[#This Row],[sku]],tblStock[stock_type],{"Saleable","FOC"}))</f>
        <v>7881</v>
      </c>
      <c r="AH286" s="3">
        <f>SUMIFS(tblStock[value_nzd],tblStock[sku],tblSKU[[#This Row],[sku]])</f>
        <v>79755.72</v>
      </c>
      <c r="AI286" s="4">
        <f>SUMIFS(tblStock[cbm],tblStock[sku],tblSKU[[#This Row],[sku]])</f>
        <v>1.8015965999999999</v>
      </c>
      <c r="AJ286" s="1">
        <f>SUMIFS(tblStock[positions],tblStock[sku],tblSKU[[#This Row],[sku]])</f>
        <v>3</v>
      </c>
      <c r="AK286" s="3">
        <f>SUMIFS(tblStock[value_nzd],tblStock[sku],tblSKU[[#This Row],[sku]],tblStock[stock_type],"Expired")</f>
        <v>0</v>
      </c>
      <c r="AL286" s="3" cm="1">
        <f t="array" ref="AL286">SUM(SUMIFS(tblStock[value_nzd],tblStock[sku],tblSKU[[#This Row],[sku]],tblStock[stock_type],{"Saleable","FOC"},tblStock[expiry_date],"&lt;"&amp;EDATE(SnapshotDate,6)))</f>
        <v>0</v>
      </c>
    </row>
    <row r="287" spans="1:38">
      <c r="A287" s="1" t="s">
        <v>622</v>
      </c>
      <c r="B287" s="1" t="s">
        <v>623</v>
      </c>
      <c r="C287" s="1" t="s">
        <v>43</v>
      </c>
      <c r="D287" s="1" t="s">
        <v>37</v>
      </c>
      <c r="E287" s="1" t="s">
        <v>564</v>
      </c>
      <c r="F287" s="1" t="s">
        <v>39</v>
      </c>
      <c r="G287">
        <v>100</v>
      </c>
      <c r="H287">
        <v>53.9</v>
      </c>
      <c r="I287">
        <v>31.6</v>
      </c>
      <c r="J287">
        <v>25</v>
      </c>
      <c r="K287">
        <v>4.258E-2</v>
      </c>
      <c r="L287">
        <v>7.14</v>
      </c>
      <c r="M287">
        <v>9.4</v>
      </c>
      <c r="N287">
        <v>4</v>
      </c>
      <c r="O287">
        <v>4</v>
      </c>
      <c r="P287">
        <v>16</v>
      </c>
      <c r="Q287">
        <v>115</v>
      </c>
      <c r="R287">
        <v>139.24</v>
      </c>
      <c r="S287">
        <v>0.68128</v>
      </c>
      <c r="T287">
        <v>37</v>
      </c>
      <c r="U287">
        <v>1688</v>
      </c>
      <c r="V287">
        <v>15867.2</v>
      </c>
      <c r="W287" s="1" t="s">
        <v>1258</v>
      </c>
      <c r="X287" s="1" t="s">
        <v>1262</v>
      </c>
      <c r="Y287">
        <v>0.43529411764705883</v>
      </c>
      <c r="Z287">
        <v>6.2058823529411763E-2</v>
      </c>
      <c r="AA287" s="1" t="s">
        <v>1259</v>
      </c>
      <c r="AB287">
        <v>0</v>
      </c>
      <c r="AC287">
        <v>1</v>
      </c>
      <c r="AD287" s="1">
        <v>3.5260663507109005</v>
      </c>
      <c r="AE287">
        <v>2</v>
      </c>
      <c r="AF287">
        <f>COUNTIFS(tblStock[sku],tblSKU[[#This Row],[sku]])</f>
        <v>3</v>
      </c>
      <c r="AG287" cm="1">
        <f t="array" ref="AG287">SUM(SUMIFS(tblStock[qty_units],tblStock[sku],tblSKU[[#This Row],[sku]],tblStock[stock_type],{"Saleable","FOC"}))</f>
        <v>1488</v>
      </c>
      <c r="AH287" s="3">
        <f>SUMIFS(tblStock[value_nzd],tblStock[sku],tblSKU[[#This Row],[sku]])</f>
        <v>13987.2</v>
      </c>
      <c r="AI287" s="4">
        <f>SUMIFS(tblStock[cbm],tblStock[sku],tblSKU[[#This Row],[sku]])</f>
        <v>0.6335904</v>
      </c>
      <c r="AJ287" s="1">
        <f>SUMIFS(tblStock[positions],tblStock[sku],tblSKU[[#This Row],[sku]])</f>
        <v>1</v>
      </c>
      <c r="AK287" s="3">
        <f>SUMIFS(tblStock[value_nzd],tblStock[sku],tblSKU[[#This Row],[sku]],tblStock[stock_type],"Expired")</f>
        <v>0</v>
      </c>
      <c r="AL287" s="3" cm="1">
        <f t="array" ref="AL287">SUM(SUMIFS(tblStock[value_nzd],tblStock[sku],tblSKU[[#This Row],[sku]],tblStock[stock_type],{"Saleable","FOC"},tblStock[expiry_date],"&lt;"&amp;EDATE(SnapshotDate,6)))</f>
        <v>0</v>
      </c>
    </row>
    <row r="288" spans="1:38">
      <c r="A288" s="1" t="s">
        <v>624</v>
      </c>
      <c r="B288" s="1" t="s">
        <v>625</v>
      </c>
      <c r="C288" s="1" t="s">
        <v>70</v>
      </c>
      <c r="D288" s="1" t="s">
        <v>37</v>
      </c>
      <c r="E288" s="1" t="s">
        <v>564</v>
      </c>
      <c r="F288" s="1" t="s">
        <v>39</v>
      </c>
      <c r="G288">
        <v>60</v>
      </c>
      <c r="H288">
        <v>43.7</v>
      </c>
      <c r="I288">
        <v>33.5</v>
      </c>
      <c r="J288">
        <v>25.5</v>
      </c>
      <c r="K288">
        <v>3.7330000000000002E-2</v>
      </c>
      <c r="L288">
        <v>5.81</v>
      </c>
      <c r="M288">
        <v>28.49</v>
      </c>
      <c r="N288">
        <v>6</v>
      </c>
      <c r="O288">
        <v>2</v>
      </c>
      <c r="P288">
        <v>12</v>
      </c>
      <c r="Q288">
        <v>66</v>
      </c>
      <c r="R288">
        <v>94.72</v>
      </c>
      <c r="S288">
        <v>0.44796000000000002</v>
      </c>
      <c r="T288">
        <v>10</v>
      </c>
      <c r="U288">
        <v>300</v>
      </c>
      <c r="V288">
        <v>8547</v>
      </c>
      <c r="W288" s="1" t="s">
        <v>1262</v>
      </c>
      <c r="X288" s="1" t="s">
        <v>1262</v>
      </c>
      <c r="Y288">
        <v>0.11764705882352941</v>
      </c>
      <c r="Z288">
        <v>2.4509803921568627E-2</v>
      </c>
      <c r="AA288" s="1" t="s">
        <v>1263</v>
      </c>
      <c r="AB288">
        <v>0</v>
      </c>
      <c r="AC288">
        <v>0</v>
      </c>
      <c r="AD288" s="1">
        <v>5.7866666666666671</v>
      </c>
      <c r="AE288">
        <v>2</v>
      </c>
      <c r="AF288">
        <f>COUNTIFS(tblStock[sku],tblSKU[[#This Row],[sku]])</f>
        <v>2</v>
      </c>
      <c r="AG288" cm="1">
        <f t="array" ref="AG288">SUM(SUMIFS(tblStock[qty_units],tblStock[sku],tblSKU[[#This Row],[sku]],tblStock[stock_type],{"Saleable","FOC"}))</f>
        <v>434</v>
      </c>
      <c r="AH288" s="3">
        <f>SUMIFS(tblStock[value_nzd],tblStock[sku],tblSKU[[#This Row],[sku]])</f>
        <v>12364.66</v>
      </c>
      <c r="AI288" s="4">
        <f>SUMIFS(tblStock[cbm],tblStock[sku],tblSKU[[#This Row],[sku]])</f>
        <v>0.27002033333333336</v>
      </c>
      <c r="AJ288" s="1">
        <f>SUMIFS(tblStock[positions],tblStock[sku],tblSKU[[#This Row],[sku]])</f>
        <v>0</v>
      </c>
      <c r="AK288" s="3">
        <f>SUMIFS(tblStock[value_nzd],tblStock[sku],tblSKU[[#This Row],[sku]],tblStock[stock_type],"Expired")</f>
        <v>0</v>
      </c>
      <c r="AL288" s="3" cm="1">
        <f t="array" ref="AL288">SUM(SUMIFS(tblStock[value_nzd],tblStock[sku],tblSKU[[#This Row],[sku]],tblStock[stock_type],{"Saleable","FOC"},tblStock[expiry_date],"&lt;"&amp;EDATE(SnapshotDate,6)))</f>
        <v>0</v>
      </c>
    </row>
    <row r="289" spans="1:38">
      <c r="A289" s="1" t="s">
        <v>626</v>
      </c>
      <c r="B289" s="1" t="s">
        <v>627</v>
      </c>
      <c r="C289" s="1" t="s">
        <v>70</v>
      </c>
      <c r="D289" s="1" t="s">
        <v>37</v>
      </c>
      <c r="E289" s="1" t="s">
        <v>564</v>
      </c>
      <c r="F289" s="1" t="s">
        <v>39</v>
      </c>
      <c r="G289">
        <v>120</v>
      </c>
      <c r="H289">
        <v>49</v>
      </c>
      <c r="I289">
        <v>33.6</v>
      </c>
      <c r="J289">
        <v>16.7</v>
      </c>
      <c r="K289">
        <v>2.7490000000000001E-2</v>
      </c>
      <c r="L289">
        <v>7.62</v>
      </c>
      <c r="M289">
        <v>14.25</v>
      </c>
      <c r="N289">
        <v>6</v>
      </c>
      <c r="O289">
        <v>6</v>
      </c>
      <c r="P289">
        <v>36</v>
      </c>
      <c r="Q289">
        <v>115.19999999999999</v>
      </c>
      <c r="R289">
        <v>299.32</v>
      </c>
      <c r="S289">
        <v>0.98964000000000008</v>
      </c>
      <c r="T289">
        <v>45</v>
      </c>
      <c r="U289">
        <v>1837</v>
      </c>
      <c r="V289">
        <v>26177.25</v>
      </c>
      <c r="W289" s="1" t="s">
        <v>1258</v>
      </c>
      <c r="X289" s="1" t="s">
        <v>1262</v>
      </c>
      <c r="Y289">
        <v>0.52941176470588236</v>
      </c>
      <c r="Z289">
        <v>2.5013616557734208E-2</v>
      </c>
      <c r="AA289" s="1" t="s">
        <v>1259</v>
      </c>
      <c r="AB289">
        <v>0</v>
      </c>
      <c r="AC289">
        <v>1</v>
      </c>
      <c r="AD289" s="1">
        <v>4.8753402286336422</v>
      </c>
      <c r="AE289">
        <v>2</v>
      </c>
      <c r="AF289">
        <f>COUNTIFS(tblStock[sku],tblSKU[[#This Row],[sku]])</f>
        <v>2</v>
      </c>
      <c r="AG289" cm="1">
        <f t="array" ref="AG289">SUM(SUMIFS(tblStock[qty_units],tblStock[sku],tblSKU[[#This Row],[sku]],tblStock[stock_type],{"Saleable","FOC"}))</f>
        <v>2239</v>
      </c>
      <c r="AH289" s="3">
        <f>SUMIFS(tblStock[value_nzd],tblStock[sku],tblSKU[[#This Row],[sku]])</f>
        <v>31905.75</v>
      </c>
      <c r="AI289" s="4">
        <f>SUMIFS(tblStock[cbm],tblStock[sku],tblSKU[[#This Row],[sku]])</f>
        <v>0.51291758333333337</v>
      </c>
      <c r="AJ289" s="1">
        <f>SUMIFS(tblStock[positions],tblStock[sku],tblSKU[[#This Row],[sku]])</f>
        <v>1</v>
      </c>
      <c r="AK289" s="3">
        <f>SUMIFS(tblStock[value_nzd],tblStock[sku],tblSKU[[#This Row],[sku]],tblStock[stock_type],"Expired")</f>
        <v>0</v>
      </c>
      <c r="AL289" s="3" cm="1">
        <f t="array" ref="AL289">SUM(SUMIFS(tblStock[value_nzd],tblStock[sku],tblSKU[[#This Row],[sku]],tblStock[stock_type],{"Saleable","FOC"},tblStock[expiry_date],"&lt;"&amp;EDATE(SnapshotDate,6)))</f>
        <v>0</v>
      </c>
    </row>
    <row r="290" spans="1:38">
      <c r="A290" s="1" t="s">
        <v>628</v>
      </c>
      <c r="B290" s="1" t="s">
        <v>629</v>
      </c>
      <c r="C290" s="1" t="s">
        <v>43</v>
      </c>
      <c r="D290" s="1" t="s">
        <v>37</v>
      </c>
      <c r="E290" s="1" t="s">
        <v>564</v>
      </c>
      <c r="F290" s="1" t="s">
        <v>39</v>
      </c>
      <c r="G290">
        <v>200</v>
      </c>
      <c r="H290">
        <v>46.4</v>
      </c>
      <c r="I290">
        <v>26.7</v>
      </c>
      <c r="J290">
        <v>21.4</v>
      </c>
      <c r="K290">
        <v>2.6509999999999999E-2</v>
      </c>
      <c r="L290">
        <v>5.33</v>
      </c>
      <c r="M290">
        <v>22.13</v>
      </c>
      <c r="N290">
        <v>8</v>
      </c>
      <c r="O290">
        <v>5</v>
      </c>
      <c r="P290">
        <v>40</v>
      </c>
      <c r="Q290">
        <v>122</v>
      </c>
      <c r="R290">
        <v>238.2</v>
      </c>
      <c r="S290">
        <v>1.0604</v>
      </c>
      <c r="T290">
        <v>10</v>
      </c>
      <c r="U290">
        <v>1588</v>
      </c>
      <c r="V290">
        <v>35142.439999999995</v>
      </c>
      <c r="W290" s="1" t="s">
        <v>1262</v>
      </c>
      <c r="X290" s="1" t="s">
        <v>1258</v>
      </c>
      <c r="Y290">
        <v>0.11764705882352941</v>
      </c>
      <c r="Z290">
        <v>1.1676470588235295E-2</v>
      </c>
      <c r="AA290" s="1" t="s">
        <v>1263</v>
      </c>
      <c r="AB290">
        <v>0</v>
      </c>
      <c r="AC290">
        <v>0</v>
      </c>
      <c r="AD290" s="1">
        <v>11.97984886649874</v>
      </c>
      <c r="AE290">
        <v>4</v>
      </c>
      <c r="AF290">
        <f>COUNTIFS(tblStock[sku],tblSKU[[#This Row],[sku]])</f>
        <v>3</v>
      </c>
      <c r="AG290" cm="1">
        <f t="array" ref="AG290">SUM(SUMIFS(tblStock[qty_units],tblStock[sku],tblSKU[[#This Row],[sku]],tblStock[stock_type],{"Saleable","FOC"}))</f>
        <v>4756</v>
      </c>
      <c r="AH290" s="3">
        <f>SUMIFS(tblStock[value_nzd],tblStock[sku],tblSKU[[#This Row],[sku]])</f>
        <v>105250.27999999998</v>
      </c>
      <c r="AI290" s="4">
        <f>SUMIFS(tblStock[cbm],tblStock[sku],tblSKU[[#This Row],[sku]])</f>
        <v>0.63040779999999996</v>
      </c>
      <c r="AJ290" s="1">
        <f>SUMIFS(tblStock[positions],tblStock[sku],tblSKU[[#This Row],[sku]])</f>
        <v>1</v>
      </c>
      <c r="AK290" s="3">
        <f>SUMIFS(tblStock[value_nzd],tblStock[sku],tblSKU[[#This Row],[sku]],tblStock[stock_type],"Expired")</f>
        <v>0</v>
      </c>
      <c r="AL290" s="3" cm="1">
        <f t="array" ref="AL290">SUM(SUMIFS(tblStock[value_nzd],tblStock[sku],tblSKU[[#This Row],[sku]],tblStock[stock_type],{"Saleable","FOC"},tblStock[expiry_date],"&lt;"&amp;EDATE(SnapshotDate,6)))</f>
        <v>0</v>
      </c>
    </row>
    <row r="291" spans="1:38">
      <c r="A291" s="1" t="s">
        <v>630</v>
      </c>
      <c r="B291" s="1" t="s">
        <v>631</v>
      </c>
      <c r="C291" s="1" t="s">
        <v>43</v>
      </c>
      <c r="D291" s="1" t="s">
        <v>37</v>
      </c>
      <c r="E291" s="1" t="s">
        <v>564</v>
      </c>
      <c r="F291" s="1" t="s">
        <v>39</v>
      </c>
      <c r="G291">
        <v>200</v>
      </c>
      <c r="H291">
        <v>32.200000000000003</v>
      </c>
      <c r="I291">
        <v>28.8</v>
      </c>
      <c r="J291">
        <v>16.899999999999999</v>
      </c>
      <c r="K291">
        <v>1.567E-2</v>
      </c>
      <c r="L291">
        <v>3.61</v>
      </c>
      <c r="M291">
        <v>15.5</v>
      </c>
      <c r="N291">
        <v>12</v>
      </c>
      <c r="O291">
        <v>5</v>
      </c>
      <c r="P291">
        <v>60</v>
      </c>
      <c r="Q291">
        <v>99.5</v>
      </c>
      <c r="R291">
        <v>241.6</v>
      </c>
      <c r="S291">
        <v>0.94020000000000004</v>
      </c>
      <c r="T291">
        <v>19</v>
      </c>
      <c r="U291">
        <v>1564</v>
      </c>
      <c r="V291">
        <v>24242</v>
      </c>
      <c r="W291" s="1" t="s">
        <v>1262</v>
      </c>
      <c r="X291" s="1" t="s">
        <v>1262</v>
      </c>
      <c r="Y291">
        <v>0.22352941176470589</v>
      </c>
      <c r="Z291">
        <v>7.6666666666666662E-3</v>
      </c>
      <c r="AA291" s="1" t="s">
        <v>1263</v>
      </c>
      <c r="AB291">
        <v>0</v>
      </c>
      <c r="AC291">
        <v>0</v>
      </c>
      <c r="AD291" s="1">
        <v>13.086956521739131</v>
      </c>
      <c r="AE291">
        <v>2</v>
      </c>
      <c r="AF291">
        <f>COUNTIFS(tblStock[sku],tblSKU[[#This Row],[sku]])</f>
        <v>4</v>
      </c>
      <c r="AG291" cm="1">
        <f t="array" ref="AG291">SUM(SUMIFS(tblStock[qty_units],tblStock[sku],tblSKU[[#This Row],[sku]],tblStock[stock_type],{"Saleable","FOC"}))</f>
        <v>5117</v>
      </c>
      <c r="AH291" s="3">
        <f>SUMIFS(tblStock[value_nzd],tblStock[sku],tblSKU[[#This Row],[sku]])</f>
        <v>80894.5</v>
      </c>
      <c r="AI291" s="4">
        <f>SUMIFS(tblStock[cbm],tblStock[sku],tblSKU[[#This Row],[sku]])</f>
        <v>0.40890865000000004</v>
      </c>
      <c r="AJ291" s="1">
        <f>SUMIFS(tblStock[positions],tblStock[sku],tblSKU[[#This Row],[sku]])</f>
        <v>1</v>
      </c>
      <c r="AK291" s="3">
        <f>SUMIFS(tblStock[value_nzd],tblStock[sku],tblSKU[[#This Row],[sku]],tblStock[stock_type],"Expired")</f>
        <v>0</v>
      </c>
      <c r="AL291" s="3" cm="1">
        <f t="array" ref="AL291">SUM(SUMIFS(tblStock[value_nzd],tblStock[sku],tblSKU[[#This Row],[sku]],tblStock[stock_type],{"Saleable","FOC"},tblStock[expiry_date],"&lt;"&amp;EDATE(SnapshotDate,6)))</f>
        <v>0</v>
      </c>
    </row>
    <row r="292" spans="1:38">
      <c r="A292" s="1" t="s">
        <v>632</v>
      </c>
      <c r="B292" s="1" t="s">
        <v>633</v>
      </c>
      <c r="C292" s="1" t="s">
        <v>36</v>
      </c>
      <c r="D292" s="1" t="s">
        <v>37</v>
      </c>
      <c r="E292" s="1" t="s">
        <v>564</v>
      </c>
      <c r="F292" s="1" t="s">
        <v>39</v>
      </c>
      <c r="G292">
        <v>200</v>
      </c>
      <c r="H292">
        <v>44.5</v>
      </c>
      <c r="I292">
        <v>34.200000000000003</v>
      </c>
      <c r="J292">
        <v>20</v>
      </c>
      <c r="K292">
        <v>3.0439999999999998E-2</v>
      </c>
      <c r="L292">
        <v>7.63</v>
      </c>
      <c r="M292">
        <v>21.96</v>
      </c>
      <c r="N292">
        <v>6</v>
      </c>
      <c r="O292">
        <v>5</v>
      </c>
      <c r="P292">
        <v>30</v>
      </c>
      <c r="Q292">
        <v>115</v>
      </c>
      <c r="R292">
        <v>253.9</v>
      </c>
      <c r="S292">
        <v>0.9131999999999999</v>
      </c>
      <c r="T292">
        <v>16</v>
      </c>
      <c r="U292">
        <v>2538</v>
      </c>
      <c r="V292">
        <v>55734.48</v>
      </c>
      <c r="W292" s="1" t="s">
        <v>1262</v>
      </c>
      <c r="X292" s="1" t="s">
        <v>1258</v>
      </c>
      <c r="Y292">
        <v>0.18823529411764706</v>
      </c>
      <c r="Z292">
        <v>2.488235294117647E-2</v>
      </c>
      <c r="AA292" s="1" t="s">
        <v>1263</v>
      </c>
      <c r="AB292">
        <v>0</v>
      </c>
      <c r="AC292">
        <v>0</v>
      </c>
      <c r="AD292" s="1">
        <v>9.2419227738376666</v>
      </c>
      <c r="AE292">
        <v>4</v>
      </c>
      <c r="AF292">
        <f>COUNTIFS(tblStock[sku],tblSKU[[#This Row],[sku]])</f>
        <v>1</v>
      </c>
      <c r="AG292" cm="1">
        <f t="array" ref="AG292">SUM(SUMIFS(tblStock[qty_units],tblStock[sku],tblSKU[[#This Row],[sku]],tblStock[stock_type],{"Saleable","FOC"}))</f>
        <v>5864</v>
      </c>
      <c r="AH292" s="3">
        <f>SUMIFS(tblStock[value_nzd],tblStock[sku],tblSKU[[#This Row],[sku]])</f>
        <v>128773.44</v>
      </c>
      <c r="AI292" s="4">
        <f>SUMIFS(tblStock[cbm],tblStock[sku],tblSKU[[#This Row],[sku]])</f>
        <v>0.89250079999999998</v>
      </c>
      <c r="AJ292" s="1">
        <f>SUMIFS(tblStock[positions],tblStock[sku],tblSKU[[#This Row],[sku]])</f>
        <v>1</v>
      </c>
      <c r="AK292" s="3">
        <f>SUMIFS(tblStock[value_nzd],tblStock[sku],tblSKU[[#This Row],[sku]],tblStock[stock_type],"Expired")</f>
        <v>0</v>
      </c>
      <c r="AL292" s="3" cm="1">
        <f t="array" ref="AL292">SUM(SUMIFS(tblStock[value_nzd],tblStock[sku],tblSKU[[#This Row],[sku]],tblStock[stock_type],{"Saleable","FOC"},tblStock[expiry_date],"&lt;"&amp;EDATE(SnapshotDate,6)))</f>
        <v>0</v>
      </c>
    </row>
    <row r="293" spans="1:38">
      <c r="A293" s="1" t="s">
        <v>634</v>
      </c>
      <c r="B293" s="1" t="s">
        <v>635</v>
      </c>
      <c r="C293" s="1" t="s">
        <v>36</v>
      </c>
      <c r="D293" s="1" t="s">
        <v>37</v>
      </c>
      <c r="E293" s="1" t="s">
        <v>564</v>
      </c>
      <c r="F293" s="1" t="s">
        <v>39</v>
      </c>
      <c r="G293">
        <v>200</v>
      </c>
      <c r="H293">
        <v>42.7</v>
      </c>
      <c r="I293">
        <v>37.5</v>
      </c>
      <c r="J293">
        <v>25.2</v>
      </c>
      <c r="K293">
        <v>4.0349999999999997E-2</v>
      </c>
      <c r="L293">
        <v>7.89</v>
      </c>
      <c r="M293">
        <v>20.73</v>
      </c>
      <c r="N293">
        <v>5</v>
      </c>
      <c r="O293">
        <v>2</v>
      </c>
      <c r="P293">
        <v>10</v>
      </c>
      <c r="Q293">
        <v>65.400000000000006</v>
      </c>
      <c r="R293">
        <v>103.89999999999999</v>
      </c>
      <c r="S293">
        <v>0.40349999999999997</v>
      </c>
      <c r="T293">
        <v>24</v>
      </c>
      <c r="U293">
        <v>4109</v>
      </c>
      <c r="V293">
        <v>85179.57</v>
      </c>
      <c r="W293" s="1" t="s">
        <v>1262</v>
      </c>
      <c r="X293" s="1" t="s">
        <v>1258</v>
      </c>
      <c r="Y293">
        <v>0.28235294117647058</v>
      </c>
      <c r="Z293">
        <v>0.12085294117647058</v>
      </c>
      <c r="AA293" s="1" t="s">
        <v>1263</v>
      </c>
      <c r="AB293">
        <v>0</v>
      </c>
      <c r="AC293">
        <v>0</v>
      </c>
      <c r="AD293" s="1">
        <v>14.018009247992213</v>
      </c>
      <c r="AE293">
        <v>4</v>
      </c>
      <c r="AF293">
        <f>COUNTIFS(tblStock[sku],tblSKU[[#This Row],[sku]])</f>
        <v>3</v>
      </c>
      <c r="AG293" cm="1">
        <f t="array" ref="AG293">SUM(SUMIFS(tblStock[qty_units],tblStock[sku],tblSKU[[#This Row],[sku]],tblStock[stock_type],{"Saleable","FOC"}))</f>
        <v>14400</v>
      </c>
      <c r="AH293" s="3">
        <f>SUMIFS(tblStock[value_nzd],tblStock[sku],tblSKU[[#This Row],[sku]])</f>
        <v>298512</v>
      </c>
      <c r="AI293" s="4">
        <f>SUMIFS(tblStock[cbm],tblStock[sku],tblSKU[[#This Row],[sku]])</f>
        <v>2.9051999999999993</v>
      </c>
      <c r="AJ293" s="1">
        <f>SUMIFS(tblStock[positions],tblStock[sku],tblSKU[[#This Row],[sku]])</f>
        <v>8</v>
      </c>
      <c r="AK293" s="3">
        <f>SUMIFS(tblStock[value_nzd],tblStock[sku],tblSKU[[#This Row],[sku]],tblStock[stock_type],"Expired")</f>
        <v>0</v>
      </c>
      <c r="AL293" s="3" cm="1">
        <f t="array" ref="AL293">SUM(SUMIFS(tblStock[value_nzd],tblStock[sku],tblSKU[[#This Row],[sku]],tblStock[stock_type],{"Saleable","FOC"},tblStock[expiry_date],"&lt;"&amp;EDATE(SnapshotDate,6)))</f>
        <v>35199.54</v>
      </c>
    </row>
    <row r="294" spans="1:38">
      <c r="A294" s="1" t="s">
        <v>636</v>
      </c>
      <c r="B294" s="1" t="s">
        <v>637</v>
      </c>
      <c r="C294" s="1" t="s">
        <v>43</v>
      </c>
      <c r="D294" s="1" t="s">
        <v>37</v>
      </c>
      <c r="E294" s="1" t="s">
        <v>564</v>
      </c>
      <c r="F294" s="1" t="s">
        <v>39</v>
      </c>
      <c r="G294">
        <v>60</v>
      </c>
      <c r="H294">
        <v>31.8</v>
      </c>
      <c r="I294">
        <v>32.6</v>
      </c>
      <c r="J294">
        <v>23.1</v>
      </c>
      <c r="K294">
        <v>2.3949999999999999E-2</v>
      </c>
      <c r="L294">
        <v>3.62</v>
      </c>
      <c r="M294">
        <v>3.28</v>
      </c>
      <c r="N294">
        <v>9</v>
      </c>
      <c r="O294">
        <v>5</v>
      </c>
      <c r="P294">
        <v>45</v>
      </c>
      <c r="Q294">
        <v>130.5</v>
      </c>
      <c r="R294">
        <v>187.9</v>
      </c>
      <c r="S294">
        <v>1.07775</v>
      </c>
      <c r="T294">
        <v>108</v>
      </c>
      <c r="U294">
        <v>5379</v>
      </c>
      <c r="V294">
        <v>17643.12</v>
      </c>
      <c r="W294" s="1" t="s">
        <v>1264</v>
      </c>
      <c r="X294" s="1" t="s">
        <v>1262</v>
      </c>
      <c r="Y294">
        <v>1.2705882352941176</v>
      </c>
      <c r="Z294">
        <v>0.11718954248366013</v>
      </c>
      <c r="AA294" s="1" t="s">
        <v>1265</v>
      </c>
      <c r="AB294">
        <v>1</v>
      </c>
      <c r="AC294">
        <v>0</v>
      </c>
      <c r="AD294" s="1">
        <v>11.078639152258784</v>
      </c>
      <c r="AE294">
        <v>2</v>
      </c>
      <c r="AF294">
        <f>COUNTIFS(tblStock[sku],tblSKU[[#This Row],[sku]])</f>
        <v>1</v>
      </c>
      <c r="AG294" cm="1">
        <f t="array" ref="AG294">SUM(SUMIFS(tblStock[qty_units],tblStock[sku],tblSKU[[#This Row],[sku]],tblStock[stock_type],{"Saleable","FOC"}))</f>
        <v>14898</v>
      </c>
      <c r="AH294" s="3">
        <f>SUMIFS(tblStock[value_nzd],tblStock[sku],tblSKU[[#This Row],[sku]])</f>
        <v>48865.439999999995</v>
      </c>
      <c r="AI294" s="4">
        <f>SUMIFS(tblStock[cbm],tblStock[sku],tblSKU[[#This Row],[sku]])</f>
        <v>5.9467850000000002</v>
      </c>
      <c r="AJ294" s="1">
        <f>SUMIFS(tblStock[positions],tblStock[sku],tblSKU[[#This Row],[sku]])</f>
        <v>6</v>
      </c>
      <c r="AK294" s="3">
        <f>SUMIFS(tblStock[value_nzd],tblStock[sku],tblSKU[[#This Row],[sku]],tblStock[stock_type],"Expired")</f>
        <v>0</v>
      </c>
      <c r="AL294" s="3" cm="1">
        <f t="array" ref="AL294">SUM(SUMIFS(tblStock[value_nzd],tblStock[sku],tblSKU[[#This Row],[sku]],tblStock[stock_type],{"Saleable","FOC"},tblStock[expiry_date],"&lt;"&amp;EDATE(SnapshotDate,6)))</f>
        <v>0</v>
      </c>
    </row>
    <row r="295" spans="1:38">
      <c r="A295" s="1" t="s">
        <v>638</v>
      </c>
      <c r="B295" s="1" t="s">
        <v>639</v>
      </c>
      <c r="C295" s="1" t="s">
        <v>36</v>
      </c>
      <c r="D295" s="1" t="s">
        <v>37</v>
      </c>
      <c r="E295" s="1" t="s">
        <v>564</v>
      </c>
      <c r="F295" s="1" t="s">
        <v>39</v>
      </c>
      <c r="G295">
        <v>120</v>
      </c>
      <c r="H295">
        <v>53.3</v>
      </c>
      <c r="I295">
        <v>35.700000000000003</v>
      </c>
      <c r="J295">
        <v>23.3</v>
      </c>
      <c r="K295">
        <v>4.4339999999999997E-2</v>
      </c>
      <c r="L295">
        <v>10.46</v>
      </c>
      <c r="M295">
        <v>19.100000000000001</v>
      </c>
      <c r="N295">
        <v>4</v>
      </c>
      <c r="O295">
        <v>3</v>
      </c>
      <c r="P295">
        <v>12</v>
      </c>
      <c r="Q295">
        <v>84.9</v>
      </c>
      <c r="R295">
        <v>150.52000000000001</v>
      </c>
      <c r="S295">
        <v>0.53208</v>
      </c>
      <c r="T295">
        <v>3</v>
      </c>
      <c r="U295">
        <v>1322</v>
      </c>
      <c r="V295">
        <v>25250.2</v>
      </c>
      <c r="W295" s="1" t="s">
        <v>1262</v>
      </c>
      <c r="X295" s="1" t="s">
        <v>1262</v>
      </c>
      <c r="Y295">
        <v>3.5294117647058823E-2</v>
      </c>
      <c r="Z295">
        <v>5.4003267973856212E-2</v>
      </c>
      <c r="AA295" s="1" t="s">
        <v>1263</v>
      </c>
      <c r="AB295">
        <v>0</v>
      </c>
      <c r="AC295">
        <v>0</v>
      </c>
      <c r="AD295" s="1">
        <v>17.921331316187594</v>
      </c>
      <c r="AE295">
        <v>2</v>
      </c>
      <c r="AF295">
        <f>COUNTIFS(tblStock[sku],tblSKU[[#This Row],[sku]])</f>
        <v>2</v>
      </c>
      <c r="AG295" cm="1">
        <f t="array" ref="AG295">SUM(SUMIFS(tblStock[qty_units],tblStock[sku],tblSKU[[#This Row],[sku]],tblStock[stock_type],{"Saleable","FOC"}))</f>
        <v>5923</v>
      </c>
      <c r="AH295" s="3">
        <f>SUMIFS(tblStock[value_nzd],tblStock[sku],tblSKU[[#This Row],[sku]])</f>
        <v>113129.3</v>
      </c>
      <c r="AI295" s="4">
        <f>SUMIFS(tblStock[cbm],tblStock[sku],tblSKU[[#This Row],[sku]])</f>
        <v>2.1885485</v>
      </c>
      <c r="AJ295" s="1">
        <f>SUMIFS(tblStock[positions],tblStock[sku],tblSKU[[#This Row],[sku]])</f>
        <v>4</v>
      </c>
      <c r="AK295" s="3">
        <f>SUMIFS(tblStock[value_nzd],tblStock[sku],tblSKU[[#This Row],[sku]],tblStock[stock_type],"Expired")</f>
        <v>0</v>
      </c>
      <c r="AL295" s="3" cm="1">
        <f t="array" ref="AL295">SUM(SUMIFS(tblStock[value_nzd],tblStock[sku],tblSKU[[#This Row],[sku]],tblStock[stock_type],{"Saleable","FOC"},tblStock[expiry_date],"&lt;"&amp;EDATE(SnapshotDate,6)))</f>
        <v>0</v>
      </c>
    </row>
    <row r="296" spans="1:38">
      <c r="A296" s="1" t="s">
        <v>640</v>
      </c>
      <c r="B296" s="1" t="s">
        <v>641</v>
      </c>
      <c r="C296" s="1" t="s">
        <v>43</v>
      </c>
      <c r="D296" s="1" t="s">
        <v>37</v>
      </c>
      <c r="E296" s="1" t="s">
        <v>564</v>
      </c>
      <c r="F296" s="1" t="s">
        <v>39</v>
      </c>
      <c r="G296">
        <v>100</v>
      </c>
      <c r="H296">
        <v>37.5</v>
      </c>
      <c r="I296">
        <v>29.4</v>
      </c>
      <c r="J296">
        <v>22.3</v>
      </c>
      <c r="K296">
        <v>2.4590000000000001E-2</v>
      </c>
      <c r="L296">
        <v>6.56</v>
      </c>
      <c r="M296">
        <v>18.899999999999999</v>
      </c>
      <c r="N296">
        <v>9</v>
      </c>
      <c r="O296">
        <v>4</v>
      </c>
      <c r="P296">
        <v>36</v>
      </c>
      <c r="Q296">
        <v>104.2</v>
      </c>
      <c r="R296">
        <v>261.15999999999997</v>
      </c>
      <c r="S296">
        <v>0.88524000000000003</v>
      </c>
      <c r="T296">
        <v>49</v>
      </c>
      <c r="U296">
        <v>3500</v>
      </c>
      <c r="V296">
        <v>66150</v>
      </c>
      <c r="W296" s="1" t="s">
        <v>1258</v>
      </c>
      <c r="X296" s="1" t="s">
        <v>1258</v>
      </c>
      <c r="Y296">
        <v>0.57647058823529407</v>
      </c>
      <c r="Z296">
        <v>5.7189542483660122E-2</v>
      </c>
      <c r="AA296" s="1" t="s">
        <v>1259</v>
      </c>
      <c r="AB296">
        <v>0</v>
      </c>
      <c r="AC296">
        <v>1</v>
      </c>
      <c r="AD296" s="1">
        <v>3.6685714285714286</v>
      </c>
      <c r="AE296">
        <v>4</v>
      </c>
      <c r="AF296">
        <f>COUNTIFS(tblStock[sku],tblSKU[[#This Row],[sku]])</f>
        <v>4</v>
      </c>
      <c r="AG296" cm="1">
        <f t="array" ref="AG296">SUM(SUMIFS(tblStock[qty_units],tblStock[sku],tblSKU[[#This Row],[sku]],tblStock[stock_type],{"Saleable","FOC"}))</f>
        <v>3210</v>
      </c>
      <c r="AH296" s="3">
        <f>SUMIFS(tblStock[value_nzd],tblStock[sku],tblSKU[[#This Row],[sku]])</f>
        <v>60668.999999999993</v>
      </c>
      <c r="AI296" s="4">
        <f>SUMIFS(tblStock[cbm],tblStock[sku],tblSKU[[#This Row],[sku]])</f>
        <v>0.78933900000000001</v>
      </c>
      <c r="AJ296" s="1">
        <f>SUMIFS(tblStock[positions],tblStock[sku],tblSKU[[#This Row],[sku]])</f>
        <v>2</v>
      </c>
      <c r="AK296" s="3">
        <f>SUMIFS(tblStock[value_nzd],tblStock[sku],tblSKU[[#This Row],[sku]],tblStock[stock_type],"Expired")</f>
        <v>0</v>
      </c>
      <c r="AL296" s="3" cm="1">
        <f t="array" ref="AL296">SUM(SUMIFS(tblStock[value_nzd],tblStock[sku],tblSKU[[#This Row],[sku]],tblStock[stock_type],{"Saleable","FOC"},tblStock[expiry_date],"&lt;"&amp;EDATE(SnapshotDate,6)))</f>
        <v>24966.899999999998</v>
      </c>
    </row>
    <row r="297" spans="1:38">
      <c r="A297" s="1" t="s">
        <v>642</v>
      </c>
      <c r="B297" s="1" t="s">
        <v>643</v>
      </c>
      <c r="C297" s="1" t="s">
        <v>43</v>
      </c>
      <c r="D297" s="1" t="s">
        <v>37</v>
      </c>
      <c r="E297" s="1" t="s">
        <v>564</v>
      </c>
      <c r="F297" s="1" t="s">
        <v>39</v>
      </c>
      <c r="G297">
        <v>200</v>
      </c>
      <c r="H297">
        <v>35.299999999999997</v>
      </c>
      <c r="I297">
        <v>25.1</v>
      </c>
      <c r="J297">
        <v>23.2</v>
      </c>
      <c r="K297">
        <v>2.0559999999999998E-2</v>
      </c>
      <c r="L297">
        <v>4.79</v>
      </c>
      <c r="M297">
        <v>6.32</v>
      </c>
      <c r="N297">
        <v>9</v>
      </c>
      <c r="O297">
        <v>3</v>
      </c>
      <c r="P297">
        <v>27</v>
      </c>
      <c r="Q297">
        <v>84.6</v>
      </c>
      <c r="R297">
        <v>154.33000000000001</v>
      </c>
      <c r="S297">
        <v>0.55511999999999995</v>
      </c>
      <c r="T297">
        <v>20</v>
      </c>
      <c r="U297">
        <v>823</v>
      </c>
      <c r="V297">
        <v>5201.3600000000006</v>
      </c>
      <c r="W297" s="1" t="s">
        <v>1262</v>
      </c>
      <c r="X297" s="1" t="s">
        <v>1262</v>
      </c>
      <c r="Y297">
        <v>0.23529411764705882</v>
      </c>
      <c r="Z297">
        <v>8.9651416122004356E-3</v>
      </c>
      <c r="AA297" s="1" t="s">
        <v>1263</v>
      </c>
      <c r="AB297">
        <v>0</v>
      </c>
      <c r="AC297">
        <v>0</v>
      </c>
      <c r="AD297" s="1">
        <v>5.3268529769137301</v>
      </c>
      <c r="AE297">
        <v>2</v>
      </c>
      <c r="AF297">
        <f>COUNTIFS(tblStock[sku],tblSKU[[#This Row],[sku]])</f>
        <v>2</v>
      </c>
      <c r="AG297" cm="1">
        <f t="array" ref="AG297">SUM(SUMIFS(tblStock[qty_units],tblStock[sku],tblSKU[[#This Row],[sku]],tblStock[stock_type],{"Saleable","FOC"}))</f>
        <v>1096</v>
      </c>
      <c r="AH297" s="3">
        <f>SUMIFS(tblStock[value_nzd],tblStock[sku],tblSKU[[#This Row],[sku]])</f>
        <v>6926.72</v>
      </c>
      <c r="AI297" s="4">
        <f>SUMIFS(tblStock[cbm],tblStock[sku],tblSKU[[#This Row],[sku]])</f>
        <v>0.11266879999999999</v>
      </c>
      <c r="AJ297" s="1">
        <f>SUMIFS(tblStock[positions],tblStock[sku],tblSKU[[#This Row],[sku]])</f>
        <v>0</v>
      </c>
      <c r="AK297" s="3">
        <f>SUMIFS(tblStock[value_nzd],tblStock[sku],tblSKU[[#This Row],[sku]],tblStock[stock_type],"Expired")</f>
        <v>0</v>
      </c>
      <c r="AL297" s="3" cm="1">
        <f t="array" ref="AL297">SUM(SUMIFS(tblStock[value_nzd],tblStock[sku],tblSKU[[#This Row],[sku]],tblStock[stock_type],{"Saleable","FOC"},tblStock[expiry_date],"&lt;"&amp;EDATE(SnapshotDate,6)))</f>
        <v>0</v>
      </c>
    </row>
    <row r="298" spans="1:38">
      <c r="A298" s="1" t="s">
        <v>644</v>
      </c>
      <c r="B298" s="1" t="s">
        <v>645</v>
      </c>
      <c r="C298" s="1" t="s">
        <v>36</v>
      </c>
      <c r="D298" s="1" t="s">
        <v>37</v>
      </c>
      <c r="E298" s="1" t="s">
        <v>564</v>
      </c>
      <c r="F298" s="1" t="s">
        <v>39</v>
      </c>
      <c r="G298">
        <v>100</v>
      </c>
      <c r="H298">
        <v>45</v>
      </c>
      <c r="I298">
        <v>36.200000000000003</v>
      </c>
      <c r="J298">
        <v>15.5</v>
      </c>
      <c r="K298">
        <v>2.5250000000000002E-2</v>
      </c>
      <c r="L298">
        <v>4.5999999999999996</v>
      </c>
      <c r="M298">
        <v>7.23</v>
      </c>
      <c r="N298">
        <v>6</v>
      </c>
      <c r="O298">
        <v>7</v>
      </c>
      <c r="P298">
        <v>42</v>
      </c>
      <c r="Q298">
        <v>123.5</v>
      </c>
      <c r="R298">
        <v>218.2</v>
      </c>
      <c r="S298">
        <v>1.0605</v>
      </c>
      <c r="T298">
        <v>7</v>
      </c>
      <c r="U298">
        <v>234</v>
      </c>
      <c r="V298">
        <v>1691.8200000000002</v>
      </c>
      <c r="W298" s="1" t="s">
        <v>1262</v>
      </c>
      <c r="X298" s="1" t="s">
        <v>1262</v>
      </c>
      <c r="Y298">
        <v>8.2352941176470587E-2</v>
      </c>
      <c r="Z298">
        <v>3.2773109243697477E-3</v>
      </c>
      <c r="AA298" s="1" t="s">
        <v>1263</v>
      </c>
      <c r="AB298">
        <v>0</v>
      </c>
      <c r="AC298">
        <v>0</v>
      </c>
      <c r="AD298" s="1">
        <v>3.5897435897435899</v>
      </c>
      <c r="AE298">
        <v>2</v>
      </c>
      <c r="AF298">
        <f>COUNTIFS(tblStock[sku],tblSKU[[#This Row],[sku]])</f>
        <v>2</v>
      </c>
      <c r="AG298" cm="1">
        <f t="array" ref="AG298">SUM(SUMIFS(tblStock[qty_units],tblStock[sku],tblSKU[[#This Row],[sku]],tblStock[stock_type],{"Saleable","FOC"}))</f>
        <v>210</v>
      </c>
      <c r="AH298" s="3">
        <f>SUMIFS(tblStock[value_nzd],tblStock[sku],tblSKU[[#This Row],[sku]])</f>
        <v>1518.3000000000002</v>
      </c>
      <c r="AI298" s="4">
        <f>SUMIFS(tblStock[cbm],tblStock[sku],tblSKU[[#This Row],[sku]])</f>
        <v>5.3025000000000003E-2</v>
      </c>
      <c r="AJ298" s="1">
        <f>SUMIFS(tblStock[positions],tblStock[sku],tblSKU[[#This Row],[sku]])</f>
        <v>0</v>
      </c>
      <c r="AK298" s="3">
        <f>SUMIFS(tblStock[value_nzd],tblStock[sku],tblSKU[[#This Row],[sku]],tblStock[stock_type],"Expired")</f>
        <v>0</v>
      </c>
      <c r="AL298" s="3" cm="1">
        <f t="array" ref="AL298">SUM(SUMIFS(tblStock[value_nzd],tblStock[sku],tblSKU[[#This Row],[sku]],tblStock[stock_type],{"Saleable","FOC"},tblStock[expiry_date],"&lt;"&amp;EDATE(SnapshotDate,6)))</f>
        <v>0</v>
      </c>
    </row>
    <row r="299" spans="1:38">
      <c r="A299" s="1" t="s">
        <v>646</v>
      </c>
      <c r="B299" s="1" t="s">
        <v>647</v>
      </c>
      <c r="C299" s="1" t="s">
        <v>43</v>
      </c>
      <c r="D299" s="1" t="s">
        <v>37</v>
      </c>
      <c r="E299" s="1" t="s">
        <v>564</v>
      </c>
      <c r="F299" s="1" t="s">
        <v>39</v>
      </c>
      <c r="G299">
        <v>100</v>
      </c>
      <c r="H299">
        <v>53.9</v>
      </c>
      <c r="I299">
        <v>31.1</v>
      </c>
      <c r="J299">
        <v>17.899999999999999</v>
      </c>
      <c r="K299">
        <v>3.0009999999999998E-2</v>
      </c>
      <c r="L299">
        <v>7.68</v>
      </c>
      <c r="M299">
        <v>8</v>
      </c>
      <c r="N299">
        <v>6</v>
      </c>
      <c r="O299">
        <v>3</v>
      </c>
      <c r="P299">
        <v>18</v>
      </c>
      <c r="Q299">
        <v>68.699999999999989</v>
      </c>
      <c r="R299">
        <v>163.24</v>
      </c>
      <c r="S299">
        <v>0.54017999999999999</v>
      </c>
      <c r="T299">
        <v>3</v>
      </c>
      <c r="U299">
        <v>285</v>
      </c>
      <c r="V299">
        <v>2280</v>
      </c>
      <c r="W299" s="1" t="s">
        <v>1262</v>
      </c>
      <c r="X299" s="1" t="s">
        <v>1262</v>
      </c>
      <c r="Y299">
        <v>3.5294117647058823E-2</v>
      </c>
      <c r="Z299">
        <v>9.31372549019608E-3</v>
      </c>
      <c r="AA299" s="1" t="s">
        <v>1263</v>
      </c>
      <c r="AB299">
        <v>0</v>
      </c>
      <c r="AC299">
        <v>0</v>
      </c>
      <c r="AD299" s="1">
        <v>19.298245614035089</v>
      </c>
      <c r="AE299">
        <v>2</v>
      </c>
      <c r="AF299">
        <f>COUNTIFS(tblStock[sku],tblSKU[[#This Row],[sku]])</f>
        <v>1</v>
      </c>
      <c r="AG299" cm="1">
        <f t="array" ref="AG299">SUM(SUMIFS(tblStock[qty_units],tblStock[sku],tblSKU[[#This Row],[sku]],tblStock[stock_type],{"Saleable","FOC"}))</f>
        <v>1375</v>
      </c>
      <c r="AH299" s="3">
        <f>SUMIFS(tblStock[value_nzd],tblStock[sku],tblSKU[[#This Row],[sku]])</f>
        <v>11000</v>
      </c>
      <c r="AI299" s="4">
        <f>SUMIFS(tblStock[cbm],tblStock[sku],tblSKU[[#This Row],[sku]])</f>
        <v>0.41263749999999999</v>
      </c>
      <c r="AJ299" s="1">
        <f>SUMIFS(tblStock[positions],tblStock[sku],tblSKU[[#This Row],[sku]])</f>
        <v>1</v>
      </c>
      <c r="AK299" s="3">
        <f>SUMIFS(tblStock[value_nzd],tblStock[sku],tblSKU[[#This Row],[sku]],tblStock[stock_type],"Expired")</f>
        <v>0</v>
      </c>
      <c r="AL299" s="3" cm="1">
        <f t="array" ref="AL299">SUM(SUMIFS(tblStock[value_nzd],tblStock[sku],tblSKU[[#This Row],[sku]],tblStock[stock_type],{"Saleable","FOC"},tblStock[expiry_date],"&lt;"&amp;EDATE(SnapshotDate,6)))</f>
        <v>11000</v>
      </c>
    </row>
    <row r="300" spans="1:38">
      <c r="A300" s="1" t="s">
        <v>648</v>
      </c>
      <c r="B300" s="1" t="s">
        <v>649</v>
      </c>
      <c r="C300" s="1" t="s">
        <v>36</v>
      </c>
      <c r="D300" s="1" t="s">
        <v>37</v>
      </c>
      <c r="E300" s="1" t="s">
        <v>564</v>
      </c>
      <c r="F300" s="1" t="s">
        <v>39</v>
      </c>
      <c r="G300">
        <v>100</v>
      </c>
      <c r="H300">
        <v>46.8</v>
      </c>
      <c r="I300">
        <v>38.700000000000003</v>
      </c>
      <c r="J300">
        <v>20.8</v>
      </c>
      <c r="K300">
        <v>3.7670000000000002E-2</v>
      </c>
      <c r="L300">
        <v>7.31</v>
      </c>
      <c r="M300">
        <v>21.44</v>
      </c>
      <c r="N300">
        <v>6</v>
      </c>
      <c r="O300">
        <v>6</v>
      </c>
      <c r="P300">
        <v>36</v>
      </c>
      <c r="Q300">
        <v>139.80000000000001</v>
      </c>
      <c r="R300">
        <v>288.15999999999997</v>
      </c>
      <c r="S300">
        <v>1.35612</v>
      </c>
      <c r="T300">
        <v>65</v>
      </c>
      <c r="U300">
        <v>4391</v>
      </c>
      <c r="V300">
        <v>94143.040000000008</v>
      </c>
      <c r="W300" s="1" t="s">
        <v>1258</v>
      </c>
      <c r="X300" s="1" t="s">
        <v>1258</v>
      </c>
      <c r="Y300">
        <v>0.76470588235294112</v>
      </c>
      <c r="Z300">
        <v>7.1748366013071885E-2</v>
      </c>
      <c r="AA300" s="1" t="s">
        <v>1259</v>
      </c>
      <c r="AB300">
        <v>0</v>
      </c>
      <c r="AC300">
        <v>1</v>
      </c>
      <c r="AD300" s="1">
        <v>6.5160555682076975</v>
      </c>
      <c r="AE300">
        <v>4</v>
      </c>
      <c r="AF300">
        <f>COUNTIFS(tblStock[sku],tblSKU[[#This Row],[sku]])</f>
        <v>3</v>
      </c>
      <c r="AG300" cm="1">
        <f t="array" ref="AG300">SUM(SUMIFS(tblStock[qty_units],tblStock[sku],tblSKU[[#This Row],[sku]],tblStock[stock_type],{"Saleable","FOC"}))</f>
        <v>7153</v>
      </c>
      <c r="AH300" s="3">
        <f>SUMIFS(tblStock[value_nzd],tblStock[sku],tblSKU[[#This Row],[sku]])</f>
        <v>153360.32000000001</v>
      </c>
      <c r="AI300" s="4">
        <f>SUMIFS(tblStock[cbm],tblStock[sku],tblSKU[[#This Row],[sku]])</f>
        <v>2.6945351000000004</v>
      </c>
      <c r="AJ300" s="1">
        <f>SUMIFS(tblStock[positions],tblStock[sku],tblSKU[[#This Row],[sku]])</f>
        <v>3</v>
      </c>
      <c r="AK300" s="3">
        <f>SUMIFS(tblStock[value_nzd],tblStock[sku],tblSKU[[#This Row],[sku]],tblStock[stock_type],"Expired")</f>
        <v>0</v>
      </c>
      <c r="AL300" s="3" cm="1">
        <f t="array" ref="AL300">SUM(SUMIFS(tblStock[value_nzd],tblStock[sku],tblSKU[[#This Row],[sku]],tblStock[stock_type],{"Saleable","FOC"},tblStock[expiry_date],"&lt;"&amp;EDATE(SnapshotDate,6)))</f>
        <v>12671.04</v>
      </c>
    </row>
    <row r="301" spans="1:38">
      <c r="A301" s="1" t="s">
        <v>650</v>
      </c>
      <c r="B301" s="1" t="s">
        <v>651</v>
      </c>
      <c r="C301" s="1" t="s">
        <v>577</v>
      </c>
      <c r="D301" s="1" t="s">
        <v>37</v>
      </c>
      <c r="E301" s="1" t="s">
        <v>564</v>
      </c>
      <c r="F301" s="1" t="s">
        <v>39</v>
      </c>
      <c r="G301">
        <v>60</v>
      </c>
      <c r="H301">
        <v>41.7</v>
      </c>
      <c r="I301">
        <v>29.6</v>
      </c>
      <c r="J301">
        <v>17.600000000000001</v>
      </c>
      <c r="K301">
        <v>2.172E-2</v>
      </c>
      <c r="L301">
        <v>3.37</v>
      </c>
      <c r="M301">
        <v>13.79</v>
      </c>
      <c r="N301">
        <v>8</v>
      </c>
      <c r="O301">
        <v>7</v>
      </c>
      <c r="P301">
        <v>56</v>
      </c>
      <c r="Q301">
        <v>138.20000000000002</v>
      </c>
      <c r="R301">
        <v>213.72</v>
      </c>
      <c r="S301">
        <v>1.2163200000000001</v>
      </c>
      <c r="T301">
        <v>34</v>
      </c>
      <c r="U301">
        <v>2232</v>
      </c>
      <c r="V301">
        <v>30779.279999999999</v>
      </c>
      <c r="W301" s="1" t="s">
        <v>1258</v>
      </c>
      <c r="X301" s="1" t="s">
        <v>1258</v>
      </c>
      <c r="Y301">
        <v>0.4</v>
      </c>
      <c r="Z301">
        <v>3.9075630252100847E-2</v>
      </c>
      <c r="AA301" s="1" t="s">
        <v>1259</v>
      </c>
      <c r="AB301">
        <v>0</v>
      </c>
      <c r="AC301">
        <v>1</v>
      </c>
      <c r="AD301" s="1">
        <v>2.2060931899641578</v>
      </c>
      <c r="AE301">
        <v>4</v>
      </c>
      <c r="AF301">
        <f>COUNTIFS(tblStock[sku],tblSKU[[#This Row],[sku]])</f>
        <v>3</v>
      </c>
      <c r="AG301" cm="1">
        <f t="array" ref="AG301">SUM(SUMIFS(tblStock[qty_units],tblStock[sku],tblSKU[[#This Row],[sku]],tblStock[stock_type],{"Saleable","FOC"}))</f>
        <v>1231</v>
      </c>
      <c r="AH301" s="3">
        <f>SUMIFS(tblStock[value_nzd],tblStock[sku],tblSKU[[#This Row],[sku]])</f>
        <v>16975.489999999998</v>
      </c>
      <c r="AI301" s="4">
        <f>SUMIFS(tblStock[cbm],tblStock[sku],tblSKU[[#This Row],[sku]])</f>
        <v>0.44562200000000002</v>
      </c>
      <c r="AJ301" s="1">
        <f>SUMIFS(tblStock[positions],tblStock[sku],tblSKU[[#This Row],[sku]])</f>
        <v>1</v>
      </c>
      <c r="AK301" s="3">
        <f>SUMIFS(tblStock[value_nzd],tblStock[sku],tblSKU[[#This Row],[sku]],tblStock[stock_type],"Expired")</f>
        <v>0</v>
      </c>
      <c r="AL301" s="3" cm="1">
        <f t="array" ref="AL301">SUM(SUMIFS(tblStock[value_nzd],tblStock[sku],tblSKU[[#This Row],[sku]],tblStock[stock_type],{"Saleable","FOC"},tblStock[expiry_date],"&lt;"&amp;EDATE(SnapshotDate,6)))</f>
        <v>0</v>
      </c>
    </row>
    <row r="302" spans="1:38">
      <c r="A302" s="1" t="s">
        <v>652</v>
      </c>
      <c r="B302" s="1" t="s">
        <v>653</v>
      </c>
      <c r="C302" s="1" t="s">
        <v>43</v>
      </c>
      <c r="D302" s="1" t="s">
        <v>37</v>
      </c>
      <c r="E302" s="1" t="s">
        <v>564</v>
      </c>
      <c r="F302" s="1" t="s">
        <v>39</v>
      </c>
      <c r="G302">
        <v>60</v>
      </c>
      <c r="H302">
        <v>42.7</v>
      </c>
      <c r="I302">
        <v>29.6</v>
      </c>
      <c r="J302">
        <v>26.2</v>
      </c>
      <c r="K302">
        <v>3.3114703999999995E-2</v>
      </c>
      <c r="L302">
        <v>6.62</v>
      </c>
      <c r="M302">
        <v>15</v>
      </c>
      <c r="N302">
        <v>8</v>
      </c>
      <c r="O302">
        <v>4</v>
      </c>
      <c r="P302">
        <v>32</v>
      </c>
      <c r="Q302">
        <v>119.8</v>
      </c>
      <c r="R302">
        <v>236.84</v>
      </c>
      <c r="S302">
        <v>1.0596705279999998</v>
      </c>
      <c r="T302">
        <v>53</v>
      </c>
      <c r="U302">
        <v>3989</v>
      </c>
      <c r="V302">
        <v>59835</v>
      </c>
      <c r="W302" s="1" t="s">
        <v>1258</v>
      </c>
      <c r="X302" s="1" t="s">
        <v>1258</v>
      </c>
      <c r="Y302">
        <v>0.62352941176470589</v>
      </c>
      <c r="Z302">
        <v>0.12221200980392158</v>
      </c>
      <c r="AA302" s="1" t="s">
        <v>1259</v>
      </c>
      <c r="AB302">
        <v>0</v>
      </c>
      <c r="AC302">
        <v>1</v>
      </c>
      <c r="AD302" s="1">
        <v>6.7415392328904487</v>
      </c>
      <c r="AE302">
        <v>4</v>
      </c>
      <c r="AF302">
        <f>COUNTIFS(tblStock[sku],tblSKU[[#This Row],[sku]])</f>
        <v>2</v>
      </c>
      <c r="AG302" cm="1">
        <f t="array" ref="AG302">SUM(SUMIFS(tblStock[qty_units],tblStock[sku],tblSKU[[#This Row],[sku]],tblStock[stock_type],{"Saleable","FOC"}))</f>
        <v>6723</v>
      </c>
      <c r="AH302" s="3">
        <f>SUMIFS(tblStock[value_nzd],tblStock[sku],tblSKU[[#This Row],[sku]])</f>
        <v>100845</v>
      </c>
      <c r="AI302" s="4">
        <f>SUMIFS(tblStock[cbm],tblStock[sku],tblSKU[[#This Row],[sku]])</f>
        <v>3.7105025831999887</v>
      </c>
      <c r="AJ302" s="1">
        <f>SUMIFS(tblStock[positions],tblStock[sku],tblSKU[[#This Row],[sku]])</f>
        <v>5</v>
      </c>
      <c r="AK302" s="3">
        <f>SUMIFS(tblStock[value_nzd],tblStock[sku],tblSKU[[#This Row],[sku]],tblStock[stock_type],"Expired")</f>
        <v>0</v>
      </c>
      <c r="AL302" s="3" cm="1">
        <f t="array" ref="AL302">SUM(SUMIFS(tblStock[value_nzd],tblStock[sku],tblSKU[[#This Row],[sku]],tblStock[stock_type],{"Saleable","FOC"},tblStock[expiry_date],"&lt;"&amp;EDATE(SnapshotDate,6)))</f>
        <v>0</v>
      </c>
    </row>
    <row r="303" spans="1:38">
      <c r="A303" s="1" t="s">
        <v>654</v>
      </c>
      <c r="B303" s="1" t="s">
        <v>655</v>
      </c>
      <c r="C303" s="1" t="s">
        <v>43</v>
      </c>
      <c r="D303" s="1" t="s">
        <v>37</v>
      </c>
      <c r="E303" s="1" t="s">
        <v>564</v>
      </c>
      <c r="F303" s="1" t="s">
        <v>39</v>
      </c>
      <c r="G303">
        <v>200</v>
      </c>
      <c r="H303">
        <v>42.7</v>
      </c>
      <c r="I303">
        <v>29.5</v>
      </c>
      <c r="J303">
        <v>21.2</v>
      </c>
      <c r="K303">
        <v>2.6700000000000002E-2</v>
      </c>
      <c r="L303">
        <v>6.15</v>
      </c>
      <c r="M303">
        <v>29.35</v>
      </c>
      <c r="N303">
        <v>8</v>
      </c>
      <c r="O303">
        <v>4</v>
      </c>
      <c r="P303">
        <v>32</v>
      </c>
      <c r="Q303">
        <v>99.8</v>
      </c>
      <c r="R303">
        <v>221.8</v>
      </c>
      <c r="S303">
        <v>0.85440000000000005</v>
      </c>
      <c r="T303">
        <v>248</v>
      </c>
      <c r="U303">
        <v>22973</v>
      </c>
      <c r="V303">
        <v>674257.55</v>
      </c>
      <c r="W303" s="1" t="s">
        <v>1264</v>
      </c>
      <c r="X303" s="1" t="s">
        <v>1264</v>
      </c>
      <c r="Y303">
        <v>2.9176470588235293</v>
      </c>
      <c r="Z303">
        <v>0.2111488970588235</v>
      </c>
      <c r="AA303" s="1" t="s">
        <v>1265</v>
      </c>
      <c r="AB303">
        <v>1</v>
      </c>
      <c r="AC303">
        <v>0</v>
      </c>
      <c r="AD303" s="1">
        <v>4.8733730901493058</v>
      </c>
      <c r="AE303">
        <v>12</v>
      </c>
      <c r="AF303">
        <f>COUNTIFS(tblStock[sku],tblSKU[[#This Row],[sku]])</f>
        <v>4</v>
      </c>
      <c r="AG303" cm="1">
        <f t="array" ref="AG303">SUM(SUMIFS(tblStock[qty_units],tblStock[sku],tblSKU[[#This Row],[sku]],tblStock[stock_type],{"Saleable","FOC"}))</f>
        <v>27989</v>
      </c>
      <c r="AH303" s="3">
        <f>SUMIFS(tblStock[value_nzd],tblStock[sku],tblSKU[[#This Row],[sku]])</f>
        <v>887191.79999999993</v>
      </c>
      <c r="AI303" s="4">
        <f>SUMIFS(tblStock[cbm],tblStock[sku],tblSKU[[#This Row],[sku]])</f>
        <v>4.0354380000000001</v>
      </c>
      <c r="AJ303" s="1">
        <f>SUMIFS(tblStock[positions],tblStock[sku],tblSKU[[#This Row],[sku]])</f>
        <v>6</v>
      </c>
      <c r="AK303" s="3">
        <f>SUMIFS(tblStock[value_nzd],tblStock[sku],tblSKU[[#This Row],[sku]],tblStock[stock_type],"Expired")</f>
        <v>65714.650000000009</v>
      </c>
      <c r="AL303" s="3" cm="1">
        <f t="array" ref="AL303">SUM(SUMIFS(tblStock[value_nzd],tblStock[sku],tblSKU[[#This Row],[sku]],tblStock[stock_type],{"Saleable","FOC"},tblStock[expiry_date],"&lt;"&amp;EDATE(SnapshotDate,6)))</f>
        <v>0</v>
      </c>
    </row>
    <row r="304" spans="1:38">
      <c r="A304" s="1" t="s">
        <v>656</v>
      </c>
      <c r="B304" s="1" t="s">
        <v>657</v>
      </c>
      <c r="C304" s="1" t="s">
        <v>70</v>
      </c>
      <c r="D304" s="1" t="s">
        <v>37</v>
      </c>
      <c r="E304" s="1" t="s">
        <v>564</v>
      </c>
      <c r="F304" s="1" t="s">
        <v>39</v>
      </c>
      <c r="G304">
        <v>100</v>
      </c>
      <c r="H304">
        <v>42.3</v>
      </c>
      <c r="I304">
        <v>32.299999999999997</v>
      </c>
      <c r="J304">
        <v>19.2</v>
      </c>
      <c r="K304">
        <v>2.623E-2</v>
      </c>
      <c r="L304">
        <v>4.4000000000000004</v>
      </c>
      <c r="M304">
        <v>15.57</v>
      </c>
      <c r="N304">
        <v>6</v>
      </c>
      <c r="O304">
        <v>3</v>
      </c>
      <c r="P304">
        <v>18</v>
      </c>
      <c r="Q304">
        <v>72.599999999999994</v>
      </c>
      <c r="R304">
        <v>104.2</v>
      </c>
      <c r="S304">
        <v>0.47214</v>
      </c>
      <c r="T304">
        <v>276</v>
      </c>
      <c r="U304">
        <v>21605</v>
      </c>
      <c r="V304">
        <v>336389.85000000003</v>
      </c>
      <c r="W304" s="1" t="s">
        <v>1264</v>
      </c>
      <c r="X304" s="1" t="s">
        <v>1264</v>
      </c>
      <c r="Y304">
        <v>3.2470588235294118</v>
      </c>
      <c r="Z304">
        <v>0.70604575163398708</v>
      </c>
      <c r="AA304" s="1" t="s">
        <v>1265</v>
      </c>
      <c r="AB304">
        <v>1</v>
      </c>
      <c r="AC304">
        <v>0</v>
      </c>
      <c r="AD304" s="1">
        <v>3.8631798194862301</v>
      </c>
      <c r="AE304">
        <v>12</v>
      </c>
      <c r="AF304">
        <f>COUNTIFS(tblStock[sku],tblSKU[[#This Row],[sku]])</f>
        <v>1</v>
      </c>
      <c r="AG304" cm="1">
        <f t="array" ref="AG304">SUM(SUMIFS(tblStock[qty_units],tblStock[sku],tblSKU[[#This Row],[sku]],tblStock[stock_type],{"Saleable","FOC"}))</f>
        <v>20866</v>
      </c>
      <c r="AH304" s="3">
        <f>SUMIFS(tblStock[value_nzd],tblStock[sku],tblSKU[[#This Row],[sku]])</f>
        <v>324883.62</v>
      </c>
      <c r="AI304" s="4">
        <f>SUMIFS(tblStock[cbm],tblStock[sku],tblSKU[[#This Row],[sku]])</f>
        <v>5.4731518000000001</v>
      </c>
      <c r="AJ304" s="1">
        <f>SUMIFS(tblStock[positions],tblStock[sku],tblSKU[[#This Row],[sku]])</f>
        <v>12</v>
      </c>
      <c r="AK304" s="3">
        <f>SUMIFS(tblStock[value_nzd],tblStock[sku],tblSKU[[#This Row],[sku]],tblStock[stock_type],"Expired")</f>
        <v>0</v>
      </c>
      <c r="AL304" s="3" cm="1">
        <f t="array" ref="AL304">SUM(SUMIFS(tblStock[value_nzd],tblStock[sku],tblSKU[[#This Row],[sku]],tblStock[stock_type],{"Saleable","FOC"},tblStock[expiry_date],"&lt;"&amp;EDATE(SnapshotDate,6)))</f>
        <v>0</v>
      </c>
    </row>
    <row r="305" spans="1:38">
      <c r="A305" s="1" t="s">
        <v>658</v>
      </c>
      <c r="B305" s="1" t="s">
        <v>659</v>
      </c>
      <c r="C305" s="1" t="s">
        <v>36</v>
      </c>
      <c r="D305" s="1" t="s">
        <v>37</v>
      </c>
      <c r="E305" s="1" t="s">
        <v>564</v>
      </c>
      <c r="F305" s="1" t="s">
        <v>39</v>
      </c>
      <c r="G305">
        <v>60</v>
      </c>
      <c r="H305">
        <v>53.6</v>
      </c>
      <c r="I305">
        <v>35.6</v>
      </c>
      <c r="J305">
        <v>24.2</v>
      </c>
      <c r="K305">
        <v>4.6179999999999999E-2</v>
      </c>
      <c r="L305">
        <v>8.74</v>
      </c>
      <c r="M305">
        <v>7.05</v>
      </c>
      <c r="N305">
        <v>2</v>
      </c>
      <c r="O305">
        <v>4</v>
      </c>
      <c r="P305">
        <v>8</v>
      </c>
      <c r="Q305">
        <v>111.8</v>
      </c>
      <c r="R305">
        <v>94.92</v>
      </c>
      <c r="S305">
        <v>0.36943999999999999</v>
      </c>
      <c r="T305">
        <v>108</v>
      </c>
      <c r="U305">
        <v>5863</v>
      </c>
      <c r="V305">
        <v>41334.15</v>
      </c>
      <c r="W305" s="1" t="s">
        <v>1264</v>
      </c>
      <c r="X305" s="1" t="s">
        <v>1258</v>
      </c>
      <c r="Y305">
        <v>1.2705882352941176</v>
      </c>
      <c r="Z305">
        <v>0.71850490196078431</v>
      </c>
      <c r="AA305" s="1" t="s">
        <v>1265</v>
      </c>
      <c r="AB305">
        <v>1</v>
      </c>
      <c r="AC305">
        <v>0</v>
      </c>
      <c r="AD305" s="1">
        <v>6.9077264199215422</v>
      </c>
      <c r="AE305">
        <v>4</v>
      </c>
      <c r="AF305">
        <f>COUNTIFS(tblStock[sku],tblSKU[[#This Row],[sku]])</f>
        <v>3</v>
      </c>
      <c r="AG305" cm="1">
        <f t="array" ref="AG305">SUM(SUMIFS(tblStock[qty_units],tblStock[sku],tblSKU[[#This Row],[sku]],tblStock[stock_type],{"Saleable","FOC"}))</f>
        <v>10125</v>
      </c>
      <c r="AH305" s="3">
        <f>SUMIFS(tblStock[value_nzd],tblStock[sku],tblSKU[[#This Row],[sku]])</f>
        <v>71381.25</v>
      </c>
      <c r="AI305" s="4">
        <f>SUMIFS(tblStock[cbm],tblStock[sku],tblSKU[[#This Row],[sku]])</f>
        <v>7.7928750000000004</v>
      </c>
      <c r="AJ305" s="1">
        <f>SUMIFS(tblStock[positions],tblStock[sku],tblSKU[[#This Row],[sku]])</f>
        <v>23</v>
      </c>
      <c r="AK305" s="3">
        <f>SUMIFS(tblStock[value_nzd],tblStock[sku],tblSKU[[#This Row],[sku]],tblStock[stock_type],"Expired")</f>
        <v>0</v>
      </c>
      <c r="AL305" s="3" cm="1">
        <f t="array" ref="AL305">SUM(SUMIFS(tblStock[value_nzd],tblStock[sku],tblSKU[[#This Row],[sku]],tblStock[stock_type],{"Saleable","FOC"},tblStock[expiry_date],"&lt;"&amp;EDATE(SnapshotDate,6)))</f>
        <v>3398.1</v>
      </c>
    </row>
    <row r="306" spans="1:38">
      <c r="A306" s="1" t="s">
        <v>660</v>
      </c>
      <c r="B306" s="1" t="s">
        <v>661</v>
      </c>
      <c r="C306" s="1" t="s">
        <v>36</v>
      </c>
      <c r="D306" s="1" t="s">
        <v>37</v>
      </c>
      <c r="E306" s="1" t="s">
        <v>564</v>
      </c>
      <c r="F306" s="1" t="s">
        <v>39</v>
      </c>
      <c r="G306">
        <v>120</v>
      </c>
      <c r="H306">
        <v>40.200000000000003</v>
      </c>
      <c r="I306">
        <v>32.299999999999997</v>
      </c>
      <c r="J306">
        <v>25.8</v>
      </c>
      <c r="K306">
        <v>3.3500000000000002E-2</v>
      </c>
      <c r="L306">
        <v>7.51</v>
      </c>
      <c r="M306">
        <v>16.239999999999998</v>
      </c>
      <c r="N306">
        <v>6</v>
      </c>
      <c r="O306">
        <v>5</v>
      </c>
      <c r="P306">
        <v>30</v>
      </c>
      <c r="Q306">
        <v>144</v>
      </c>
      <c r="R306">
        <v>250.29999999999998</v>
      </c>
      <c r="S306">
        <v>1.0050000000000001</v>
      </c>
      <c r="T306">
        <v>110</v>
      </c>
      <c r="U306">
        <v>6230</v>
      </c>
      <c r="V306">
        <v>101175.2</v>
      </c>
      <c r="W306" s="1" t="s">
        <v>1264</v>
      </c>
      <c r="X306" s="1" t="s">
        <v>1264</v>
      </c>
      <c r="Y306">
        <v>1.2941176470588236</v>
      </c>
      <c r="Z306">
        <v>0.10179738562091503</v>
      </c>
      <c r="AA306" s="1" t="s">
        <v>1265</v>
      </c>
      <c r="AB306">
        <v>1</v>
      </c>
      <c r="AC306">
        <v>0</v>
      </c>
      <c r="AD306" s="1">
        <v>1.4253611556982344</v>
      </c>
      <c r="AE306">
        <v>12</v>
      </c>
      <c r="AF306">
        <f>COUNTIFS(tblStock[sku],tblSKU[[#This Row],[sku]])</f>
        <v>1</v>
      </c>
      <c r="AG306" cm="1">
        <f t="array" ref="AG306">SUM(SUMIFS(tblStock[qty_units],tblStock[sku],tblSKU[[#This Row],[sku]],tblStock[stock_type],{"Saleable","FOC"}))</f>
        <v>2220</v>
      </c>
      <c r="AH306" s="3">
        <f>SUMIFS(tblStock[value_nzd],tblStock[sku],tblSKU[[#This Row],[sku]])</f>
        <v>36052.799999999996</v>
      </c>
      <c r="AI306" s="4">
        <f>SUMIFS(tblStock[cbm],tblStock[sku],tblSKU[[#This Row],[sku]])</f>
        <v>0.61975000000000002</v>
      </c>
      <c r="AJ306" s="1">
        <f>SUMIFS(tblStock[positions],tblStock[sku],tblSKU[[#This Row],[sku]])</f>
        <v>1</v>
      </c>
      <c r="AK306" s="3">
        <f>SUMIFS(tblStock[value_nzd],tblStock[sku],tblSKU[[#This Row],[sku]],tblStock[stock_type],"Expired")</f>
        <v>0</v>
      </c>
      <c r="AL306" s="3" cm="1">
        <f t="array" ref="AL306">SUM(SUMIFS(tblStock[value_nzd],tblStock[sku],tblSKU[[#This Row],[sku]],tblStock[stock_type],{"Saleable","FOC"},tblStock[expiry_date],"&lt;"&amp;EDATE(SnapshotDate,6)))</f>
        <v>0</v>
      </c>
    </row>
    <row r="307" spans="1:38">
      <c r="A307" s="1" t="s">
        <v>662</v>
      </c>
      <c r="B307" s="1" t="s">
        <v>663</v>
      </c>
      <c r="C307" s="1" t="s">
        <v>36</v>
      </c>
      <c r="D307" s="1" t="s">
        <v>37</v>
      </c>
      <c r="E307" s="1" t="s">
        <v>564</v>
      </c>
      <c r="F307" s="1" t="s">
        <v>39</v>
      </c>
      <c r="G307">
        <v>120</v>
      </c>
      <c r="H307">
        <v>40.299999999999997</v>
      </c>
      <c r="I307">
        <v>34.299999999999997</v>
      </c>
      <c r="J307">
        <v>21.7</v>
      </c>
      <c r="K307">
        <v>0.03</v>
      </c>
      <c r="L307">
        <v>6.87</v>
      </c>
      <c r="M307">
        <v>10.55</v>
      </c>
      <c r="N307">
        <v>6</v>
      </c>
      <c r="O307">
        <v>5</v>
      </c>
      <c r="P307">
        <v>30</v>
      </c>
      <c r="Q307">
        <v>123.5</v>
      </c>
      <c r="R307">
        <v>231.1</v>
      </c>
      <c r="S307">
        <v>0.89999999999999991</v>
      </c>
      <c r="T307">
        <v>800</v>
      </c>
      <c r="U307">
        <v>54251</v>
      </c>
      <c r="V307">
        <v>572348.05000000005</v>
      </c>
      <c r="W307" s="1" t="s">
        <v>1264</v>
      </c>
      <c r="X307" s="1" t="s">
        <v>1264</v>
      </c>
      <c r="Y307">
        <v>9.4117647058823533</v>
      </c>
      <c r="Z307">
        <v>0.88645424836601305</v>
      </c>
      <c r="AA307" s="1" t="s">
        <v>1265</v>
      </c>
      <c r="AB307">
        <v>1</v>
      </c>
      <c r="AC307">
        <v>0</v>
      </c>
      <c r="AD307" s="1">
        <v>4.8406112329726643</v>
      </c>
      <c r="AE307">
        <v>12</v>
      </c>
      <c r="AF307">
        <f>COUNTIFS(tblStock[sku],tblSKU[[#This Row],[sku]])</f>
        <v>4</v>
      </c>
      <c r="AG307" cm="1">
        <f t="array" ref="AG307">SUM(SUMIFS(tblStock[qty_units],tblStock[sku],tblSKU[[#This Row],[sku]],tblStock[stock_type],{"Saleable","FOC"}))</f>
        <v>65652</v>
      </c>
      <c r="AH307" s="3">
        <f>SUMIFS(tblStock[value_nzd],tblStock[sku],tblSKU[[#This Row],[sku]])</f>
        <v>706480.75000000012</v>
      </c>
      <c r="AI307" s="4">
        <f>SUMIFS(tblStock[cbm],tblStock[sku],tblSKU[[#This Row],[sku]])</f>
        <v>16.741250000000001</v>
      </c>
      <c r="AJ307" s="1">
        <f>SUMIFS(tblStock[positions],tblStock[sku],tblSKU[[#This Row],[sku]])</f>
        <v>21</v>
      </c>
      <c r="AK307" s="3">
        <f>SUMIFS(tblStock[value_nzd],tblStock[sku],tblSKU[[#This Row],[sku]],tblStock[stock_type],"Expired")</f>
        <v>0</v>
      </c>
      <c r="AL307" s="3" cm="1">
        <f t="array" ref="AL307">SUM(SUMIFS(tblStock[value_nzd],tblStock[sku],tblSKU[[#This Row],[sku]],tblStock[stock_type],{"Saleable","FOC"},tblStock[expiry_date],"&lt;"&amp;EDATE(SnapshotDate,6)))</f>
        <v>45396.65</v>
      </c>
    </row>
    <row r="308" spans="1:38">
      <c r="A308" s="1" t="s">
        <v>664</v>
      </c>
      <c r="B308" s="1" t="s">
        <v>665</v>
      </c>
      <c r="C308" s="1" t="s">
        <v>43</v>
      </c>
      <c r="D308" s="1" t="s">
        <v>37</v>
      </c>
      <c r="E308" s="1" t="s">
        <v>564</v>
      </c>
      <c r="F308" s="1" t="s">
        <v>39</v>
      </c>
      <c r="G308">
        <v>120</v>
      </c>
      <c r="H308">
        <v>38.299999999999997</v>
      </c>
      <c r="I308">
        <v>26.8</v>
      </c>
      <c r="J308">
        <v>24.2</v>
      </c>
      <c r="K308">
        <v>2.4840000000000001E-2</v>
      </c>
      <c r="L308">
        <v>6.78</v>
      </c>
      <c r="M308">
        <v>12.38</v>
      </c>
      <c r="N308">
        <v>9</v>
      </c>
      <c r="O308">
        <v>3</v>
      </c>
      <c r="P308">
        <v>27</v>
      </c>
      <c r="Q308">
        <v>87.6</v>
      </c>
      <c r="R308">
        <v>208.06</v>
      </c>
      <c r="S308">
        <v>0.67068000000000005</v>
      </c>
      <c r="T308">
        <v>58</v>
      </c>
      <c r="U308">
        <v>4552</v>
      </c>
      <c r="V308">
        <v>56353.760000000002</v>
      </c>
      <c r="W308" s="1" t="s">
        <v>1258</v>
      </c>
      <c r="X308" s="1" t="s">
        <v>1258</v>
      </c>
      <c r="Y308">
        <v>0.68235294117647061</v>
      </c>
      <c r="Z308">
        <v>8.2643427741466949E-2</v>
      </c>
      <c r="AA308" s="1" t="s">
        <v>1259</v>
      </c>
      <c r="AB308">
        <v>0</v>
      </c>
      <c r="AC308">
        <v>1</v>
      </c>
      <c r="AD308" s="1">
        <v>4.3049209138840068</v>
      </c>
      <c r="AE308">
        <v>4</v>
      </c>
      <c r="AF308">
        <f>COUNTIFS(tblStock[sku],tblSKU[[#This Row],[sku]])</f>
        <v>1</v>
      </c>
      <c r="AG308" cm="1">
        <f t="array" ref="AG308">SUM(SUMIFS(tblStock[qty_units],tblStock[sku],tblSKU[[#This Row],[sku]],tblStock[stock_type],{"Saleable","FOC"}))</f>
        <v>4899</v>
      </c>
      <c r="AH308" s="3">
        <f>SUMIFS(tblStock[value_nzd],tblStock[sku],tblSKU[[#This Row],[sku]])</f>
        <v>60649.62</v>
      </c>
      <c r="AI308" s="4">
        <f>SUMIFS(tblStock[cbm],tblStock[sku],tblSKU[[#This Row],[sku]])</f>
        <v>1.0140930000000001</v>
      </c>
      <c r="AJ308" s="1">
        <f>SUMIFS(tblStock[positions],tblStock[sku],tblSKU[[#This Row],[sku]])</f>
        <v>2</v>
      </c>
      <c r="AK308" s="3">
        <f>SUMIFS(tblStock[value_nzd],tblStock[sku],tblSKU[[#This Row],[sku]],tblStock[stock_type],"Expired")</f>
        <v>0</v>
      </c>
      <c r="AL308" s="3" cm="1">
        <f t="array" ref="AL308">SUM(SUMIFS(tblStock[value_nzd],tblStock[sku],tblSKU[[#This Row],[sku]],tblStock[stock_type],{"Saleable","FOC"},tblStock[expiry_date],"&lt;"&amp;EDATE(SnapshotDate,6)))</f>
        <v>0</v>
      </c>
    </row>
    <row r="309" spans="1:38">
      <c r="A309" s="1" t="s">
        <v>666</v>
      </c>
      <c r="B309" s="1" t="s">
        <v>667</v>
      </c>
      <c r="C309" s="1" t="s">
        <v>36</v>
      </c>
      <c r="D309" s="1" t="s">
        <v>37</v>
      </c>
      <c r="E309" s="1" t="s">
        <v>564</v>
      </c>
      <c r="F309" s="1" t="s">
        <v>39</v>
      </c>
      <c r="G309">
        <v>100</v>
      </c>
      <c r="H309">
        <v>36.4</v>
      </c>
      <c r="I309">
        <v>29.2</v>
      </c>
      <c r="J309">
        <v>24.6</v>
      </c>
      <c r="K309">
        <v>2.615E-2</v>
      </c>
      <c r="L309">
        <v>7.14</v>
      </c>
      <c r="M309">
        <v>11.75</v>
      </c>
      <c r="N309">
        <v>7</v>
      </c>
      <c r="O309">
        <v>5</v>
      </c>
      <c r="P309">
        <v>35</v>
      </c>
      <c r="Q309">
        <v>138</v>
      </c>
      <c r="R309">
        <v>274.89999999999998</v>
      </c>
      <c r="S309">
        <v>0.91525000000000001</v>
      </c>
      <c r="T309">
        <v>89</v>
      </c>
      <c r="U309">
        <v>6781</v>
      </c>
      <c r="V309">
        <v>79676.75</v>
      </c>
      <c r="W309" s="1" t="s">
        <v>1264</v>
      </c>
      <c r="X309" s="1" t="s">
        <v>1258</v>
      </c>
      <c r="Y309">
        <v>1.0470588235294118</v>
      </c>
      <c r="Z309">
        <v>0.11396638655462185</v>
      </c>
      <c r="AA309" s="1" t="s">
        <v>1265</v>
      </c>
      <c r="AB309">
        <v>1</v>
      </c>
      <c r="AC309">
        <v>0</v>
      </c>
      <c r="AD309" s="1">
        <v>13.898834980091433</v>
      </c>
      <c r="AE309">
        <v>4</v>
      </c>
      <c r="AF309">
        <f>COUNTIFS(tblStock[sku],tblSKU[[#This Row],[sku]])</f>
        <v>1</v>
      </c>
      <c r="AG309" cm="1">
        <f t="array" ref="AG309">SUM(SUMIFS(tblStock[qty_units],tblStock[sku],tblSKU[[#This Row],[sku]],tblStock[stock_type],{"Saleable","FOC"}))</f>
        <v>23562</v>
      </c>
      <c r="AH309" s="3">
        <f>SUMIFS(tblStock[value_nzd],tblStock[sku],tblSKU[[#This Row],[sku]])</f>
        <v>276853.5</v>
      </c>
      <c r="AI309" s="4">
        <f>SUMIFS(tblStock[cbm],tblStock[sku],tblSKU[[#This Row],[sku]])</f>
        <v>6.1614630000000004</v>
      </c>
      <c r="AJ309" s="1">
        <f>SUMIFS(tblStock[positions],tblStock[sku],tblSKU[[#This Row],[sku]])</f>
        <v>7</v>
      </c>
      <c r="AK309" s="3">
        <f>SUMIFS(tblStock[value_nzd],tblStock[sku],tblSKU[[#This Row],[sku]],tblStock[stock_type],"Expired")</f>
        <v>0</v>
      </c>
      <c r="AL309" s="3" cm="1">
        <f t="array" ref="AL309">SUM(SUMIFS(tblStock[value_nzd],tblStock[sku],tblSKU[[#This Row],[sku]],tblStock[stock_type],{"Saleable","FOC"},tblStock[expiry_date],"&lt;"&amp;EDATE(SnapshotDate,6)))</f>
        <v>0</v>
      </c>
    </row>
    <row r="310" spans="1:38">
      <c r="A310" s="1" t="s">
        <v>668</v>
      </c>
      <c r="B310" s="1" t="s">
        <v>669</v>
      </c>
      <c r="C310" s="1" t="s">
        <v>43</v>
      </c>
      <c r="D310" s="1" t="s">
        <v>37</v>
      </c>
      <c r="E310" s="1" t="s">
        <v>564</v>
      </c>
      <c r="F310" s="1" t="s">
        <v>39</v>
      </c>
      <c r="G310">
        <v>100</v>
      </c>
      <c r="H310">
        <v>31.9</v>
      </c>
      <c r="I310">
        <v>34</v>
      </c>
      <c r="J310">
        <v>28.8</v>
      </c>
      <c r="K310">
        <v>3.124E-2</v>
      </c>
      <c r="L310">
        <v>4.45</v>
      </c>
      <c r="M310">
        <v>27.11</v>
      </c>
      <c r="N310">
        <v>8</v>
      </c>
      <c r="O310">
        <v>3</v>
      </c>
      <c r="P310">
        <v>24</v>
      </c>
      <c r="Q310">
        <v>101.4</v>
      </c>
      <c r="R310">
        <v>131.80000000000001</v>
      </c>
      <c r="S310">
        <v>0.74975999999999998</v>
      </c>
      <c r="T310">
        <v>70</v>
      </c>
      <c r="U310">
        <v>4928</v>
      </c>
      <c r="V310">
        <v>133598.07999999999</v>
      </c>
      <c r="W310" s="1" t="s">
        <v>1258</v>
      </c>
      <c r="X310" s="1" t="s">
        <v>1264</v>
      </c>
      <c r="Y310">
        <v>0.82352941176470584</v>
      </c>
      <c r="Z310">
        <v>0.1207843137254902</v>
      </c>
      <c r="AA310" s="1" t="s">
        <v>1259</v>
      </c>
      <c r="AB310">
        <v>0</v>
      </c>
      <c r="AC310">
        <v>1</v>
      </c>
      <c r="AD310" s="1">
        <v>6.3490259740259738</v>
      </c>
      <c r="AE310">
        <v>12</v>
      </c>
      <c r="AF310">
        <f>COUNTIFS(tblStock[sku],tblSKU[[#This Row],[sku]])</f>
        <v>1</v>
      </c>
      <c r="AG310" cm="1">
        <f t="array" ref="AG310">SUM(SUMIFS(tblStock[qty_units],tblStock[sku],tblSKU[[#This Row],[sku]],tblStock[stock_type],{"Saleable","FOC"}))</f>
        <v>7822</v>
      </c>
      <c r="AH310" s="3">
        <f>SUMIFS(tblStock[value_nzd],tblStock[sku],tblSKU[[#This Row],[sku]])</f>
        <v>212054.41999999998</v>
      </c>
      <c r="AI310" s="4">
        <f>SUMIFS(tblStock[cbm],tblStock[sku],tblSKU[[#This Row],[sku]])</f>
        <v>2.4435927999999998</v>
      </c>
      <c r="AJ310" s="1">
        <f>SUMIFS(tblStock[positions],tblStock[sku],tblSKU[[#This Row],[sku]])</f>
        <v>4</v>
      </c>
      <c r="AK310" s="3">
        <f>SUMIFS(tblStock[value_nzd],tblStock[sku],tblSKU[[#This Row],[sku]],tblStock[stock_type],"Expired")</f>
        <v>0</v>
      </c>
      <c r="AL310" s="3" cm="1">
        <f t="array" ref="AL310">SUM(SUMIFS(tblStock[value_nzd],tblStock[sku],tblSKU[[#This Row],[sku]],tblStock[stock_type],{"Saleable","FOC"},tblStock[expiry_date],"&lt;"&amp;EDATE(SnapshotDate,6)))</f>
        <v>0</v>
      </c>
    </row>
    <row r="311" spans="1:38">
      <c r="A311" s="1" t="s">
        <v>670</v>
      </c>
      <c r="B311" s="1" t="s">
        <v>671</v>
      </c>
      <c r="C311" s="1" t="s">
        <v>36</v>
      </c>
      <c r="D311" s="1" t="s">
        <v>37</v>
      </c>
      <c r="E311" s="1" t="s">
        <v>564</v>
      </c>
      <c r="F311" s="1" t="s">
        <v>39</v>
      </c>
      <c r="G311">
        <v>200</v>
      </c>
      <c r="H311">
        <v>43.4</v>
      </c>
      <c r="I311">
        <v>36.299999999999997</v>
      </c>
      <c r="J311">
        <v>29.9</v>
      </c>
      <c r="K311">
        <v>4.7109999999999999E-2</v>
      </c>
      <c r="L311">
        <v>7.13</v>
      </c>
      <c r="M311">
        <v>11.49</v>
      </c>
      <c r="N311">
        <v>6</v>
      </c>
      <c r="O311">
        <v>5</v>
      </c>
      <c r="P311">
        <v>30</v>
      </c>
      <c r="Q311">
        <v>164.5</v>
      </c>
      <c r="R311">
        <v>238.9</v>
      </c>
      <c r="S311">
        <v>1.4133</v>
      </c>
      <c r="T311">
        <v>11</v>
      </c>
      <c r="U311">
        <v>1396</v>
      </c>
      <c r="V311">
        <v>16040.04</v>
      </c>
      <c r="W311" s="1" t="s">
        <v>1262</v>
      </c>
      <c r="X311" s="1" t="s">
        <v>1262</v>
      </c>
      <c r="Y311">
        <v>0.12941176470588237</v>
      </c>
      <c r="Z311">
        <v>1.3686274509803921E-2</v>
      </c>
      <c r="AA311" s="1" t="s">
        <v>1263</v>
      </c>
      <c r="AB311">
        <v>0</v>
      </c>
      <c r="AC311">
        <v>0</v>
      </c>
      <c r="AD311" s="1">
        <v>7.455587392550143</v>
      </c>
      <c r="AE311">
        <v>2</v>
      </c>
      <c r="AF311">
        <f>COUNTIFS(tblStock[sku],tblSKU[[#This Row],[sku]])</f>
        <v>2</v>
      </c>
      <c r="AG311" cm="1">
        <f t="array" ref="AG311">SUM(SUMIFS(tblStock[qty_units],tblStock[sku],tblSKU[[#This Row],[sku]],tblStock[stock_type],{"Saleable","FOC"}))</f>
        <v>2602</v>
      </c>
      <c r="AH311" s="3">
        <f>SUMIFS(tblStock[value_nzd],tblStock[sku],tblSKU[[#This Row],[sku]])</f>
        <v>29896.98</v>
      </c>
      <c r="AI311" s="4">
        <f>SUMIFS(tblStock[cbm],tblStock[sku],tblSKU[[#This Row],[sku]])</f>
        <v>0.61290109999999998</v>
      </c>
      <c r="AJ311" s="1">
        <f>SUMIFS(tblStock[positions],tblStock[sku],tblSKU[[#This Row],[sku]])</f>
        <v>1</v>
      </c>
      <c r="AK311" s="3">
        <f>SUMIFS(tblStock[value_nzd],tblStock[sku],tblSKU[[#This Row],[sku]],tblStock[stock_type],"Expired")</f>
        <v>0</v>
      </c>
      <c r="AL311" s="3" cm="1">
        <f t="array" ref="AL311">SUM(SUMIFS(tblStock[value_nzd],tblStock[sku],tblSKU[[#This Row],[sku]],tblStock[stock_type],{"Saleable","FOC"},tblStock[expiry_date],"&lt;"&amp;EDATE(SnapshotDate,6)))</f>
        <v>0</v>
      </c>
    </row>
    <row r="312" spans="1:38">
      <c r="A312" s="1" t="s">
        <v>672</v>
      </c>
      <c r="B312" s="1" t="s">
        <v>673</v>
      </c>
      <c r="C312" s="1" t="s">
        <v>36</v>
      </c>
      <c r="D312" s="1" t="s">
        <v>37</v>
      </c>
      <c r="E312" s="1" t="s">
        <v>564</v>
      </c>
      <c r="F312" s="1" t="s">
        <v>39</v>
      </c>
      <c r="G312">
        <v>100</v>
      </c>
      <c r="H312">
        <v>30.9</v>
      </c>
      <c r="I312">
        <v>37.700000000000003</v>
      </c>
      <c r="J312">
        <v>26.3</v>
      </c>
      <c r="K312">
        <v>3.0640000000000001E-2</v>
      </c>
      <c r="L312">
        <v>6.96</v>
      </c>
      <c r="M312">
        <v>16.079999999999998</v>
      </c>
      <c r="N312">
        <v>9</v>
      </c>
      <c r="O312">
        <v>2</v>
      </c>
      <c r="P312">
        <v>18</v>
      </c>
      <c r="Q312">
        <v>67.599999999999994</v>
      </c>
      <c r="R312">
        <v>150.28</v>
      </c>
      <c r="S312">
        <v>0.55152000000000001</v>
      </c>
      <c r="T312">
        <v>26</v>
      </c>
      <c r="U312">
        <v>911</v>
      </c>
      <c r="V312">
        <v>14648.88</v>
      </c>
      <c r="W312" s="1" t="s">
        <v>1258</v>
      </c>
      <c r="X312" s="1" t="s">
        <v>1262</v>
      </c>
      <c r="Y312">
        <v>0.30588235294117649</v>
      </c>
      <c r="Z312">
        <v>2.9771241830065361E-2</v>
      </c>
      <c r="AA312" s="1" t="s">
        <v>1259</v>
      </c>
      <c r="AB312">
        <v>0</v>
      </c>
      <c r="AC312">
        <v>1</v>
      </c>
      <c r="AD312" s="1">
        <v>7.7716794731064764</v>
      </c>
      <c r="AE312">
        <v>2</v>
      </c>
      <c r="AF312">
        <f>COUNTIFS(tblStock[sku],tblSKU[[#This Row],[sku]])</f>
        <v>1</v>
      </c>
      <c r="AG312" cm="1">
        <f t="array" ref="AG312">SUM(SUMIFS(tblStock[qty_units],tblStock[sku],tblSKU[[#This Row],[sku]],tblStock[stock_type],{"Saleable","FOC"}))</f>
        <v>1770</v>
      </c>
      <c r="AH312" s="3">
        <f>SUMIFS(tblStock[value_nzd],tblStock[sku],tblSKU[[#This Row],[sku]])</f>
        <v>28461.599999999999</v>
      </c>
      <c r="AI312" s="4">
        <f>SUMIFS(tblStock[cbm],tblStock[sku],tblSKU[[#This Row],[sku]])</f>
        <v>0.54232800000000003</v>
      </c>
      <c r="AJ312" s="1">
        <f>SUMIFS(tblStock[positions],tblStock[sku],tblSKU[[#This Row],[sku]])</f>
        <v>1</v>
      </c>
      <c r="AK312" s="3">
        <f>SUMIFS(tblStock[value_nzd],tblStock[sku],tblSKU[[#This Row],[sku]],tblStock[stock_type],"Expired")</f>
        <v>0</v>
      </c>
      <c r="AL312" s="3" cm="1">
        <f t="array" ref="AL312">SUM(SUMIFS(tblStock[value_nzd],tblStock[sku],tblSKU[[#This Row],[sku]],tblStock[stock_type],{"Saleable","FOC"},tblStock[expiry_date],"&lt;"&amp;EDATE(SnapshotDate,6)))</f>
        <v>0</v>
      </c>
    </row>
    <row r="313" spans="1:38">
      <c r="A313" s="1" t="s">
        <v>674</v>
      </c>
      <c r="B313" s="1" t="s">
        <v>675</v>
      </c>
      <c r="C313" s="1" t="s">
        <v>43</v>
      </c>
      <c r="D313" s="1" t="s">
        <v>37</v>
      </c>
      <c r="E313" s="1" t="s">
        <v>564</v>
      </c>
      <c r="F313" s="1" t="s">
        <v>39</v>
      </c>
      <c r="G313">
        <v>200</v>
      </c>
      <c r="H313">
        <v>31.7</v>
      </c>
      <c r="I313">
        <v>39.799999999999997</v>
      </c>
      <c r="J313">
        <v>17.8</v>
      </c>
      <c r="K313">
        <v>2.2460000000000001E-2</v>
      </c>
      <c r="L313">
        <v>4.33</v>
      </c>
      <c r="M313">
        <v>25.45</v>
      </c>
      <c r="N313">
        <v>9</v>
      </c>
      <c r="O313">
        <v>7</v>
      </c>
      <c r="P313">
        <v>63</v>
      </c>
      <c r="Q313">
        <v>139.60000000000002</v>
      </c>
      <c r="R313">
        <v>297.79000000000002</v>
      </c>
      <c r="S313">
        <v>1.4149800000000001</v>
      </c>
      <c r="T313">
        <v>42</v>
      </c>
      <c r="U313">
        <v>4543</v>
      </c>
      <c r="V313">
        <v>115619.34999999999</v>
      </c>
      <c r="W313" s="1" t="s">
        <v>1258</v>
      </c>
      <c r="X313" s="1" t="s">
        <v>1264</v>
      </c>
      <c r="Y313">
        <v>0.49411764705882355</v>
      </c>
      <c r="Z313">
        <v>2.1209150326797387E-2</v>
      </c>
      <c r="AA313" s="1" t="s">
        <v>1259</v>
      </c>
      <c r="AB313">
        <v>0</v>
      </c>
      <c r="AC313">
        <v>1</v>
      </c>
      <c r="AD313" s="1">
        <v>3.4875632841734538</v>
      </c>
      <c r="AE313">
        <v>12</v>
      </c>
      <c r="AF313">
        <f>COUNTIFS(tblStock[sku],tblSKU[[#This Row],[sku]])</f>
        <v>2</v>
      </c>
      <c r="AG313" cm="1">
        <f t="array" ref="AG313">SUM(SUMIFS(tblStock[qty_units],tblStock[sku],tblSKU[[#This Row],[sku]],tblStock[stock_type],{"Saleable","FOC"}))</f>
        <v>3961</v>
      </c>
      <c r="AH313" s="3">
        <f>SUMIFS(tblStock[value_nzd],tblStock[sku],tblSKU[[#This Row],[sku]])</f>
        <v>100807.45</v>
      </c>
      <c r="AI313" s="4">
        <f>SUMIFS(tblStock[cbm],tblStock[sku],tblSKU[[#This Row],[sku]])</f>
        <v>0.44482030000000006</v>
      </c>
      <c r="AJ313" s="1">
        <f>SUMIFS(tblStock[positions],tblStock[sku],tblSKU[[#This Row],[sku]])</f>
        <v>1</v>
      </c>
      <c r="AK313" s="3">
        <f>SUMIFS(tblStock[value_nzd],tblStock[sku],tblSKU[[#This Row],[sku]],tblStock[stock_type],"Expired")</f>
        <v>0</v>
      </c>
      <c r="AL313" s="3" cm="1">
        <f t="array" ref="AL313">SUM(SUMIFS(tblStock[value_nzd],tblStock[sku],tblSKU[[#This Row],[sku]],tblStock[stock_type],{"Saleable","FOC"},tblStock[expiry_date],"&lt;"&amp;EDATE(SnapshotDate,6)))</f>
        <v>0</v>
      </c>
    </row>
    <row r="314" spans="1:38">
      <c r="A314" s="1" t="s">
        <v>676</v>
      </c>
      <c r="B314" s="1" t="s">
        <v>677</v>
      </c>
      <c r="C314" s="1" t="s">
        <v>43</v>
      </c>
      <c r="D314" s="1" t="s">
        <v>37</v>
      </c>
      <c r="E314" s="1" t="s">
        <v>564</v>
      </c>
      <c r="F314" s="1" t="s">
        <v>39</v>
      </c>
      <c r="G314">
        <v>60</v>
      </c>
      <c r="H314">
        <v>40.5</v>
      </c>
      <c r="I314">
        <v>28.7</v>
      </c>
      <c r="J314">
        <v>22.9</v>
      </c>
      <c r="K314">
        <v>2.6620000000000001E-2</v>
      </c>
      <c r="L314">
        <v>7.29</v>
      </c>
      <c r="M314">
        <v>9.08</v>
      </c>
      <c r="N314">
        <v>8</v>
      </c>
      <c r="O314">
        <v>5</v>
      </c>
      <c r="P314">
        <v>40</v>
      </c>
      <c r="Q314">
        <v>129.5</v>
      </c>
      <c r="R314">
        <v>316.60000000000002</v>
      </c>
      <c r="S314">
        <v>1.0648</v>
      </c>
      <c r="T314">
        <v>33</v>
      </c>
      <c r="U314">
        <v>1733</v>
      </c>
      <c r="V314">
        <v>15735.64</v>
      </c>
      <c r="W314" s="1" t="s">
        <v>1258</v>
      </c>
      <c r="X314" s="1" t="s">
        <v>1262</v>
      </c>
      <c r="Y314">
        <v>0.38823529411764707</v>
      </c>
      <c r="Z314">
        <v>4.2475490196078429E-2</v>
      </c>
      <c r="AA314" s="1" t="s">
        <v>1259</v>
      </c>
      <c r="AB314">
        <v>0</v>
      </c>
      <c r="AC314">
        <v>1</v>
      </c>
      <c r="AD314" s="1">
        <v>6.4350836699365264</v>
      </c>
      <c r="AE314">
        <v>2</v>
      </c>
      <c r="AF314">
        <f>COUNTIFS(tblStock[sku],tblSKU[[#This Row],[sku]])</f>
        <v>2</v>
      </c>
      <c r="AG314" cm="1">
        <f t="array" ref="AG314">SUM(SUMIFS(tblStock[qty_units],tblStock[sku],tblSKU[[#This Row],[sku]],tblStock[stock_type],{"Saleable","FOC"}))</f>
        <v>2788</v>
      </c>
      <c r="AH314" s="3">
        <f>SUMIFS(tblStock[value_nzd],tblStock[sku],tblSKU[[#This Row],[sku]])</f>
        <v>25315.040000000001</v>
      </c>
      <c r="AI314" s="4">
        <f>SUMIFS(tblStock[cbm],tblStock[sku],tblSKU[[#This Row],[sku]])</f>
        <v>1.236942666666667</v>
      </c>
      <c r="AJ314" s="1">
        <f>SUMIFS(tblStock[positions],tblStock[sku],tblSKU[[#This Row],[sku]])</f>
        <v>2</v>
      </c>
      <c r="AK314" s="3">
        <f>SUMIFS(tblStock[value_nzd],tblStock[sku],tblSKU[[#This Row],[sku]],tblStock[stock_type],"Expired")</f>
        <v>0</v>
      </c>
      <c r="AL314" s="3" cm="1">
        <f t="array" ref="AL314">SUM(SUMIFS(tblStock[value_nzd],tblStock[sku],tblSKU[[#This Row],[sku]],tblStock[stock_type],{"Saleable","FOC"},tblStock[expiry_date],"&lt;"&amp;EDATE(SnapshotDate,6)))</f>
        <v>0</v>
      </c>
    </row>
    <row r="315" spans="1:38">
      <c r="A315" s="1" t="s">
        <v>678</v>
      </c>
      <c r="B315" s="1" t="s">
        <v>679</v>
      </c>
      <c r="C315" s="1" t="s">
        <v>43</v>
      </c>
      <c r="D315" s="1" t="s">
        <v>37</v>
      </c>
      <c r="E315" s="1" t="s">
        <v>564</v>
      </c>
      <c r="F315" s="1" t="s">
        <v>39</v>
      </c>
      <c r="G315">
        <v>120</v>
      </c>
      <c r="H315">
        <v>50.3</v>
      </c>
      <c r="I315">
        <v>38.799999999999997</v>
      </c>
      <c r="J315">
        <v>29.9</v>
      </c>
      <c r="K315">
        <v>5.8349999999999999E-2</v>
      </c>
      <c r="L315">
        <v>13.07</v>
      </c>
      <c r="M315">
        <v>17.28</v>
      </c>
      <c r="N315">
        <v>3</v>
      </c>
      <c r="O315">
        <v>3</v>
      </c>
      <c r="P315">
        <v>9</v>
      </c>
      <c r="Q315">
        <v>104.69999999999999</v>
      </c>
      <c r="R315">
        <v>142.63</v>
      </c>
      <c r="S315">
        <v>0.52515000000000001</v>
      </c>
      <c r="T315">
        <v>37</v>
      </c>
      <c r="U315">
        <v>2447</v>
      </c>
      <c r="V315">
        <v>42284.160000000003</v>
      </c>
      <c r="W315" s="1" t="s">
        <v>1258</v>
      </c>
      <c r="X315" s="1" t="s">
        <v>1258</v>
      </c>
      <c r="Y315">
        <v>0.43529411764705883</v>
      </c>
      <c r="Z315">
        <v>0.1332788671023965</v>
      </c>
      <c r="AA315" s="1" t="s">
        <v>1259</v>
      </c>
      <c r="AB315">
        <v>0</v>
      </c>
      <c r="AC315">
        <v>1</v>
      </c>
      <c r="AD315" s="1">
        <v>3.5275847977114836</v>
      </c>
      <c r="AE315">
        <v>4</v>
      </c>
      <c r="AF315">
        <f>COUNTIFS(tblStock[sku],tblSKU[[#This Row],[sku]])</f>
        <v>1</v>
      </c>
      <c r="AG315" cm="1">
        <f t="array" ref="AG315">SUM(SUMIFS(tblStock[qty_units],tblStock[sku],tblSKU[[#This Row],[sku]],tblStock[stock_type],{"Saleable","FOC"}))</f>
        <v>2158</v>
      </c>
      <c r="AH315" s="3">
        <f>SUMIFS(tblStock[value_nzd],tblStock[sku],tblSKU[[#This Row],[sku]])</f>
        <v>37290.240000000005</v>
      </c>
      <c r="AI315" s="4">
        <f>SUMIFS(tblStock[cbm],tblStock[sku],tblSKU[[#This Row],[sku]])</f>
        <v>1.0493275</v>
      </c>
      <c r="AJ315" s="1">
        <f>SUMIFS(tblStock[positions],tblStock[sku],tblSKU[[#This Row],[sku]])</f>
        <v>2</v>
      </c>
      <c r="AK315" s="3">
        <f>SUMIFS(tblStock[value_nzd],tblStock[sku],tblSKU[[#This Row],[sku]],tblStock[stock_type],"Expired")</f>
        <v>0</v>
      </c>
      <c r="AL315" s="3" cm="1">
        <f t="array" ref="AL315">SUM(SUMIFS(tblStock[value_nzd],tblStock[sku],tblSKU[[#This Row],[sku]],tblStock[stock_type],{"Saleable","FOC"},tblStock[expiry_date],"&lt;"&amp;EDATE(SnapshotDate,6)))</f>
        <v>0</v>
      </c>
    </row>
    <row r="316" spans="1:38">
      <c r="A316" s="1" t="s">
        <v>680</v>
      </c>
      <c r="B316" s="1" t="s">
        <v>681</v>
      </c>
      <c r="C316" s="1" t="s">
        <v>36</v>
      </c>
      <c r="D316" s="1" t="s">
        <v>37</v>
      </c>
      <c r="E316" s="1" t="s">
        <v>564</v>
      </c>
      <c r="F316" s="1" t="s">
        <v>39</v>
      </c>
      <c r="G316">
        <v>60</v>
      </c>
      <c r="H316">
        <v>51.1</v>
      </c>
      <c r="I316">
        <v>26</v>
      </c>
      <c r="J316">
        <v>21.8</v>
      </c>
      <c r="K316">
        <v>2.896E-2</v>
      </c>
      <c r="L316">
        <v>5.44</v>
      </c>
      <c r="M316">
        <v>8.43</v>
      </c>
      <c r="N316">
        <v>6</v>
      </c>
      <c r="O316">
        <v>5</v>
      </c>
      <c r="P316">
        <v>30</v>
      </c>
      <c r="Q316">
        <v>124</v>
      </c>
      <c r="R316">
        <v>188.20000000000002</v>
      </c>
      <c r="S316">
        <v>0.86880000000000002</v>
      </c>
      <c r="T316">
        <v>14</v>
      </c>
      <c r="U316">
        <v>444</v>
      </c>
      <c r="V316">
        <v>3742.92</v>
      </c>
      <c r="W316" s="1" t="s">
        <v>1262</v>
      </c>
      <c r="X316" s="1" t="s">
        <v>1262</v>
      </c>
      <c r="Y316">
        <v>0.16470588235294117</v>
      </c>
      <c r="Z316">
        <v>1.4509803921568627E-2</v>
      </c>
      <c r="AA316" s="1" t="s">
        <v>1263</v>
      </c>
      <c r="AB316">
        <v>0</v>
      </c>
      <c r="AC316">
        <v>0</v>
      </c>
      <c r="AD316" s="1">
        <v>6.9009009009009006</v>
      </c>
      <c r="AE316">
        <v>2</v>
      </c>
      <c r="AF316">
        <f>COUNTIFS(tblStock[sku],tblSKU[[#This Row],[sku]])</f>
        <v>2</v>
      </c>
      <c r="AG316" cm="1">
        <f t="array" ref="AG316">SUM(SUMIFS(tblStock[qty_units],tblStock[sku],tblSKU[[#This Row],[sku]],tblStock[stock_type],{"Saleable","FOC"}))</f>
        <v>766</v>
      </c>
      <c r="AH316" s="3">
        <f>SUMIFS(tblStock[value_nzd],tblStock[sku],tblSKU[[#This Row],[sku]])</f>
        <v>6457.3799999999992</v>
      </c>
      <c r="AI316" s="4">
        <f>SUMIFS(tblStock[cbm],tblStock[sku],tblSKU[[#This Row],[sku]])</f>
        <v>0.36972266666666664</v>
      </c>
      <c r="AJ316" s="1">
        <f>SUMIFS(tblStock[positions],tblStock[sku],tblSKU[[#This Row],[sku]])</f>
        <v>0</v>
      </c>
      <c r="AK316" s="3">
        <f>SUMIFS(tblStock[value_nzd],tblStock[sku],tblSKU[[#This Row],[sku]],tblStock[stock_type],"Expired")</f>
        <v>0</v>
      </c>
      <c r="AL316" s="3" cm="1">
        <f t="array" ref="AL316">SUM(SUMIFS(tblStock[value_nzd],tblStock[sku],tblSKU[[#This Row],[sku]],tblStock[stock_type],{"Saleable","FOC"},tblStock[expiry_date],"&lt;"&amp;EDATE(SnapshotDate,6)))</f>
        <v>0</v>
      </c>
    </row>
    <row r="317" spans="1:38">
      <c r="A317" s="1" t="s">
        <v>682</v>
      </c>
      <c r="B317" s="1" t="s">
        <v>683</v>
      </c>
      <c r="C317" s="1" t="s">
        <v>36</v>
      </c>
      <c r="D317" s="1" t="s">
        <v>37</v>
      </c>
      <c r="E317" s="1" t="s">
        <v>564</v>
      </c>
      <c r="F317" s="1" t="s">
        <v>39</v>
      </c>
      <c r="G317">
        <v>120</v>
      </c>
      <c r="H317">
        <v>40.299999999999997</v>
      </c>
      <c r="I317">
        <v>27.3</v>
      </c>
      <c r="J317">
        <v>17.5</v>
      </c>
      <c r="K317">
        <v>1.925E-2</v>
      </c>
      <c r="L317">
        <v>3.07</v>
      </c>
      <c r="M317">
        <v>7.54</v>
      </c>
      <c r="N317">
        <v>8</v>
      </c>
      <c r="O317">
        <v>6</v>
      </c>
      <c r="P317">
        <v>48</v>
      </c>
      <c r="Q317">
        <v>120</v>
      </c>
      <c r="R317">
        <v>172.35999999999999</v>
      </c>
      <c r="S317">
        <v>0.92399999999999993</v>
      </c>
      <c r="T317">
        <v>81</v>
      </c>
      <c r="U317">
        <v>5086</v>
      </c>
      <c r="V317">
        <v>38348.44</v>
      </c>
      <c r="W317" s="1" t="s">
        <v>1264</v>
      </c>
      <c r="X317" s="1" t="s">
        <v>1258</v>
      </c>
      <c r="Y317">
        <v>0.95294117647058818</v>
      </c>
      <c r="Z317">
        <v>5.1940359477124186E-2</v>
      </c>
      <c r="AA317" s="1" t="s">
        <v>1265</v>
      </c>
      <c r="AB317">
        <v>1</v>
      </c>
      <c r="AC317">
        <v>0</v>
      </c>
      <c r="AD317" s="1">
        <v>6.4632324026740067</v>
      </c>
      <c r="AE317">
        <v>4</v>
      </c>
      <c r="AF317">
        <f>COUNTIFS(tblStock[sku],tblSKU[[#This Row],[sku]])</f>
        <v>2</v>
      </c>
      <c r="AG317" cm="1">
        <f t="array" ref="AG317">SUM(SUMIFS(tblStock[qty_units],tblStock[sku],tblSKU[[#This Row],[sku]],tblStock[stock_type],{"Saleable","FOC"}))</f>
        <v>8218</v>
      </c>
      <c r="AH317" s="3">
        <f>SUMIFS(tblStock[value_nzd],tblStock[sku],tblSKU[[#This Row],[sku]])</f>
        <v>61963.72</v>
      </c>
      <c r="AI317" s="4">
        <f>SUMIFS(tblStock[cbm],tblStock[sku],tblSKU[[#This Row],[sku]])</f>
        <v>1.3183041666666666</v>
      </c>
      <c r="AJ317" s="1">
        <f>SUMIFS(tblStock[positions],tblStock[sku],tblSKU[[#This Row],[sku]])</f>
        <v>2</v>
      </c>
      <c r="AK317" s="3">
        <f>SUMIFS(tblStock[value_nzd],tblStock[sku],tblSKU[[#This Row],[sku]],tblStock[stock_type],"Expired")</f>
        <v>0</v>
      </c>
      <c r="AL317" s="3" cm="1">
        <f t="array" ref="AL317">SUM(SUMIFS(tblStock[value_nzd],tblStock[sku],tblSKU[[#This Row],[sku]],tblStock[stock_type],{"Saleable","FOC"},tblStock[expiry_date],"&lt;"&amp;EDATE(SnapshotDate,6)))</f>
        <v>0</v>
      </c>
    </row>
    <row r="318" spans="1:38">
      <c r="A318" s="1" t="s">
        <v>684</v>
      </c>
      <c r="B318" s="1" t="s">
        <v>685</v>
      </c>
      <c r="C318" s="1" t="s">
        <v>70</v>
      </c>
      <c r="D318" s="1" t="s">
        <v>37</v>
      </c>
      <c r="E318" s="1" t="s">
        <v>564</v>
      </c>
      <c r="F318" s="1" t="s">
        <v>39</v>
      </c>
      <c r="G318">
        <v>200</v>
      </c>
      <c r="H318">
        <v>32.299999999999997</v>
      </c>
      <c r="I318">
        <v>29.9</v>
      </c>
      <c r="J318">
        <v>23.3</v>
      </c>
      <c r="K318">
        <v>2.2499999999999999E-2</v>
      </c>
      <c r="L318">
        <v>5.16</v>
      </c>
      <c r="M318">
        <v>12.55</v>
      </c>
      <c r="N318">
        <v>12</v>
      </c>
      <c r="O318">
        <v>6</v>
      </c>
      <c r="P318">
        <v>72</v>
      </c>
      <c r="Q318">
        <v>154.80000000000001</v>
      </c>
      <c r="R318">
        <v>396.52</v>
      </c>
      <c r="S318">
        <v>1.6199999999999999</v>
      </c>
      <c r="T318">
        <v>11</v>
      </c>
      <c r="U318">
        <v>625</v>
      </c>
      <c r="V318">
        <v>7843.75</v>
      </c>
      <c r="W318" s="1" t="s">
        <v>1262</v>
      </c>
      <c r="X318" s="1" t="s">
        <v>1262</v>
      </c>
      <c r="Y318">
        <v>0.12941176470588237</v>
      </c>
      <c r="Z318">
        <v>2.5531045751633987E-3</v>
      </c>
      <c r="AA318" s="1" t="s">
        <v>1263</v>
      </c>
      <c r="AB318">
        <v>0</v>
      </c>
      <c r="AC318">
        <v>0</v>
      </c>
      <c r="AD318" s="1">
        <v>9.7024000000000008</v>
      </c>
      <c r="AE318">
        <v>2</v>
      </c>
      <c r="AF318">
        <f>COUNTIFS(tblStock[sku],tblSKU[[#This Row],[sku]])</f>
        <v>3</v>
      </c>
      <c r="AG318" cm="1">
        <f t="array" ref="AG318">SUM(SUMIFS(tblStock[qty_units],tblStock[sku],tblSKU[[#This Row],[sku]],tblStock[stock_type],{"Saleable","FOC"}))</f>
        <v>1516</v>
      </c>
      <c r="AH318" s="3">
        <f>SUMIFS(tblStock[value_nzd],tblStock[sku],tblSKU[[#This Row],[sku]])</f>
        <v>19025.8</v>
      </c>
      <c r="AI318" s="4">
        <f>SUMIFS(tblStock[cbm],tblStock[sku],tblSKU[[#This Row],[sku]])</f>
        <v>0.17054999999999998</v>
      </c>
      <c r="AJ318" s="1">
        <f>SUMIFS(tblStock[positions],tblStock[sku],tblSKU[[#This Row],[sku]])</f>
        <v>0</v>
      </c>
      <c r="AK318" s="3">
        <f>SUMIFS(tblStock[value_nzd],tblStock[sku],tblSKU[[#This Row],[sku]],tblStock[stock_type],"Expired")</f>
        <v>0</v>
      </c>
      <c r="AL318" s="3" cm="1">
        <f t="array" ref="AL318">SUM(SUMIFS(tblStock[value_nzd],tblStock[sku],tblSKU[[#This Row],[sku]],tblStock[stock_type],{"Saleable","FOC"},tblStock[expiry_date],"&lt;"&amp;EDATE(SnapshotDate,6)))</f>
        <v>0</v>
      </c>
    </row>
    <row r="319" spans="1:38">
      <c r="A319" s="1" t="s">
        <v>686</v>
      </c>
      <c r="B319" s="1" t="s">
        <v>687</v>
      </c>
      <c r="C319" s="1" t="s">
        <v>36</v>
      </c>
      <c r="D319" s="1" t="s">
        <v>37</v>
      </c>
      <c r="E319" s="1" t="s">
        <v>564</v>
      </c>
      <c r="F319" s="1" t="s">
        <v>39</v>
      </c>
      <c r="G319">
        <v>100</v>
      </c>
      <c r="H319">
        <v>41.1</v>
      </c>
      <c r="I319">
        <v>28.3</v>
      </c>
      <c r="J319">
        <v>25.5</v>
      </c>
      <c r="K319">
        <v>2.9659999999999999E-2</v>
      </c>
      <c r="L319">
        <v>7.78</v>
      </c>
      <c r="M319">
        <v>27.11</v>
      </c>
      <c r="N319">
        <v>8</v>
      </c>
      <c r="O319">
        <v>4</v>
      </c>
      <c r="P319">
        <v>32</v>
      </c>
      <c r="Q319">
        <v>117</v>
      </c>
      <c r="R319">
        <v>273.96000000000004</v>
      </c>
      <c r="S319">
        <v>0.94911999999999996</v>
      </c>
      <c r="T319">
        <v>66</v>
      </c>
      <c r="U319">
        <v>5221</v>
      </c>
      <c r="V319">
        <v>141541.31</v>
      </c>
      <c r="W319" s="1" t="s">
        <v>1258</v>
      </c>
      <c r="X319" s="1" t="s">
        <v>1264</v>
      </c>
      <c r="Y319">
        <v>0.77647058823529413</v>
      </c>
      <c r="Z319">
        <v>9.5974264705882356E-2</v>
      </c>
      <c r="AA319" s="1" t="s">
        <v>1259</v>
      </c>
      <c r="AB319">
        <v>0</v>
      </c>
      <c r="AC319">
        <v>1</v>
      </c>
      <c r="AD319" s="1">
        <v>9.3882398008044436</v>
      </c>
      <c r="AE319">
        <v>12</v>
      </c>
      <c r="AF319">
        <f>COUNTIFS(tblStock[sku],tblSKU[[#This Row],[sku]])</f>
        <v>1</v>
      </c>
      <c r="AG319" cm="1">
        <f t="array" ref="AG319">SUM(SUMIFS(tblStock[qty_units],tblStock[sku],tblSKU[[#This Row],[sku]],tblStock[stock_type],{"Saleable","FOC"}))</f>
        <v>12254</v>
      </c>
      <c r="AH319" s="3">
        <f>SUMIFS(tblStock[value_nzd],tblStock[sku],tblSKU[[#This Row],[sku]])</f>
        <v>332205.94</v>
      </c>
      <c r="AI319" s="4">
        <f>SUMIFS(tblStock[cbm],tblStock[sku],tblSKU[[#This Row],[sku]])</f>
        <v>3.6345364</v>
      </c>
      <c r="AJ319" s="1">
        <f>SUMIFS(tblStock[positions],tblStock[sku],tblSKU[[#This Row],[sku]])</f>
        <v>4</v>
      </c>
      <c r="AK319" s="3">
        <f>SUMIFS(tblStock[value_nzd],tblStock[sku],tblSKU[[#This Row],[sku]],tblStock[stock_type],"Expired")</f>
        <v>0</v>
      </c>
      <c r="AL319" s="3" cm="1">
        <f t="array" ref="AL319">SUM(SUMIFS(tblStock[value_nzd],tblStock[sku],tblSKU[[#This Row],[sku]],tblStock[stock_type],{"Saleable","FOC"},tblStock[expiry_date],"&lt;"&amp;EDATE(SnapshotDate,6)))</f>
        <v>0</v>
      </c>
    </row>
    <row r="320" spans="1:38">
      <c r="A320" s="1" t="s">
        <v>688</v>
      </c>
      <c r="B320" s="1" t="s">
        <v>689</v>
      </c>
      <c r="C320" s="1" t="s">
        <v>43</v>
      </c>
      <c r="D320" s="1" t="s">
        <v>37</v>
      </c>
      <c r="E320" s="1" t="s">
        <v>564</v>
      </c>
      <c r="F320" s="1" t="s">
        <v>39</v>
      </c>
      <c r="G320">
        <v>60</v>
      </c>
      <c r="H320">
        <v>48.1</v>
      </c>
      <c r="I320">
        <v>26.3</v>
      </c>
      <c r="J320">
        <v>20.2</v>
      </c>
      <c r="K320">
        <v>2.555E-2</v>
      </c>
      <c r="L320">
        <v>3.94</v>
      </c>
      <c r="M320">
        <v>9.17</v>
      </c>
      <c r="N320">
        <v>8</v>
      </c>
      <c r="O320">
        <v>5</v>
      </c>
      <c r="P320">
        <v>40</v>
      </c>
      <c r="Q320">
        <v>116</v>
      </c>
      <c r="R320">
        <v>182.6</v>
      </c>
      <c r="S320">
        <v>1.022</v>
      </c>
      <c r="T320">
        <v>9</v>
      </c>
      <c r="U320">
        <v>235</v>
      </c>
      <c r="V320">
        <v>2154.9499999999998</v>
      </c>
      <c r="W320" s="1" t="s">
        <v>1262</v>
      </c>
      <c r="X320" s="1" t="s">
        <v>1262</v>
      </c>
      <c r="Y320">
        <v>0.10588235294117647</v>
      </c>
      <c r="Z320">
        <v>5.7598039215686269E-3</v>
      </c>
      <c r="AA320" s="1" t="s">
        <v>1263</v>
      </c>
      <c r="AB320">
        <v>0</v>
      </c>
      <c r="AC320">
        <v>0</v>
      </c>
      <c r="AD320" s="1">
        <v>8.4936170212765951</v>
      </c>
      <c r="AE320">
        <v>2</v>
      </c>
      <c r="AF320">
        <f>COUNTIFS(tblStock[sku],tblSKU[[#This Row],[sku]])</f>
        <v>2</v>
      </c>
      <c r="AG320" cm="1">
        <f t="array" ref="AG320">SUM(SUMIFS(tblStock[qty_units],tblStock[sku],tblSKU[[#This Row],[sku]],tblStock[stock_type],{"Saleable","FOC"}))</f>
        <v>499</v>
      </c>
      <c r="AH320" s="3">
        <f>SUMIFS(tblStock[value_nzd],tblStock[sku],tblSKU[[#This Row],[sku]])</f>
        <v>4704.21</v>
      </c>
      <c r="AI320" s="4">
        <f>SUMIFS(tblStock[cbm],tblStock[sku],tblSKU[[#This Row],[sku]])</f>
        <v>0.21845249999999999</v>
      </c>
      <c r="AJ320" s="1">
        <f>SUMIFS(tblStock[positions],tblStock[sku],tblSKU[[#This Row],[sku]])</f>
        <v>0</v>
      </c>
      <c r="AK320" s="3">
        <f>SUMIFS(tblStock[value_nzd],tblStock[sku],tblSKU[[#This Row],[sku]],tblStock[stock_type],"Expired")</f>
        <v>0</v>
      </c>
      <c r="AL320" s="3" cm="1">
        <f t="array" ref="AL320">SUM(SUMIFS(tblStock[value_nzd],tblStock[sku],tblSKU[[#This Row],[sku]],tblStock[stock_type],{"Saleable","FOC"},tblStock[expiry_date],"&lt;"&amp;EDATE(SnapshotDate,6)))</f>
        <v>0</v>
      </c>
    </row>
    <row r="321" spans="1:38">
      <c r="A321" s="1" t="s">
        <v>690</v>
      </c>
      <c r="B321" s="1" t="s">
        <v>691</v>
      </c>
      <c r="C321" s="1" t="s">
        <v>36</v>
      </c>
      <c r="D321" s="1" t="s">
        <v>37</v>
      </c>
      <c r="E321" s="1" t="s">
        <v>564</v>
      </c>
      <c r="F321" s="1" t="s">
        <v>39</v>
      </c>
      <c r="G321">
        <v>60</v>
      </c>
      <c r="H321">
        <v>41.2</v>
      </c>
      <c r="I321">
        <v>38</v>
      </c>
      <c r="J321">
        <v>27.6</v>
      </c>
      <c r="K321">
        <v>4.3209999999999998E-2</v>
      </c>
      <c r="L321">
        <v>11.68</v>
      </c>
      <c r="M321">
        <v>9.64</v>
      </c>
      <c r="N321">
        <v>6</v>
      </c>
      <c r="O321">
        <v>4</v>
      </c>
      <c r="P321">
        <v>24</v>
      </c>
      <c r="Q321">
        <v>125.4</v>
      </c>
      <c r="R321">
        <v>305.32</v>
      </c>
      <c r="S321">
        <v>1.03704</v>
      </c>
      <c r="T321">
        <v>0</v>
      </c>
      <c r="U321">
        <v>0</v>
      </c>
      <c r="V321">
        <v>0</v>
      </c>
      <c r="W321" s="1" t="s">
        <v>1260</v>
      </c>
      <c r="X321" s="1" t="s">
        <v>1260</v>
      </c>
      <c r="Y321">
        <v>0</v>
      </c>
      <c r="Z321">
        <v>0</v>
      </c>
      <c r="AA321" s="1" t="s">
        <v>1261</v>
      </c>
      <c r="AB321">
        <v>0</v>
      </c>
      <c r="AC321">
        <v>0</v>
      </c>
      <c r="AD321" s="1"/>
      <c r="AE321">
        <v>1</v>
      </c>
      <c r="AF321">
        <f>COUNTIFS(tblStock[sku],tblSKU[[#This Row],[sku]])</f>
        <v>2</v>
      </c>
      <c r="AG321" cm="1">
        <f t="array" ref="AG321">SUM(SUMIFS(tblStock[qty_units],tblStock[sku],tblSKU[[#This Row],[sku]],tblStock[stock_type],{"Saleable","FOC"}))</f>
        <v>179</v>
      </c>
      <c r="AH321" s="3">
        <f>SUMIFS(tblStock[value_nzd],tblStock[sku],tblSKU[[#This Row],[sku]])</f>
        <v>1725.56</v>
      </c>
      <c r="AI321" s="4">
        <f>SUMIFS(tblStock[cbm],tblStock[sku],tblSKU[[#This Row],[sku]])</f>
        <v>0.12890983333333333</v>
      </c>
      <c r="AJ321" s="1">
        <f>SUMIFS(tblStock[positions],tblStock[sku],tblSKU[[#This Row],[sku]])</f>
        <v>0</v>
      </c>
      <c r="AK321" s="3">
        <f>SUMIFS(tblStock[value_nzd],tblStock[sku],tblSKU[[#This Row],[sku]],tblStock[stock_type],"Expired")</f>
        <v>0</v>
      </c>
      <c r="AL321" s="3" cm="1">
        <f t="array" ref="AL321">SUM(SUMIFS(tblStock[value_nzd],tblStock[sku],tblSKU[[#This Row],[sku]],tblStock[stock_type],{"Saleable","FOC"},tblStock[expiry_date],"&lt;"&amp;EDATE(SnapshotDate,6)))</f>
        <v>0</v>
      </c>
    </row>
    <row r="322" spans="1:38">
      <c r="A322" s="1" t="s">
        <v>692</v>
      </c>
      <c r="B322" s="1" t="s">
        <v>693</v>
      </c>
      <c r="C322" s="1" t="s">
        <v>577</v>
      </c>
      <c r="D322" s="1" t="s">
        <v>37</v>
      </c>
      <c r="E322" s="1" t="s">
        <v>564</v>
      </c>
      <c r="F322" s="1" t="s">
        <v>39</v>
      </c>
      <c r="G322">
        <v>100</v>
      </c>
      <c r="H322">
        <v>30.9</v>
      </c>
      <c r="I322">
        <v>29.9</v>
      </c>
      <c r="J322">
        <v>21.6</v>
      </c>
      <c r="K322">
        <v>1.9959999999999999E-2</v>
      </c>
      <c r="L322">
        <v>3.03</v>
      </c>
      <c r="M322">
        <v>19.87</v>
      </c>
      <c r="N322">
        <v>12</v>
      </c>
      <c r="O322">
        <v>3</v>
      </c>
      <c r="P322">
        <v>36</v>
      </c>
      <c r="Q322">
        <v>79.800000000000011</v>
      </c>
      <c r="R322">
        <v>134.07999999999998</v>
      </c>
      <c r="S322">
        <v>0.71855999999999998</v>
      </c>
      <c r="T322">
        <v>7</v>
      </c>
      <c r="U322">
        <v>745</v>
      </c>
      <c r="V322">
        <v>14803.150000000001</v>
      </c>
      <c r="W322" s="1" t="s">
        <v>1262</v>
      </c>
      <c r="X322" s="1" t="s">
        <v>1262</v>
      </c>
      <c r="Y322">
        <v>8.2352941176470587E-2</v>
      </c>
      <c r="Z322">
        <v>1.2173202614379085E-2</v>
      </c>
      <c r="AA322" s="1" t="s">
        <v>1263</v>
      </c>
      <c r="AB322">
        <v>0</v>
      </c>
      <c r="AC322">
        <v>0</v>
      </c>
      <c r="AD322" s="1">
        <v>17.991946308724831</v>
      </c>
      <c r="AE322">
        <v>2</v>
      </c>
      <c r="AF322">
        <f>COUNTIFS(tblStock[sku],tblSKU[[#This Row],[sku]])</f>
        <v>2</v>
      </c>
      <c r="AG322" cm="1">
        <f t="array" ref="AG322">SUM(SUMIFS(tblStock[qty_units],tblStock[sku],tblSKU[[#This Row],[sku]],tblStock[stock_type],{"Saleable","FOC"}))</f>
        <v>3351</v>
      </c>
      <c r="AH322" s="3">
        <f>SUMIFS(tblStock[value_nzd],tblStock[sku],tblSKU[[#This Row],[sku]])</f>
        <v>67915.66</v>
      </c>
      <c r="AI322" s="4">
        <f>SUMIFS(tblStock[cbm],tblStock[sku],tblSKU[[#This Row],[sku]])</f>
        <v>0.68223279999999986</v>
      </c>
      <c r="AJ322" s="1">
        <f>SUMIFS(tblStock[positions],tblStock[sku],tblSKU[[#This Row],[sku]])</f>
        <v>1</v>
      </c>
      <c r="AK322" s="3">
        <f>SUMIFS(tblStock[value_nzd],tblStock[sku],tblSKU[[#This Row],[sku]],tblStock[stock_type],"Expired")</f>
        <v>0</v>
      </c>
      <c r="AL322" s="3" cm="1">
        <f t="array" ref="AL322">SUM(SUMIFS(tblStock[value_nzd],tblStock[sku],tblSKU[[#This Row],[sku]],tblStock[stock_type],{"Saleable","FOC"},tblStock[expiry_date],"&lt;"&amp;EDATE(SnapshotDate,6)))</f>
        <v>0</v>
      </c>
    </row>
    <row r="323" spans="1:38">
      <c r="A323" s="1" t="s">
        <v>694</v>
      </c>
      <c r="B323" s="1" t="s">
        <v>695</v>
      </c>
      <c r="C323" s="1" t="s">
        <v>36</v>
      </c>
      <c r="D323" s="1" t="s">
        <v>37</v>
      </c>
      <c r="E323" s="1" t="s">
        <v>564</v>
      </c>
      <c r="F323" s="1" t="s">
        <v>39</v>
      </c>
      <c r="G323">
        <v>60</v>
      </c>
      <c r="H323">
        <v>40</v>
      </c>
      <c r="I323">
        <v>35.5</v>
      </c>
      <c r="J323">
        <v>28.5</v>
      </c>
      <c r="K323">
        <v>4.0469999999999999E-2</v>
      </c>
      <c r="L323">
        <v>10.91</v>
      </c>
      <c r="M323">
        <v>28.24</v>
      </c>
      <c r="N323">
        <v>6</v>
      </c>
      <c r="O323">
        <v>2</v>
      </c>
      <c r="P323">
        <v>12</v>
      </c>
      <c r="Q323">
        <v>72</v>
      </c>
      <c r="R323">
        <v>155.92000000000002</v>
      </c>
      <c r="S323">
        <v>0.48563999999999996</v>
      </c>
      <c r="T323">
        <v>23</v>
      </c>
      <c r="U323">
        <v>730</v>
      </c>
      <c r="V323">
        <v>20615.199999999997</v>
      </c>
      <c r="W323" s="1" t="s">
        <v>1262</v>
      </c>
      <c r="X323" s="1" t="s">
        <v>1262</v>
      </c>
      <c r="Y323">
        <v>0.27058823529411763</v>
      </c>
      <c r="Z323">
        <v>5.9640522875816983E-2</v>
      </c>
      <c r="AA323" s="1" t="s">
        <v>1263</v>
      </c>
      <c r="AB323">
        <v>0</v>
      </c>
      <c r="AC323">
        <v>0</v>
      </c>
      <c r="AD323" s="1">
        <v>9.4410958904109581</v>
      </c>
      <c r="AE323">
        <v>2</v>
      </c>
      <c r="AF323">
        <f>COUNTIFS(tblStock[sku],tblSKU[[#This Row],[sku]])</f>
        <v>2</v>
      </c>
      <c r="AG323" cm="1">
        <f t="array" ref="AG323">SUM(SUMIFS(tblStock[qty_units],tblStock[sku],tblSKU[[#This Row],[sku]],tblStock[stock_type],{"Saleable","FOC"}))</f>
        <v>1723</v>
      </c>
      <c r="AH323" s="3">
        <f>SUMIFS(tblStock[value_nzd],tblStock[sku],tblSKU[[#This Row],[sku]])</f>
        <v>48657.52</v>
      </c>
      <c r="AI323" s="4">
        <f>SUMIFS(tblStock[cbm],tblStock[sku],tblSKU[[#This Row],[sku]])</f>
        <v>1.1621635000000001</v>
      </c>
      <c r="AJ323" s="1">
        <f>SUMIFS(tblStock[positions],tblStock[sku],tblSKU[[#This Row],[sku]])</f>
        <v>3</v>
      </c>
      <c r="AK323" s="3">
        <f>SUMIFS(tblStock[value_nzd],tblStock[sku],tblSKU[[#This Row],[sku]],tblStock[stock_type],"Expired")</f>
        <v>0</v>
      </c>
      <c r="AL323" s="3" cm="1">
        <f t="array" ref="AL323">SUM(SUMIFS(tblStock[value_nzd],tblStock[sku],tblSKU[[#This Row],[sku]],tblStock[stock_type],{"Saleable","FOC"},tblStock[expiry_date],"&lt;"&amp;EDATE(SnapshotDate,6)))</f>
        <v>0</v>
      </c>
    </row>
    <row r="324" spans="1:38">
      <c r="A324" s="1" t="s">
        <v>696</v>
      </c>
      <c r="B324" s="1" t="s">
        <v>697</v>
      </c>
      <c r="C324" s="1" t="s">
        <v>43</v>
      </c>
      <c r="D324" s="1" t="s">
        <v>37</v>
      </c>
      <c r="E324" s="1" t="s">
        <v>564</v>
      </c>
      <c r="F324" s="1" t="s">
        <v>39</v>
      </c>
      <c r="G324">
        <v>60</v>
      </c>
      <c r="H324">
        <v>46</v>
      </c>
      <c r="I324">
        <v>38.299999999999997</v>
      </c>
      <c r="J324">
        <v>20</v>
      </c>
      <c r="K324">
        <v>3.524E-2</v>
      </c>
      <c r="L324">
        <v>6.59</v>
      </c>
      <c r="M324">
        <v>15.26</v>
      </c>
      <c r="N324">
        <v>6</v>
      </c>
      <c r="O324">
        <v>3</v>
      </c>
      <c r="P324">
        <v>18</v>
      </c>
      <c r="Q324">
        <v>75</v>
      </c>
      <c r="R324">
        <v>143.62</v>
      </c>
      <c r="S324">
        <v>0.63431999999999999</v>
      </c>
      <c r="T324">
        <v>92</v>
      </c>
      <c r="U324">
        <v>4426</v>
      </c>
      <c r="V324">
        <v>67540.759999999995</v>
      </c>
      <c r="W324" s="1" t="s">
        <v>1264</v>
      </c>
      <c r="X324" s="1" t="s">
        <v>1258</v>
      </c>
      <c r="Y324">
        <v>1.0823529411764705</v>
      </c>
      <c r="Z324">
        <v>0.24106753812636164</v>
      </c>
      <c r="AA324" s="1" t="s">
        <v>1265</v>
      </c>
      <c r="AB324">
        <v>1</v>
      </c>
      <c r="AC324">
        <v>0</v>
      </c>
      <c r="AD324" s="1">
        <v>3.7921373700858565</v>
      </c>
      <c r="AE324">
        <v>4</v>
      </c>
      <c r="AF324">
        <f>COUNTIFS(tblStock[sku],tblSKU[[#This Row],[sku]])</f>
        <v>4</v>
      </c>
      <c r="AG324" cm="1">
        <f t="array" ref="AG324">SUM(SUMIFS(tblStock[qty_units],tblStock[sku],tblSKU[[#This Row],[sku]],tblStock[stock_type],{"Saleable","FOC"}))</f>
        <v>4196</v>
      </c>
      <c r="AH324" s="3">
        <f>SUMIFS(tblStock[value_nzd],tblStock[sku],tblSKU[[#This Row],[sku]])</f>
        <v>70409.64</v>
      </c>
      <c r="AI324" s="4">
        <f>SUMIFS(tblStock[cbm],tblStock[sku],tblSKU[[#This Row],[sku]])</f>
        <v>2.7099559999999996</v>
      </c>
      <c r="AJ324" s="1">
        <f>SUMIFS(tblStock[positions],tblStock[sku],tblSKU[[#This Row],[sku]])</f>
        <v>5</v>
      </c>
      <c r="AK324" s="3">
        <f>SUMIFS(tblStock[value_nzd],tblStock[sku],tblSKU[[#This Row],[sku]],tblStock[stock_type],"Expired")</f>
        <v>5112.1000000000004</v>
      </c>
      <c r="AL324" s="3" cm="1">
        <f t="array" ref="AL324">SUM(SUMIFS(tblStock[value_nzd],tblStock[sku],tblSKU[[#This Row],[sku]],tblStock[stock_type],{"Saleable","FOC"},tblStock[expiry_date],"&lt;"&amp;EDATE(SnapshotDate,6)))</f>
        <v>42132.86</v>
      </c>
    </row>
    <row r="325" spans="1:38">
      <c r="A325" s="1" t="s">
        <v>698</v>
      </c>
      <c r="B325" s="1" t="s">
        <v>699</v>
      </c>
      <c r="C325" s="1" t="s">
        <v>36</v>
      </c>
      <c r="D325" s="1" t="s">
        <v>37</v>
      </c>
      <c r="E325" s="1" t="s">
        <v>564</v>
      </c>
      <c r="F325" s="1" t="s">
        <v>39</v>
      </c>
      <c r="G325">
        <v>120</v>
      </c>
      <c r="H325">
        <v>38.1</v>
      </c>
      <c r="I325">
        <v>28.2</v>
      </c>
      <c r="J325">
        <v>21.6</v>
      </c>
      <c r="K325">
        <v>2.3210000000000001E-2</v>
      </c>
      <c r="L325">
        <v>4.3099999999999996</v>
      </c>
      <c r="M325">
        <v>24.79</v>
      </c>
      <c r="N325">
        <v>9</v>
      </c>
      <c r="O325">
        <v>6</v>
      </c>
      <c r="P325">
        <v>54</v>
      </c>
      <c r="Q325">
        <v>144.60000000000002</v>
      </c>
      <c r="R325">
        <v>257.74</v>
      </c>
      <c r="S325">
        <v>1.2533400000000001</v>
      </c>
      <c r="T325">
        <v>18</v>
      </c>
      <c r="U325">
        <v>689</v>
      </c>
      <c r="V325">
        <v>17080.309999999998</v>
      </c>
      <c r="W325" s="1" t="s">
        <v>1262</v>
      </c>
      <c r="X325" s="1" t="s">
        <v>1262</v>
      </c>
      <c r="Y325">
        <v>0.21176470588235294</v>
      </c>
      <c r="Z325">
        <v>6.2545388525780685E-3</v>
      </c>
      <c r="AA325" s="1" t="s">
        <v>1263</v>
      </c>
      <c r="AB325">
        <v>0</v>
      </c>
      <c r="AC325">
        <v>0</v>
      </c>
      <c r="AD325" s="1">
        <v>2.6531204644412192</v>
      </c>
      <c r="AE325">
        <v>2</v>
      </c>
      <c r="AF325">
        <f>COUNTIFS(tblStock[sku],tblSKU[[#This Row],[sku]])</f>
        <v>2</v>
      </c>
      <c r="AG325" cm="1">
        <f t="array" ref="AG325">SUM(SUMIFS(tblStock[qty_units],tblStock[sku],tblSKU[[#This Row],[sku]],tblStock[stock_type],{"Saleable","FOC"}))</f>
        <v>457</v>
      </c>
      <c r="AH325" s="3">
        <f>SUMIFS(tblStock[value_nzd],tblStock[sku],tblSKU[[#This Row],[sku]])</f>
        <v>11329.029999999999</v>
      </c>
      <c r="AI325" s="4">
        <f>SUMIFS(tblStock[cbm],tblStock[sku],tblSKU[[#This Row],[sku]])</f>
        <v>8.8391416666666667E-2</v>
      </c>
      <c r="AJ325" s="1">
        <f>SUMIFS(tblStock[positions],tblStock[sku],tblSKU[[#This Row],[sku]])</f>
        <v>0</v>
      </c>
      <c r="AK325" s="3">
        <f>SUMIFS(tblStock[value_nzd],tblStock[sku],tblSKU[[#This Row],[sku]],tblStock[stock_type],"Expired")</f>
        <v>0</v>
      </c>
      <c r="AL325" s="3" cm="1">
        <f t="array" ref="AL325">SUM(SUMIFS(tblStock[value_nzd],tblStock[sku],tblSKU[[#This Row],[sku]],tblStock[stock_type],{"Saleable","FOC"},tblStock[expiry_date],"&lt;"&amp;EDATE(SnapshotDate,6)))</f>
        <v>0</v>
      </c>
    </row>
    <row r="326" spans="1:38">
      <c r="A326" s="1" t="s">
        <v>700</v>
      </c>
      <c r="B326" s="1" t="s">
        <v>701</v>
      </c>
      <c r="C326" s="1" t="s">
        <v>36</v>
      </c>
      <c r="D326" s="1" t="s">
        <v>37</v>
      </c>
      <c r="E326" s="1" t="s">
        <v>564</v>
      </c>
      <c r="F326" s="1" t="s">
        <v>39</v>
      </c>
      <c r="G326">
        <v>60</v>
      </c>
      <c r="H326">
        <v>50.8</v>
      </c>
      <c r="I326">
        <v>29.9</v>
      </c>
      <c r="J326">
        <v>27</v>
      </c>
      <c r="K326">
        <v>4.1009999999999998E-2</v>
      </c>
      <c r="L326">
        <v>8.8000000000000007</v>
      </c>
      <c r="M326">
        <v>7.66</v>
      </c>
      <c r="N326">
        <v>6</v>
      </c>
      <c r="O326">
        <v>5</v>
      </c>
      <c r="P326">
        <v>30</v>
      </c>
      <c r="Q326">
        <v>150</v>
      </c>
      <c r="R326">
        <v>289</v>
      </c>
      <c r="S326">
        <v>1.2302999999999999</v>
      </c>
      <c r="T326">
        <v>20</v>
      </c>
      <c r="U326">
        <v>1212</v>
      </c>
      <c r="V326">
        <v>9283.92</v>
      </c>
      <c r="W326" s="1" t="s">
        <v>1262</v>
      </c>
      <c r="X326" s="1" t="s">
        <v>1262</v>
      </c>
      <c r="Y326">
        <v>0.23529411764705882</v>
      </c>
      <c r="Z326">
        <v>3.9607843137254899E-2</v>
      </c>
      <c r="AA326" s="1" t="s">
        <v>1263</v>
      </c>
      <c r="AB326">
        <v>0</v>
      </c>
      <c r="AC326">
        <v>0</v>
      </c>
      <c r="AD326" s="1">
        <v>7.3795379537953796</v>
      </c>
      <c r="AE326">
        <v>2</v>
      </c>
      <c r="AF326">
        <f>COUNTIFS(tblStock[sku],tblSKU[[#This Row],[sku]])</f>
        <v>2</v>
      </c>
      <c r="AG326" cm="1">
        <f t="array" ref="AG326">SUM(SUMIFS(tblStock[qty_units],tblStock[sku],tblSKU[[#This Row],[sku]],tblStock[stock_type],{"Saleable","FOC"}))</f>
        <v>2236</v>
      </c>
      <c r="AH326" s="3">
        <f>SUMIFS(tblStock[value_nzd],tblStock[sku],tblSKU[[#This Row],[sku]])</f>
        <v>17127.760000000002</v>
      </c>
      <c r="AI326" s="4">
        <f>SUMIFS(tblStock[cbm],tblStock[sku],tblSKU[[#This Row],[sku]])</f>
        <v>1.5283059999999999</v>
      </c>
      <c r="AJ326" s="1">
        <f>SUMIFS(tblStock[positions],tblStock[sku],tblSKU[[#This Row],[sku]])</f>
        <v>2</v>
      </c>
      <c r="AK326" s="3">
        <f>SUMIFS(tblStock[value_nzd],tblStock[sku],tblSKU[[#This Row],[sku]],tblStock[stock_type],"Expired")</f>
        <v>0</v>
      </c>
      <c r="AL326" s="3" cm="1">
        <f t="array" ref="AL326">SUM(SUMIFS(tblStock[value_nzd],tblStock[sku],tblSKU[[#This Row],[sku]],tblStock[stock_type],{"Saleable","FOC"},tblStock[expiry_date],"&lt;"&amp;EDATE(SnapshotDate,6)))</f>
        <v>0</v>
      </c>
    </row>
    <row r="327" spans="1:38">
      <c r="A327" s="1" t="s">
        <v>702</v>
      </c>
      <c r="B327" s="1" t="s">
        <v>703</v>
      </c>
      <c r="C327" s="1" t="s">
        <v>577</v>
      </c>
      <c r="D327" s="1" t="s">
        <v>37</v>
      </c>
      <c r="E327" s="1" t="s">
        <v>704</v>
      </c>
      <c r="F327" s="1" t="s">
        <v>39</v>
      </c>
      <c r="G327">
        <v>36</v>
      </c>
      <c r="H327">
        <v>40.6</v>
      </c>
      <c r="I327">
        <v>24.4</v>
      </c>
      <c r="J327">
        <v>23.4</v>
      </c>
      <c r="K327">
        <v>2.3179999999999999E-2</v>
      </c>
      <c r="L327">
        <v>13.92</v>
      </c>
      <c r="M327">
        <v>6.94</v>
      </c>
      <c r="N327">
        <v>8</v>
      </c>
      <c r="O327">
        <v>3</v>
      </c>
      <c r="P327">
        <v>24</v>
      </c>
      <c r="Q327">
        <v>85.199999999999989</v>
      </c>
      <c r="R327">
        <v>359.08</v>
      </c>
      <c r="S327">
        <v>0.55631999999999993</v>
      </c>
      <c r="T327">
        <v>71</v>
      </c>
      <c r="U327">
        <v>3658</v>
      </c>
      <c r="V327">
        <v>25386.52</v>
      </c>
      <c r="W327" s="1" t="s">
        <v>1258</v>
      </c>
      <c r="X327" s="1" t="s">
        <v>1262</v>
      </c>
      <c r="Y327">
        <v>0.83529411764705885</v>
      </c>
      <c r="Z327">
        <v>0.24904684095860566</v>
      </c>
      <c r="AA327" s="1" t="s">
        <v>1259</v>
      </c>
      <c r="AB327">
        <v>0</v>
      </c>
      <c r="AC327">
        <v>1</v>
      </c>
      <c r="AD327" s="1">
        <v>6.4078731547293604</v>
      </c>
      <c r="AE327">
        <v>2</v>
      </c>
      <c r="AF327">
        <f>COUNTIFS(tblStock[sku],tblSKU[[#This Row],[sku]])</f>
        <v>1</v>
      </c>
      <c r="AG327" cm="1">
        <f t="array" ref="AG327">SUM(SUMIFS(tblStock[qty_units],tblStock[sku],tblSKU[[#This Row],[sku]],tblStock[stock_type],{"Saleable","FOC"}))</f>
        <v>5860</v>
      </c>
      <c r="AH327" s="3">
        <f>SUMIFS(tblStock[value_nzd],tblStock[sku],tblSKU[[#This Row],[sku]])</f>
        <v>40668.400000000001</v>
      </c>
      <c r="AI327" s="4">
        <f>SUMIFS(tblStock[cbm],tblStock[sku],tblSKU[[#This Row],[sku]])</f>
        <v>3.7731888888888885</v>
      </c>
      <c r="AJ327" s="1">
        <f>SUMIFS(tblStock[positions],tblStock[sku],tblSKU[[#This Row],[sku]])</f>
        <v>7</v>
      </c>
      <c r="AK327" s="3">
        <f>SUMIFS(tblStock[value_nzd],tblStock[sku],tblSKU[[#This Row],[sku]],tblStock[stock_type],"Expired")</f>
        <v>0</v>
      </c>
      <c r="AL327" s="3" cm="1">
        <f t="array" ref="AL327">SUM(SUMIFS(tblStock[value_nzd],tblStock[sku],tblSKU[[#This Row],[sku]],tblStock[stock_type],{"Saleable","FOC"},tblStock[expiry_date],"&lt;"&amp;EDATE(SnapshotDate,6)))</f>
        <v>0</v>
      </c>
    </row>
    <row r="328" spans="1:38">
      <c r="A328" s="1" t="s">
        <v>705</v>
      </c>
      <c r="B328" s="1" t="s">
        <v>706</v>
      </c>
      <c r="C328" s="1" t="s">
        <v>577</v>
      </c>
      <c r="D328" s="1" t="s">
        <v>37</v>
      </c>
      <c r="E328" s="1" t="s">
        <v>704</v>
      </c>
      <c r="F328" s="1" t="s">
        <v>39</v>
      </c>
      <c r="G328">
        <v>24</v>
      </c>
      <c r="H328">
        <v>34.299999999999997</v>
      </c>
      <c r="I328">
        <v>25.5</v>
      </c>
      <c r="J328">
        <v>16.600000000000001</v>
      </c>
      <c r="K328">
        <v>1.452E-2</v>
      </c>
      <c r="L328">
        <v>11.39</v>
      </c>
      <c r="M328">
        <v>3.26</v>
      </c>
      <c r="N328">
        <v>7</v>
      </c>
      <c r="O328">
        <v>7</v>
      </c>
      <c r="P328">
        <v>49</v>
      </c>
      <c r="Q328">
        <v>131.20000000000002</v>
      </c>
      <c r="R328">
        <v>583.11</v>
      </c>
      <c r="S328">
        <v>0.71148</v>
      </c>
      <c r="T328">
        <v>21</v>
      </c>
      <c r="U328">
        <v>1114</v>
      </c>
      <c r="V328">
        <v>3631.64</v>
      </c>
      <c r="W328" s="1" t="s">
        <v>1262</v>
      </c>
      <c r="X328" s="1" t="s">
        <v>1262</v>
      </c>
      <c r="Y328">
        <v>0.24705882352941178</v>
      </c>
      <c r="Z328">
        <v>5.5722288915566222E-2</v>
      </c>
      <c r="AA328" s="1" t="s">
        <v>1263</v>
      </c>
      <c r="AB328">
        <v>0</v>
      </c>
      <c r="AC328">
        <v>0</v>
      </c>
      <c r="AD328" s="1">
        <v>2.8940754039497305</v>
      </c>
      <c r="AE328">
        <v>2</v>
      </c>
      <c r="AF328">
        <f>COUNTIFS(tblStock[sku],tblSKU[[#This Row],[sku]])</f>
        <v>2</v>
      </c>
      <c r="AG328" cm="1">
        <f t="array" ref="AG328">SUM(SUMIFS(tblStock[qty_units],tblStock[sku],tblSKU[[#This Row],[sku]],tblStock[stock_type],{"Saleable","FOC"}))</f>
        <v>806</v>
      </c>
      <c r="AH328" s="3">
        <f>SUMIFS(tblStock[value_nzd],tblStock[sku],tblSKU[[#This Row],[sku]])</f>
        <v>2627.5599999999995</v>
      </c>
      <c r="AI328" s="4">
        <f>SUMIFS(tblStock[cbm],tblStock[sku],tblSKU[[#This Row],[sku]])</f>
        <v>0.48763000000000001</v>
      </c>
      <c r="AJ328" s="1">
        <f>SUMIFS(tblStock[positions],tblStock[sku],tblSKU[[#This Row],[sku]])</f>
        <v>1</v>
      </c>
      <c r="AK328" s="3">
        <f>SUMIFS(tblStock[value_nzd],tblStock[sku],tblSKU[[#This Row],[sku]],tblStock[stock_type],"Expired")</f>
        <v>0</v>
      </c>
      <c r="AL328" s="3" cm="1">
        <f t="array" ref="AL328">SUM(SUMIFS(tblStock[value_nzd],tblStock[sku],tblSKU[[#This Row],[sku]],tblStock[stock_type],{"Saleable","FOC"},tblStock[expiry_date],"&lt;"&amp;EDATE(SnapshotDate,6)))</f>
        <v>2627.5599999999995</v>
      </c>
    </row>
    <row r="329" spans="1:38">
      <c r="A329" s="1" t="s">
        <v>707</v>
      </c>
      <c r="B329" s="1" t="s">
        <v>708</v>
      </c>
      <c r="C329" s="1" t="s">
        <v>48</v>
      </c>
      <c r="D329" s="1" t="s">
        <v>37</v>
      </c>
      <c r="E329" s="1" t="s">
        <v>704</v>
      </c>
      <c r="F329" s="1" t="s">
        <v>39</v>
      </c>
      <c r="G329">
        <v>24</v>
      </c>
      <c r="H329">
        <v>45</v>
      </c>
      <c r="I329">
        <v>21.6</v>
      </c>
      <c r="J329">
        <v>19.399999999999999</v>
      </c>
      <c r="K329">
        <v>1.8859999999999998E-2</v>
      </c>
      <c r="L329">
        <v>14.68</v>
      </c>
      <c r="M329">
        <v>6.47</v>
      </c>
      <c r="N329">
        <v>10</v>
      </c>
      <c r="O329">
        <v>4</v>
      </c>
      <c r="P329">
        <v>40</v>
      </c>
      <c r="Q329">
        <v>92.6</v>
      </c>
      <c r="R329">
        <v>612.20000000000005</v>
      </c>
      <c r="S329">
        <v>0.75439999999999996</v>
      </c>
      <c r="T329">
        <v>76</v>
      </c>
      <c r="U329">
        <v>2801</v>
      </c>
      <c r="V329">
        <v>18122.469999999998</v>
      </c>
      <c r="W329" s="1" t="s">
        <v>1258</v>
      </c>
      <c r="X329" s="1" t="s">
        <v>1262</v>
      </c>
      <c r="Y329">
        <v>0.89411764705882357</v>
      </c>
      <c r="Z329">
        <v>0.17162990196078431</v>
      </c>
      <c r="AA329" s="1" t="s">
        <v>1259</v>
      </c>
      <c r="AB329">
        <v>0</v>
      </c>
      <c r="AC329">
        <v>1</v>
      </c>
      <c r="AD329" s="1">
        <v>3.8657622277757944</v>
      </c>
      <c r="AE329">
        <v>2</v>
      </c>
      <c r="AF329">
        <f>COUNTIFS(tblStock[sku],tblSKU[[#This Row],[sku]])</f>
        <v>1</v>
      </c>
      <c r="AG329" cm="1">
        <f t="array" ref="AG329">SUM(SUMIFS(tblStock[qty_units],tblStock[sku],tblSKU[[#This Row],[sku]],tblStock[stock_type],{"Saleable","FOC"}))</f>
        <v>2707</v>
      </c>
      <c r="AH329" s="3">
        <f>SUMIFS(tblStock[value_nzd],tblStock[sku],tblSKU[[#This Row],[sku]])</f>
        <v>17514.29</v>
      </c>
      <c r="AI329" s="4">
        <f>SUMIFS(tblStock[cbm],tblStock[sku],tblSKU[[#This Row],[sku]])</f>
        <v>2.1272508333333331</v>
      </c>
      <c r="AJ329" s="1">
        <f>SUMIFS(tblStock[positions],tblStock[sku],tblSKU[[#This Row],[sku]])</f>
        <v>3</v>
      </c>
      <c r="AK329" s="3">
        <f>SUMIFS(tblStock[value_nzd],tblStock[sku],tblSKU[[#This Row],[sku]],tblStock[stock_type],"Expired")</f>
        <v>0</v>
      </c>
      <c r="AL329" s="3" cm="1">
        <f t="array" ref="AL329">SUM(SUMIFS(tblStock[value_nzd],tblStock[sku],tblSKU[[#This Row],[sku]],tblStock[stock_type],{"Saleable","FOC"},tblStock[expiry_date],"&lt;"&amp;EDATE(SnapshotDate,6)))</f>
        <v>0</v>
      </c>
    </row>
    <row r="330" spans="1:38">
      <c r="A330" s="1" t="s">
        <v>709</v>
      </c>
      <c r="B330" s="1" t="s">
        <v>710</v>
      </c>
      <c r="C330" s="1" t="s">
        <v>48</v>
      </c>
      <c r="D330" s="1" t="s">
        <v>37</v>
      </c>
      <c r="E330" s="1" t="s">
        <v>704</v>
      </c>
      <c r="F330" s="1" t="s">
        <v>39</v>
      </c>
      <c r="G330">
        <v>24</v>
      </c>
      <c r="H330">
        <v>40.6</v>
      </c>
      <c r="I330">
        <v>20.399999999999999</v>
      </c>
      <c r="J330">
        <v>15.2</v>
      </c>
      <c r="K330">
        <v>1.259E-2</v>
      </c>
      <c r="L330">
        <v>8.25</v>
      </c>
      <c r="M330">
        <v>8.59</v>
      </c>
      <c r="N330">
        <v>10</v>
      </c>
      <c r="O330">
        <v>7</v>
      </c>
      <c r="P330">
        <v>70</v>
      </c>
      <c r="Q330">
        <v>121.39999999999999</v>
      </c>
      <c r="R330">
        <v>602.5</v>
      </c>
      <c r="S330">
        <v>0.88130000000000008</v>
      </c>
      <c r="T330">
        <v>239</v>
      </c>
      <c r="U330">
        <v>8589</v>
      </c>
      <c r="V330">
        <v>73779.509999999995</v>
      </c>
      <c r="W330" s="1" t="s">
        <v>1264</v>
      </c>
      <c r="X330" s="1" t="s">
        <v>1258</v>
      </c>
      <c r="Y330">
        <v>2.8117647058823527</v>
      </c>
      <c r="Z330">
        <v>0.30073529411764705</v>
      </c>
      <c r="AA330" s="1" t="s">
        <v>1265</v>
      </c>
      <c r="AB330">
        <v>1</v>
      </c>
      <c r="AC330">
        <v>0</v>
      </c>
      <c r="AD330" s="1">
        <v>12.188147630690418</v>
      </c>
      <c r="AE330">
        <v>4</v>
      </c>
      <c r="AF330">
        <f>COUNTIFS(tblStock[sku],tblSKU[[#This Row],[sku]])</f>
        <v>2</v>
      </c>
      <c r="AG330" cm="1">
        <f t="array" ref="AG330">SUM(SUMIFS(tblStock[qty_units],tblStock[sku],tblSKU[[#This Row],[sku]],tblStock[stock_type],{"Saleable","FOC"}))</f>
        <v>26171</v>
      </c>
      <c r="AH330" s="3">
        <f>SUMIFS(tblStock[value_nzd],tblStock[sku],tblSKU[[#This Row],[sku]])</f>
        <v>224808.88999999998</v>
      </c>
      <c r="AI330" s="4">
        <f>SUMIFS(tblStock[cbm],tblStock[sku],tblSKU[[#This Row],[sku]])</f>
        <v>13.728870416666666</v>
      </c>
      <c r="AJ330" s="1">
        <f>SUMIFS(tblStock[positions],tblStock[sku],tblSKU[[#This Row],[sku]])</f>
        <v>17</v>
      </c>
      <c r="AK330" s="3">
        <f>SUMIFS(tblStock[value_nzd],tblStock[sku],tblSKU[[#This Row],[sku]],tblStock[stock_type],"Expired")</f>
        <v>0</v>
      </c>
      <c r="AL330" s="3" cm="1">
        <f t="array" ref="AL330">SUM(SUMIFS(tblStock[value_nzd],tblStock[sku],tblSKU[[#This Row],[sku]],tblStock[stock_type],{"Saleable","FOC"},tblStock[expiry_date],"&lt;"&amp;EDATE(SnapshotDate,6)))</f>
        <v>0</v>
      </c>
    </row>
    <row r="331" spans="1:38">
      <c r="A331" s="1" t="s">
        <v>711</v>
      </c>
      <c r="B331" s="1" t="s">
        <v>712</v>
      </c>
      <c r="C331" s="1" t="s">
        <v>577</v>
      </c>
      <c r="D331" s="1" t="s">
        <v>37</v>
      </c>
      <c r="E331" s="1" t="s">
        <v>704</v>
      </c>
      <c r="F331" s="1" t="s">
        <v>39</v>
      </c>
      <c r="G331">
        <v>36</v>
      </c>
      <c r="H331">
        <v>33.299999999999997</v>
      </c>
      <c r="I331">
        <v>25.7</v>
      </c>
      <c r="J331">
        <v>18.3</v>
      </c>
      <c r="K331">
        <v>1.566E-2</v>
      </c>
      <c r="L331">
        <v>8.82</v>
      </c>
      <c r="M331">
        <v>4.6900000000000004</v>
      </c>
      <c r="N331">
        <v>12</v>
      </c>
      <c r="O331">
        <v>6</v>
      </c>
      <c r="P331">
        <v>72</v>
      </c>
      <c r="Q331">
        <v>124.80000000000001</v>
      </c>
      <c r="R331">
        <v>660.04</v>
      </c>
      <c r="S331">
        <v>1.1275200000000001</v>
      </c>
      <c r="T331">
        <v>190</v>
      </c>
      <c r="U331">
        <v>8781</v>
      </c>
      <c r="V331">
        <v>41182.890000000007</v>
      </c>
      <c r="W331" s="1" t="s">
        <v>1264</v>
      </c>
      <c r="X331" s="1" t="s">
        <v>1258</v>
      </c>
      <c r="Y331">
        <v>2.2352941176470589</v>
      </c>
      <c r="Z331">
        <v>0.19927832244008714</v>
      </c>
      <c r="AA331" s="1" t="s">
        <v>1265</v>
      </c>
      <c r="AB331">
        <v>1</v>
      </c>
      <c r="AC331">
        <v>0</v>
      </c>
      <c r="AD331" s="1">
        <v>13.293702311809589</v>
      </c>
      <c r="AE331">
        <v>4</v>
      </c>
      <c r="AF331">
        <f>COUNTIFS(tblStock[sku],tblSKU[[#This Row],[sku]])</f>
        <v>3</v>
      </c>
      <c r="AG331" cm="1">
        <f t="array" ref="AG331">SUM(SUMIFS(tblStock[qty_units],tblStock[sku],tblSKU[[#This Row],[sku]],tblStock[stock_type],{"Saleable","FOC"}))</f>
        <v>29183</v>
      </c>
      <c r="AH331" s="3">
        <f>SUMIFS(tblStock[value_nzd],tblStock[sku],tblSKU[[#This Row],[sku]])</f>
        <v>136868.27000000002</v>
      </c>
      <c r="AI331" s="4">
        <f>SUMIFS(tblStock[cbm],tblStock[sku],tblSKU[[#This Row],[sku]])</f>
        <v>12.694604999999999</v>
      </c>
      <c r="AJ331" s="1">
        <f>SUMIFS(tblStock[positions],tblStock[sku],tblSKU[[#This Row],[sku]])</f>
        <v>12</v>
      </c>
      <c r="AK331" s="3">
        <f>SUMIFS(tblStock[value_nzd],tblStock[sku],tblSKU[[#This Row],[sku]],tblStock[stock_type],"Expired")</f>
        <v>0</v>
      </c>
      <c r="AL331" s="3" cm="1">
        <f t="array" ref="AL331">SUM(SUMIFS(tblStock[value_nzd],tblStock[sku],tblSKU[[#This Row],[sku]],tblStock[stock_type],{"Saleable","FOC"},tblStock[expiry_date],"&lt;"&amp;EDATE(SnapshotDate,6)))</f>
        <v>0</v>
      </c>
    </row>
    <row r="332" spans="1:38">
      <c r="A332" s="1" t="s">
        <v>713</v>
      </c>
      <c r="B332" s="1" t="s">
        <v>714</v>
      </c>
      <c r="C332" s="1" t="s">
        <v>577</v>
      </c>
      <c r="D332" s="1" t="s">
        <v>37</v>
      </c>
      <c r="E332" s="1" t="s">
        <v>704</v>
      </c>
      <c r="F332" s="1" t="s">
        <v>39</v>
      </c>
      <c r="G332">
        <v>48</v>
      </c>
      <c r="H332">
        <v>40.9</v>
      </c>
      <c r="I332">
        <v>22.5</v>
      </c>
      <c r="J332">
        <v>20.9</v>
      </c>
      <c r="K332">
        <v>1.9230000000000001E-2</v>
      </c>
      <c r="L332">
        <v>15.14</v>
      </c>
      <c r="M332">
        <v>5.3</v>
      </c>
      <c r="N332">
        <v>8</v>
      </c>
      <c r="O332">
        <v>5</v>
      </c>
      <c r="P332">
        <v>40</v>
      </c>
      <c r="Q332">
        <v>119.5</v>
      </c>
      <c r="R332">
        <v>630.6</v>
      </c>
      <c r="S332">
        <v>0.76919999999999999</v>
      </c>
      <c r="T332">
        <v>11</v>
      </c>
      <c r="U332">
        <v>452</v>
      </c>
      <c r="V332">
        <v>2395.6</v>
      </c>
      <c r="W332" s="1" t="s">
        <v>1262</v>
      </c>
      <c r="X332" s="1" t="s">
        <v>1262</v>
      </c>
      <c r="Y332">
        <v>0.12941176470588237</v>
      </c>
      <c r="Z332">
        <v>1.3848039215686276E-2</v>
      </c>
      <c r="AA332" s="1" t="s">
        <v>1263</v>
      </c>
      <c r="AB332">
        <v>0</v>
      </c>
      <c r="AC332">
        <v>0</v>
      </c>
      <c r="AD332" s="1">
        <v>7.8407079646017701</v>
      </c>
      <c r="AE332">
        <v>2</v>
      </c>
      <c r="AF332">
        <f>COUNTIFS(tblStock[sku],tblSKU[[#This Row],[sku]])</f>
        <v>1</v>
      </c>
      <c r="AG332" cm="1">
        <f t="array" ref="AG332">SUM(SUMIFS(tblStock[qty_units],tblStock[sku],tblSKU[[#This Row],[sku]],tblStock[stock_type],{"Saleable","FOC"}))</f>
        <v>886</v>
      </c>
      <c r="AH332" s="3">
        <f>SUMIFS(tblStock[value_nzd],tblStock[sku],tblSKU[[#This Row],[sku]])</f>
        <v>4695.8</v>
      </c>
      <c r="AI332" s="4">
        <f>SUMIFS(tblStock[cbm],tblStock[sku],tblSKU[[#This Row],[sku]])</f>
        <v>0.35495375000000001</v>
      </c>
      <c r="AJ332" s="1">
        <f>SUMIFS(tblStock[positions],tblStock[sku],tblSKU[[#This Row],[sku]])</f>
        <v>1</v>
      </c>
      <c r="AK332" s="3">
        <f>SUMIFS(tblStock[value_nzd],tblStock[sku],tblSKU[[#This Row],[sku]],tblStock[stock_type],"Expired")</f>
        <v>0</v>
      </c>
      <c r="AL332" s="3" cm="1">
        <f t="array" ref="AL332">SUM(SUMIFS(tblStock[value_nzd],tblStock[sku],tblSKU[[#This Row],[sku]],tblStock[stock_type],{"Saleable","FOC"},tblStock[expiry_date],"&lt;"&amp;EDATE(SnapshotDate,6)))</f>
        <v>0</v>
      </c>
    </row>
    <row r="333" spans="1:38">
      <c r="A333" s="1" t="s">
        <v>715</v>
      </c>
      <c r="B333" s="1" t="s">
        <v>716</v>
      </c>
      <c r="C333" s="1" t="s">
        <v>48</v>
      </c>
      <c r="D333" s="1" t="s">
        <v>37</v>
      </c>
      <c r="E333" s="1" t="s">
        <v>704</v>
      </c>
      <c r="F333" s="1" t="s">
        <v>39</v>
      </c>
      <c r="G333">
        <v>60</v>
      </c>
      <c r="H333">
        <v>30.8</v>
      </c>
      <c r="I333">
        <v>30.3</v>
      </c>
      <c r="J333">
        <v>16.8</v>
      </c>
      <c r="K333">
        <v>1.5679999999999999E-2</v>
      </c>
      <c r="L333">
        <v>11.82</v>
      </c>
      <c r="M333">
        <v>3.6</v>
      </c>
      <c r="N333">
        <v>8</v>
      </c>
      <c r="O333">
        <v>7</v>
      </c>
      <c r="P333">
        <v>56</v>
      </c>
      <c r="Q333">
        <v>132.60000000000002</v>
      </c>
      <c r="R333">
        <v>686.92000000000007</v>
      </c>
      <c r="S333">
        <v>0.87807999999999997</v>
      </c>
      <c r="T333">
        <v>611</v>
      </c>
      <c r="U333">
        <v>30153</v>
      </c>
      <c r="V333">
        <v>108550.8</v>
      </c>
      <c r="W333" s="1" t="s">
        <v>1264</v>
      </c>
      <c r="X333" s="1" t="s">
        <v>1264</v>
      </c>
      <c r="Y333">
        <v>7.1882352941176473</v>
      </c>
      <c r="Z333">
        <v>0.52788865546218489</v>
      </c>
      <c r="AA333" s="1" t="s">
        <v>1265</v>
      </c>
      <c r="AB333">
        <v>1</v>
      </c>
      <c r="AC333">
        <v>0</v>
      </c>
      <c r="AD333" s="1">
        <v>2.9192451829005406</v>
      </c>
      <c r="AE333">
        <v>12</v>
      </c>
      <c r="AF333">
        <f>COUNTIFS(tblStock[sku],tblSKU[[#This Row],[sku]])</f>
        <v>2</v>
      </c>
      <c r="AG333" cm="1">
        <f t="array" ref="AG333">SUM(SUMIFS(tblStock[qty_units],tblStock[sku],tblSKU[[#This Row],[sku]],tblStock[stock_type],{"Saleable","FOC"}))</f>
        <v>22006</v>
      </c>
      <c r="AH333" s="3">
        <f>SUMIFS(tblStock[value_nzd],tblStock[sku],tblSKU[[#This Row],[sku]])</f>
        <v>79221.600000000006</v>
      </c>
      <c r="AI333" s="4">
        <f>SUMIFS(tblStock[cbm],tblStock[sku],tblSKU[[#This Row],[sku]])</f>
        <v>5.7509013333333323</v>
      </c>
      <c r="AJ333" s="1">
        <f>SUMIFS(tblStock[positions],tblStock[sku],tblSKU[[#This Row],[sku]])</f>
        <v>7</v>
      </c>
      <c r="AK333" s="3">
        <f>SUMIFS(tblStock[value_nzd],tblStock[sku],tblSKU[[#This Row],[sku]],tblStock[stock_type],"Expired")</f>
        <v>0</v>
      </c>
      <c r="AL333" s="3" cm="1">
        <f t="array" ref="AL333">SUM(SUMIFS(tblStock[value_nzd],tblStock[sku],tblSKU[[#This Row],[sku]],tblStock[stock_type],{"Saleable","FOC"},tblStock[expiry_date],"&lt;"&amp;EDATE(SnapshotDate,6)))</f>
        <v>0</v>
      </c>
    </row>
    <row r="334" spans="1:38">
      <c r="A334" s="1" t="s">
        <v>717</v>
      </c>
      <c r="B334" s="1" t="s">
        <v>718</v>
      </c>
      <c r="C334" s="1" t="s">
        <v>48</v>
      </c>
      <c r="D334" s="1" t="s">
        <v>37</v>
      </c>
      <c r="E334" s="1" t="s">
        <v>704</v>
      </c>
      <c r="F334" s="1" t="s">
        <v>39</v>
      </c>
      <c r="G334">
        <v>24</v>
      </c>
      <c r="H334">
        <v>42.6</v>
      </c>
      <c r="I334">
        <v>21.4</v>
      </c>
      <c r="J334">
        <v>15.1</v>
      </c>
      <c r="K334">
        <v>1.3769999999999999E-2</v>
      </c>
      <c r="L334">
        <v>8.7899999999999991</v>
      </c>
      <c r="M334">
        <v>4.4000000000000004</v>
      </c>
      <c r="N334">
        <v>10</v>
      </c>
      <c r="O334">
        <v>7</v>
      </c>
      <c r="P334">
        <v>70</v>
      </c>
      <c r="Q334">
        <v>120.7</v>
      </c>
      <c r="R334">
        <v>640.29999999999995</v>
      </c>
      <c r="S334">
        <v>0.96389999999999998</v>
      </c>
      <c r="T334">
        <v>203</v>
      </c>
      <c r="U334">
        <v>8149</v>
      </c>
      <c r="V334">
        <v>35855.600000000006</v>
      </c>
      <c r="W334" s="1" t="s">
        <v>1264</v>
      </c>
      <c r="X334" s="1" t="s">
        <v>1258</v>
      </c>
      <c r="Y334">
        <v>2.388235294117647</v>
      </c>
      <c r="Z334">
        <v>0.28532913165266105</v>
      </c>
      <c r="AA334" s="1" t="s">
        <v>1265</v>
      </c>
      <c r="AB334">
        <v>1</v>
      </c>
      <c r="AC334">
        <v>0</v>
      </c>
      <c r="AD334" s="1">
        <v>3.2087372683764879</v>
      </c>
      <c r="AE334">
        <v>4</v>
      </c>
      <c r="AF334">
        <f>COUNTIFS(tblStock[sku],tblSKU[[#This Row],[sku]])</f>
        <v>1</v>
      </c>
      <c r="AG334" cm="1">
        <f t="array" ref="AG334">SUM(SUMIFS(tblStock[qty_units],tblStock[sku],tblSKU[[#This Row],[sku]],tblStock[stock_type],{"Saleable","FOC"}))</f>
        <v>6537</v>
      </c>
      <c r="AH334" s="3">
        <f>SUMIFS(tblStock[value_nzd],tblStock[sku],tblSKU[[#This Row],[sku]])</f>
        <v>28762.800000000003</v>
      </c>
      <c r="AI334" s="4">
        <f>SUMIFS(tblStock[cbm],tblStock[sku],tblSKU[[#This Row],[sku]])</f>
        <v>3.7506037499999998</v>
      </c>
      <c r="AJ334" s="1">
        <f>SUMIFS(tblStock[positions],tblStock[sku],tblSKU[[#This Row],[sku]])</f>
        <v>4</v>
      </c>
      <c r="AK334" s="3">
        <f>SUMIFS(tblStock[value_nzd],tblStock[sku],tblSKU[[#This Row],[sku]],tblStock[stock_type],"Expired")</f>
        <v>0</v>
      </c>
      <c r="AL334" s="3" cm="1">
        <f t="array" ref="AL334">SUM(SUMIFS(tblStock[value_nzd],tblStock[sku],tblSKU[[#This Row],[sku]],tblStock[stock_type],{"Saleable","FOC"},tblStock[expiry_date],"&lt;"&amp;EDATE(SnapshotDate,6)))</f>
        <v>0</v>
      </c>
    </row>
    <row r="335" spans="1:38">
      <c r="A335" s="1" t="s">
        <v>719</v>
      </c>
      <c r="B335" s="1" t="s">
        <v>720</v>
      </c>
      <c r="C335" s="1" t="s">
        <v>48</v>
      </c>
      <c r="D335" s="1" t="s">
        <v>37</v>
      </c>
      <c r="E335" s="1" t="s">
        <v>704</v>
      </c>
      <c r="F335" s="1" t="s">
        <v>39</v>
      </c>
      <c r="G335">
        <v>60</v>
      </c>
      <c r="H335">
        <v>41.2</v>
      </c>
      <c r="I335">
        <v>29.9</v>
      </c>
      <c r="J335">
        <v>15.9</v>
      </c>
      <c r="K335">
        <v>1.959E-2</v>
      </c>
      <c r="L335">
        <v>15.04</v>
      </c>
      <c r="M335">
        <v>6.84</v>
      </c>
      <c r="N335">
        <v>6</v>
      </c>
      <c r="O335">
        <v>8</v>
      </c>
      <c r="P335">
        <v>48</v>
      </c>
      <c r="Q335">
        <v>142.19999999999999</v>
      </c>
      <c r="R335">
        <v>746.92</v>
      </c>
      <c r="S335">
        <v>0.94032000000000004</v>
      </c>
      <c r="T335">
        <v>301</v>
      </c>
      <c r="U335">
        <v>15665</v>
      </c>
      <c r="V335">
        <v>107148.59999999999</v>
      </c>
      <c r="W335" s="1" t="s">
        <v>1264</v>
      </c>
      <c r="X335" s="1" t="s">
        <v>1264</v>
      </c>
      <c r="Y335">
        <v>3.5411764705882351</v>
      </c>
      <c r="Z335">
        <v>0.3199550653594771</v>
      </c>
      <c r="AA335" s="1" t="s">
        <v>1265</v>
      </c>
      <c r="AB335">
        <v>1</v>
      </c>
      <c r="AC335">
        <v>0</v>
      </c>
      <c r="AD335" s="1">
        <v>10.341015001595915</v>
      </c>
      <c r="AE335">
        <v>12</v>
      </c>
      <c r="AF335">
        <f>COUNTIFS(tblStock[sku],tblSKU[[#This Row],[sku]])</f>
        <v>1</v>
      </c>
      <c r="AG335" cm="1">
        <f t="array" ref="AG335">SUM(SUMIFS(tblStock[qty_units],tblStock[sku],tblSKU[[#This Row],[sku]],tblStock[stock_type],{"Saleable","FOC"}))</f>
        <v>40498</v>
      </c>
      <c r="AH335" s="3">
        <f>SUMIFS(tblStock[value_nzd],tblStock[sku],tblSKU[[#This Row],[sku]])</f>
        <v>277006.32</v>
      </c>
      <c r="AI335" s="4">
        <f>SUMIFS(tblStock[cbm],tblStock[sku],tblSKU[[#This Row],[sku]])</f>
        <v>13.222597</v>
      </c>
      <c r="AJ335" s="1">
        <f>SUMIFS(tblStock[positions],tblStock[sku],tblSKU[[#This Row],[sku]])</f>
        <v>15</v>
      </c>
      <c r="AK335" s="3">
        <f>SUMIFS(tblStock[value_nzd],tblStock[sku],tblSKU[[#This Row],[sku]],tblStock[stock_type],"Expired")</f>
        <v>0</v>
      </c>
      <c r="AL335" s="3" cm="1">
        <f t="array" ref="AL335">SUM(SUMIFS(tblStock[value_nzd],tblStock[sku],tblSKU[[#This Row],[sku]],tblStock[stock_type],{"Saleable","FOC"},tblStock[expiry_date],"&lt;"&amp;EDATE(SnapshotDate,6)))</f>
        <v>0</v>
      </c>
    </row>
    <row r="336" spans="1:38">
      <c r="A336" s="1" t="s">
        <v>721</v>
      </c>
      <c r="B336" s="1" t="s">
        <v>722</v>
      </c>
      <c r="C336" s="1" t="s">
        <v>48</v>
      </c>
      <c r="D336" s="1" t="s">
        <v>37</v>
      </c>
      <c r="E336" s="1" t="s">
        <v>704</v>
      </c>
      <c r="F336" s="1" t="s">
        <v>39</v>
      </c>
      <c r="G336">
        <v>36</v>
      </c>
      <c r="H336">
        <v>43.7</v>
      </c>
      <c r="I336">
        <v>26.2</v>
      </c>
      <c r="J336">
        <v>18.2</v>
      </c>
      <c r="K336">
        <v>2.0840000000000001E-2</v>
      </c>
      <c r="L336">
        <v>15.91</v>
      </c>
      <c r="M336">
        <v>6.03</v>
      </c>
      <c r="N336">
        <v>8</v>
      </c>
      <c r="O336">
        <v>5</v>
      </c>
      <c r="P336">
        <v>40</v>
      </c>
      <c r="Q336">
        <v>106</v>
      </c>
      <c r="R336">
        <v>661.4</v>
      </c>
      <c r="S336">
        <v>0.83360000000000001</v>
      </c>
      <c r="T336">
        <v>13</v>
      </c>
      <c r="U336">
        <v>739</v>
      </c>
      <c r="V336">
        <v>4456.17</v>
      </c>
      <c r="W336" s="1" t="s">
        <v>1262</v>
      </c>
      <c r="X336" s="1" t="s">
        <v>1262</v>
      </c>
      <c r="Y336">
        <v>0.15294117647058825</v>
      </c>
      <c r="Z336">
        <v>3.0187908496732023E-2</v>
      </c>
      <c r="AA336" s="1" t="s">
        <v>1263</v>
      </c>
      <c r="AB336">
        <v>0</v>
      </c>
      <c r="AC336">
        <v>0</v>
      </c>
      <c r="AD336" s="1">
        <v>7.7347767253044655</v>
      </c>
      <c r="AE336">
        <v>2</v>
      </c>
      <c r="AF336">
        <f>COUNTIFS(tblStock[sku],tblSKU[[#This Row],[sku]])</f>
        <v>4</v>
      </c>
      <c r="AG336" cm="1">
        <f t="array" ref="AG336">SUM(SUMIFS(tblStock[qty_units],tblStock[sku],tblSKU[[#This Row],[sku]],tblStock[stock_type],{"Saleable","FOC"}))</f>
        <v>1429</v>
      </c>
      <c r="AH336" s="3">
        <f>SUMIFS(tblStock[value_nzd],tblStock[sku],tblSKU[[#This Row],[sku]])</f>
        <v>8616.869999999999</v>
      </c>
      <c r="AI336" s="4">
        <f>SUMIFS(tblStock[cbm],tblStock[sku],tblSKU[[#This Row],[sku]])</f>
        <v>0.82723222222222237</v>
      </c>
      <c r="AJ336" s="1">
        <f>SUMIFS(tblStock[positions],tblStock[sku],tblSKU[[#This Row],[sku]])</f>
        <v>1</v>
      </c>
      <c r="AK336" s="3">
        <f>SUMIFS(tblStock[value_nzd],tblStock[sku],tblSKU[[#This Row],[sku]],tblStock[stock_type],"Expired")</f>
        <v>0</v>
      </c>
      <c r="AL336" s="3" cm="1">
        <f t="array" ref="AL336">SUM(SUMIFS(tblStock[value_nzd],tblStock[sku],tblSKU[[#This Row],[sku]],tblStock[stock_type],{"Saleable","FOC"},tblStock[expiry_date],"&lt;"&amp;EDATE(SnapshotDate,6)))</f>
        <v>1597.95</v>
      </c>
    </row>
    <row r="337" spans="1:38">
      <c r="A337" s="1" t="s">
        <v>723</v>
      </c>
      <c r="B337" s="1" t="s">
        <v>724</v>
      </c>
      <c r="C337" s="1" t="s">
        <v>48</v>
      </c>
      <c r="D337" s="1" t="s">
        <v>37</v>
      </c>
      <c r="E337" s="1" t="s">
        <v>704</v>
      </c>
      <c r="F337" s="1" t="s">
        <v>39</v>
      </c>
      <c r="G337">
        <v>24</v>
      </c>
      <c r="H337">
        <v>33</v>
      </c>
      <c r="I337">
        <v>34.9</v>
      </c>
      <c r="J337">
        <v>23.6</v>
      </c>
      <c r="K337">
        <v>2.7179999999999999E-2</v>
      </c>
      <c r="L337">
        <v>19.579999999999998</v>
      </c>
      <c r="M337">
        <v>8.4700000000000006</v>
      </c>
      <c r="N337">
        <v>7</v>
      </c>
      <c r="O337">
        <v>3</v>
      </c>
      <c r="P337">
        <v>21</v>
      </c>
      <c r="Q337">
        <v>85.800000000000011</v>
      </c>
      <c r="R337">
        <v>436.17999999999995</v>
      </c>
      <c r="S337">
        <v>0.57077999999999995</v>
      </c>
      <c r="T337">
        <v>106</v>
      </c>
      <c r="U337">
        <v>3525</v>
      </c>
      <c r="V337">
        <v>29856.750000000004</v>
      </c>
      <c r="W337" s="1" t="s">
        <v>1264</v>
      </c>
      <c r="X337" s="1" t="s">
        <v>1258</v>
      </c>
      <c r="Y337">
        <v>1.2470588235294118</v>
      </c>
      <c r="Z337">
        <v>0.41141456582633057</v>
      </c>
      <c r="AA337" s="1" t="s">
        <v>1265</v>
      </c>
      <c r="AB337">
        <v>1</v>
      </c>
      <c r="AC337">
        <v>0</v>
      </c>
      <c r="AD337" s="1">
        <v>5.7679432624113476</v>
      </c>
      <c r="AE337">
        <v>4</v>
      </c>
      <c r="AF337">
        <f>COUNTIFS(tblStock[sku],tblSKU[[#This Row],[sku]])</f>
        <v>1</v>
      </c>
      <c r="AG337" cm="1">
        <f t="array" ref="AG337">SUM(SUMIFS(tblStock[qty_units],tblStock[sku],tblSKU[[#This Row],[sku]],tblStock[stock_type],{"Saleable","FOC"}))</f>
        <v>5083</v>
      </c>
      <c r="AH337" s="3">
        <f>SUMIFS(tblStock[value_nzd],tblStock[sku],tblSKU[[#This Row],[sku]])</f>
        <v>43053.01</v>
      </c>
      <c r="AI337" s="4">
        <f>SUMIFS(tblStock[cbm],tblStock[sku],tblSKU[[#This Row],[sku]])</f>
        <v>5.7564974999999992</v>
      </c>
      <c r="AJ337" s="1">
        <f>SUMIFS(tblStock[positions],tblStock[sku],tblSKU[[#This Row],[sku]])</f>
        <v>11</v>
      </c>
      <c r="AK337" s="3">
        <f>SUMIFS(tblStock[value_nzd],tblStock[sku],tblSKU[[#This Row],[sku]],tblStock[stock_type],"Expired")</f>
        <v>0</v>
      </c>
      <c r="AL337" s="3" cm="1">
        <f t="array" ref="AL337">SUM(SUMIFS(tblStock[value_nzd],tblStock[sku],tblSKU[[#This Row],[sku]],tblStock[stock_type],{"Saleable","FOC"},tblStock[expiry_date],"&lt;"&amp;EDATE(SnapshotDate,6)))</f>
        <v>0</v>
      </c>
    </row>
    <row r="338" spans="1:38">
      <c r="A338" s="1" t="s">
        <v>725</v>
      </c>
      <c r="B338" s="1" t="s">
        <v>726</v>
      </c>
      <c r="C338" s="1" t="s">
        <v>48</v>
      </c>
      <c r="D338" s="1" t="s">
        <v>37</v>
      </c>
      <c r="E338" s="1" t="s">
        <v>704</v>
      </c>
      <c r="F338" s="1" t="s">
        <v>39</v>
      </c>
      <c r="G338">
        <v>48</v>
      </c>
      <c r="H338">
        <v>42.4</v>
      </c>
      <c r="I338">
        <v>29.2</v>
      </c>
      <c r="J338">
        <v>19.100000000000001</v>
      </c>
      <c r="K338">
        <v>2.3650000000000001E-2</v>
      </c>
      <c r="L338">
        <v>15.06</v>
      </c>
      <c r="M338">
        <v>9.19</v>
      </c>
      <c r="N338">
        <v>8</v>
      </c>
      <c r="O338">
        <v>5</v>
      </c>
      <c r="P338">
        <v>40</v>
      </c>
      <c r="Q338">
        <v>110.5</v>
      </c>
      <c r="R338">
        <v>627.4</v>
      </c>
      <c r="S338">
        <v>0.94600000000000006</v>
      </c>
      <c r="T338">
        <v>6</v>
      </c>
      <c r="U338">
        <v>244</v>
      </c>
      <c r="V338">
        <v>2242.3599999999997</v>
      </c>
      <c r="W338" s="1" t="s">
        <v>1262</v>
      </c>
      <c r="X338" s="1" t="s">
        <v>1262</v>
      </c>
      <c r="Y338">
        <v>7.0588235294117646E-2</v>
      </c>
      <c r="Z338">
        <v>7.4754901960784308E-3</v>
      </c>
      <c r="AA338" s="1" t="s">
        <v>1263</v>
      </c>
      <c r="AB338">
        <v>0</v>
      </c>
      <c r="AC338">
        <v>0</v>
      </c>
      <c r="AD338" s="1">
        <v>6.4098360655737707</v>
      </c>
      <c r="AE338">
        <v>2</v>
      </c>
      <c r="AF338">
        <f>COUNTIFS(tblStock[sku],tblSKU[[#This Row],[sku]])</f>
        <v>4</v>
      </c>
      <c r="AG338" cm="1">
        <f t="array" ref="AG338">SUM(SUMIFS(tblStock[qty_units],tblStock[sku],tblSKU[[#This Row],[sku]],tblStock[stock_type],{"Saleable","FOC"}))</f>
        <v>391</v>
      </c>
      <c r="AH338" s="3">
        <f>SUMIFS(tblStock[value_nzd],tblStock[sku],tblSKU[[#This Row],[sku]])</f>
        <v>3593.29</v>
      </c>
      <c r="AI338" s="4">
        <f>SUMIFS(tblStock[cbm],tblStock[sku],tblSKU[[#This Row],[sku]])</f>
        <v>0.19264895833333334</v>
      </c>
      <c r="AJ338" s="1">
        <f>SUMIFS(tblStock[positions],tblStock[sku],tblSKU[[#This Row],[sku]])</f>
        <v>0</v>
      </c>
      <c r="AK338" s="3">
        <f>SUMIFS(tblStock[value_nzd],tblStock[sku],tblSKU[[#This Row],[sku]],tblStock[stock_type],"Expired")</f>
        <v>0</v>
      </c>
      <c r="AL338" s="3" cm="1">
        <f t="array" ref="AL338">SUM(SUMIFS(tblStock[value_nzd],tblStock[sku],tblSKU[[#This Row],[sku]],tblStock[stock_type],{"Saleable","FOC"},tblStock[expiry_date],"&lt;"&amp;EDATE(SnapshotDate,6)))</f>
        <v>0</v>
      </c>
    </row>
    <row r="339" spans="1:38">
      <c r="A339" s="1" t="s">
        <v>727</v>
      </c>
      <c r="B339" s="1" t="s">
        <v>728</v>
      </c>
      <c r="C339" s="1" t="s">
        <v>577</v>
      </c>
      <c r="D339" s="1" t="s">
        <v>37</v>
      </c>
      <c r="E339" s="1" t="s">
        <v>704</v>
      </c>
      <c r="F339" s="1" t="s">
        <v>39</v>
      </c>
      <c r="G339">
        <v>24</v>
      </c>
      <c r="H339">
        <v>44.9</v>
      </c>
      <c r="I339">
        <v>33.1</v>
      </c>
      <c r="J339">
        <v>17.100000000000001</v>
      </c>
      <c r="K339">
        <v>2.5409999999999999E-2</v>
      </c>
      <c r="L339">
        <v>19.59</v>
      </c>
      <c r="M339">
        <v>5.42</v>
      </c>
      <c r="N339">
        <v>4</v>
      </c>
      <c r="O339">
        <v>6</v>
      </c>
      <c r="P339">
        <v>24</v>
      </c>
      <c r="Q339">
        <v>117.60000000000001</v>
      </c>
      <c r="R339">
        <v>495.15999999999997</v>
      </c>
      <c r="S339">
        <v>0.60983999999999994</v>
      </c>
      <c r="T339">
        <v>21</v>
      </c>
      <c r="U339">
        <v>712</v>
      </c>
      <c r="V339">
        <v>3859.04</v>
      </c>
      <c r="W339" s="1" t="s">
        <v>1262</v>
      </c>
      <c r="X339" s="1" t="s">
        <v>1262</v>
      </c>
      <c r="Y339">
        <v>0.24705882352941178</v>
      </c>
      <c r="Z339">
        <v>7.27124183006536E-2</v>
      </c>
      <c r="AA339" s="1" t="s">
        <v>1263</v>
      </c>
      <c r="AB339">
        <v>0</v>
      </c>
      <c r="AC339">
        <v>0</v>
      </c>
      <c r="AD339" s="1">
        <v>3.4606741573033708</v>
      </c>
      <c r="AE339">
        <v>2</v>
      </c>
      <c r="AF339">
        <f>COUNTIFS(tblStock[sku],tblSKU[[#This Row],[sku]])</f>
        <v>3</v>
      </c>
      <c r="AG339" cm="1">
        <f t="array" ref="AG339">SUM(SUMIFS(tblStock[qty_units],tblStock[sku],tblSKU[[#This Row],[sku]],tblStock[stock_type],{"Saleable","FOC"}))</f>
        <v>616</v>
      </c>
      <c r="AH339" s="3">
        <f>SUMIFS(tblStock[value_nzd],tblStock[sku],tblSKU[[#This Row],[sku]])</f>
        <v>3338.72</v>
      </c>
      <c r="AI339" s="4">
        <f>SUMIFS(tblStock[cbm],tblStock[sku],tblSKU[[#This Row],[sku]])</f>
        <v>0.65218999999999994</v>
      </c>
      <c r="AJ339" s="1">
        <f>SUMIFS(tblStock[positions],tblStock[sku],tblSKU[[#This Row],[sku]])</f>
        <v>1</v>
      </c>
      <c r="AK339" s="3">
        <f>SUMIFS(tblStock[value_nzd],tblStock[sku],tblSKU[[#This Row],[sku]],tblStock[stock_type],"Expired")</f>
        <v>0</v>
      </c>
      <c r="AL339" s="3" cm="1">
        <f t="array" ref="AL339">SUM(SUMIFS(tblStock[value_nzd],tblStock[sku],tblSKU[[#This Row],[sku]],tblStock[stock_type],{"Saleable","FOC"},tblStock[expiry_date],"&lt;"&amp;EDATE(SnapshotDate,6)))</f>
        <v>157.18</v>
      </c>
    </row>
    <row r="340" spans="1:38">
      <c r="A340" s="1" t="s">
        <v>729</v>
      </c>
      <c r="B340" s="1" t="s">
        <v>730</v>
      </c>
      <c r="C340" s="1" t="s">
        <v>577</v>
      </c>
      <c r="D340" s="1" t="s">
        <v>37</v>
      </c>
      <c r="E340" s="1" t="s">
        <v>704</v>
      </c>
      <c r="F340" s="1" t="s">
        <v>39</v>
      </c>
      <c r="G340">
        <v>36</v>
      </c>
      <c r="H340">
        <v>37.299999999999997</v>
      </c>
      <c r="I340">
        <v>22.2</v>
      </c>
      <c r="J340">
        <v>20</v>
      </c>
      <c r="K340">
        <v>1.6559999999999998E-2</v>
      </c>
      <c r="L340">
        <v>9.5</v>
      </c>
      <c r="M340">
        <v>8.5</v>
      </c>
      <c r="N340">
        <v>12</v>
      </c>
      <c r="O340">
        <v>5</v>
      </c>
      <c r="P340">
        <v>60</v>
      </c>
      <c r="Q340">
        <v>115</v>
      </c>
      <c r="R340">
        <v>595</v>
      </c>
      <c r="S340">
        <v>0.99359999999999993</v>
      </c>
      <c r="T340">
        <v>77</v>
      </c>
      <c r="U340">
        <v>3345</v>
      </c>
      <c r="V340">
        <v>28432.5</v>
      </c>
      <c r="W340" s="1" t="s">
        <v>1258</v>
      </c>
      <c r="X340" s="1" t="s">
        <v>1258</v>
      </c>
      <c r="Y340">
        <v>0.90588235294117647</v>
      </c>
      <c r="Z340">
        <v>9.1094771241830089E-2</v>
      </c>
      <c r="AA340" s="1" t="s">
        <v>1259</v>
      </c>
      <c r="AB340">
        <v>0</v>
      </c>
      <c r="AC340">
        <v>1</v>
      </c>
      <c r="AD340" s="1">
        <v>5.8618834080717486</v>
      </c>
      <c r="AE340">
        <v>4</v>
      </c>
      <c r="AF340">
        <f>COUNTIFS(tblStock[sku],tblSKU[[#This Row],[sku]])</f>
        <v>2</v>
      </c>
      <c r="AG340" cm="1">
        <f t="array" ref="AG340">SUM(SUMIFS(tblStock[qty_units],tblStock[sku],tblSKU[[#This Row],[sku]],tblStock[stock_type],{"Saleable","FOC"}))</f>
        <v>4902</v>
      </c>
      <c r="AH340" s="3">
        <f>SUMIFS(tblStock[value_nzd],tblStock[sku],tblSKU[[#This Row],[sku]])</f>
        <v>41667</v>
      </c>
      <c r="AI340" s="4">
        <f>SUMIFS(tblStock[cbm],tblStock[sku],tblSKU[[#This Row],[sku]])</f>
        <v>2.2549199999999998</v>
      </c>
      <c r="AJ340" s="1">
        <f>SUMIFS(tblStock[positions],tblStock[sku],tblSKU[[#This Row],[sku]])</f>
        <v>3</v>
      </c>
      <c r="AK340" s="3">
        <f>SUMIFS(tblStock[value_nzd],tblStock[sku],tblSKU[[#This Row],[sku]],tblStock[stock_type],"Expired")</f>
        <v>0</v>
      </c>
      <c r="AL340" s="3" cm="1">
        <f t="array" ref="AL340">SUM(SUMIFS(tblStock[value_nzd],tblStock[sku],tblSKU[[#This Row],[sku]],tblStock[stock_type],{"Saleable","FOC"},tblStock[expiry_date],"&lt;"&amp;EDATE(SnapshotDate,6)))</f>
        <v>41667</v>
      </c>
    </row>
    <row r="341" spans="1:38">
      <c r="A341" s="1" t="s">
        <v>731</v>
      </c>
      <c r="B341" s="1" t="s">
        <v>732</v>
      </c>
      <c r="C341" s="1" t="s">
        <v>577</v>
      </c>
      <c r="D341" s="1" t="s">
        <v>37</v>
      </c>
      <c r="E341" s="1" t="s">
        <v>704</v>
      </c>
      <c r="F341" s="1" t="s">
        <v>39</v>
      </c>
      <c r="G341">
        <v>36</v>
      </c>
      <c r="H341">
        <v>40.9</v>
      </c>
      <c r="I341">
        <v>33.6</v>
      </c>
      <c r="J341">
        <v>22.6</v>
      </c>
      <c r="K341">
        <v>3.1060000000000001E-2</v>
      </c>
      <c r="L341">
        <v>19.95</v>
      </c>
      <c r="M341">
        <v>11.78</v>
      </c>
      <c r="N341">
        <v>6</v>
      </c>
      <c r="O341">
        <v>5</v>
      </c>
      <c r="P341">
        <v>30</v>
      </c>
      <c r="Q341">
        <v>128</v>
      </c>
      <c r="R341">
        <v>623.5</v>
      </c>
      <c r="S341">
        <v>0.93180000000000007</v>
      </c>
      <c r="T341">
        <v>48</v>
      </c>
      <c r="U341">
        <v>2275</v>
      </c>
      <c r="V341">
        <v>26799.5</v>
      </c>
      <c r="W341" s="1" t="s">
        <v>1258</v>
      </c>
      <c r="X341" s="1" t="s">
        <v>1262</v>
      </c>
      <c r="Y341">
        <v>0.56470588235294117</v>
      </c>
      <c r="Z341">
        <v>0.12391067538126362</v>
      </c>
      <c r="AA341" s="1" t="s">
        <v>1259</v>
      </c>
      <c r="AB341">
        <v>0</v>
      </c>
      <c r="AC341">
        <v>1</v>
      </c>
      <c r="AD341" s="1">
        <v>5.3503296703296703</v>
      </c>
      <c r="AE341">
        <v>2</v>
      </c>
      <c r="AF341">
        <f>COUNTIFS(tblStock[sku],tblSKU[[#This Row],[sku]])</f>
        <v>1</v>
      </c>
      <c r="AG341" cm="1">
        <f t="array" ref="AG341">SUM(SUMIFS(tblStock[qty_units],tblStock[sku],tblSKU[[#This Row],[sku]],tblStock[stock_type],{"Saleable","FOC"}))</f>
        <v>3043</v>
      </c>
      <c r="AH341" s="3">
        <f>SUMIFS(tblStock[value_nzd],tblStock[sku],tblSKU[[#This Row],[sku]])</f>
        <v>35846.54</v>
      </c>
      <c r="AI341" s="4">
        <f>SUMIFS(tblStock[cbm],tblStock[sku],tblSKU[[#This Row],[sku]])</f>
        <v>2.6254327777777777</v>
      </c>
      <c r="AJ341" s="1">
        <f>SUMIFS(tblStock[positions],tblStock[sku],tblSKU[[#This Row],[sku]])</f>
        <v>3</v>
      </c>
      <c r="AK341" s="3">
        <f>SUMIFS(tblStock[value_nzd],tblStock[sku],tblSKU[[#This Row],[sku]],tblStock[stock_type],"Expired")</f>
        <v>0</v>
      </c>
      <c r="AL341" s="3" cm="1">
        <f t="array" ref="AL341">SUM(SUMIFS(tblStock[value_nzd],tblStock[sku],tblSKU[[#This Row],[sku]],tblStock[stock_type],{"Saleable","FOC"},tblStock[expiry_date],"&lt;"&amp;EDATE(SnapshotDate,6)))</f>
        <v>0</v>
      </c>
    </row>
    <row r="342" spans="1:38">
      <c r="A342" s="1" t="s">
        <v>733</v>
      </c>
      <c r="B342" s="1" t="s">
        <v>734</v>
      </c>
      <c r="C342" s="1" t="s">
        <v>577</v>
      </c>
      <c r="D342" s="1" t="s">
        <v>37</v>
      </c>
      <c r="E342" s="1" t="s">
        <v>704</v>
      </c>
      <c r="F342" s="1" t="s">
        <v>39</v>
      </c>
      <c r="G342">
        <v>36</v>
      </c>
      <c r="H342">
        <v>34.200000000000003</v>
      </c>
      <c r="I342">
        <v>27</v>
      </c>
      <c r="J342">
        <v>21.2</v>
      </c>
      <c r="K342">
        <v>1.958E-2</v>
      </c>
      <c r="L342">
        <v>11.39</v>
      </c>
      <c r="M342">
        <v>10.3</v>
      </c>
      <c r="N342">
        <v>9</v>
      </c>
      <c r="O342">
        <v>3</v>
      </c>
      <c r="P342">
        <v>27</v>
      </c>
      <c r="Q342">
        <v>78.599999999999994</v>
      </c>
      <c r="R342">
        <v>332.53000000000003</v>
      </c>
      <c r="S342">
        <v>0.52866000000000002</v>
      </c>
      <c r="T342">
        <v>15</v>
      </c>
      <c r="U342">
        <v>677</v>
      </c>
      <c r="V342">
        <v>6973.1</v>
      </c>
      <c r="W342" s="1" t="s">
        <v>1262</v>
      </c>
      <c r="X342" s="1" t="s">
        <v>1262</v>
      </c>
      <c r="Y342">
        <v>0.17647058823529413</v>
      </c>
      <c r="Z342">
        <v>4.0970709271362871E-2</v>
      </c>
      <c r="AA342" s="1" t="s">
        <v>1263</v>
      </c>
      <c r="AB342">
        <v>0</v>
      </c>
      <c r="AC342">
        <v>0</v>
      </c>
      <c r="AD342" s="1">
        <v>2.8064992614475628</v>
      </c>
      <c r="AE342">
        <v>2</v>
      </c>
      <c r="AF342">
        <f>COUNTIFS(tblStock[sku],tblSKU[[#This Row],[sku]])</f>
        <v>2</v>
      </c>
      <c r="AG342" cm="1">
        <f t="array" ref="AG342">SUM(SUMIFS(tblStock[qty_units],tblStock[sku],tblSKU[[#This Row],[sku]],tblStock[stock_type],{"Saleable","FOC"}))</f>
        <v>475</v>
      </c>
      <c r="AH342" s="3">
        <f>SUMIFS(tblStock[value_nzd],tblStock[sku],tblSKU[[#This Row],[sku]])</f>
        <v>4892.5</v>
      </c>
      <c r="AI342" s="4">
        <f>SUMIFS(tblStock[cbm],tblStock[sku],tblSKU[[#This Row],[sku]])</f>
        <v>0.25834722222222223</v>
      </c>
      <c r="AJ342" s="1">
        <f>SUMIFS(tblStock[positions],tblStock[sku],tblSKU[[#This Row],[sku]])</f>
        <v>0</v>
      </c>
      <c r="AK342" s="3">
        <f>SUMIFS(tblStock[value_nzd],tblStock[sku],tblSKU[[#This Row],[sku]],tblStock[stock_type],"Expired")</f>
        <v>0</v>
      </c>
      <c r="AL342" s="3" cm="1">
        <f t="array" ref="AL342">SUM(SUMIFS(tblStock[value_nzd],tblStock[sku],tblSKU[[#This Row],[sku]],tblStock[stock_type],{"Saleable","FOC"},tblStock[expiry_date],"&lt;"&amp;EDATE(SnapshotDate,6)))</f>
        <v>0</v>
      </c>
    </row>
    <row r="343" spans="1:38">
      <c r="A343" s="1" t="s">
        <v>735</v>
      </c>
      <c r="B343" s="1" t="s">
        <v>736</v>
      </c>
      <c r="C343" s="1" t="s">
        <v>48</v>
      </c>
      <c r="D343" s="1" t="s">
        <v>37</v>
      </c>
      <c r="E343" s="1" t="s">
        <v>704</v>
      </c>
      <c r="F343" s="1" t="s">
        <v>39</v>
      </c>
      <c r="G343">
        <v>48</v>
      </c>
      <c r="H343">
        <v>40.5</v>
      </c>
      <c r="I343">
        <v>22.2</v>
      </c>
      <c r="J343">
        <v>21.5</v>
      </c>
      <c r="K343">
        <v>1.933E-2</v>
      </c>
      <c r="L343">
        <v>12.85</v>
      </c>
      <c r="M343">
        <v>4.63</v>
      </c>
      <c r="N343">
        <v>10</v>
      </c>
      <c r="O343">
        <v>4</v>
      </c>
      <c r="P343">
        <v>40</v>
      </c>
      <c r="Q343">
        <v>101</v>
      </c>
      <c r="R343">
        <v>539</v>
      </c>
      <c r="S343">
        <v>0.7732</v>
      </c>
      <c r="T343">
        <v>72</v>
      </c>
      <c r="U343">
        <v>2348</v>
      </c>
      <c r="V343">
        <v>10871.24</v>
      </c>
      <c r="W343" s="1" t="s">
        <v>1258</v>
      </c>
      <c r="X343" s="1" t="s">
        <v>1262</v>
      </c>
      <c r="Y343">
        <v>0.84705882352941175</v>
      </c>
      <c r="Z343">
        <v>7.1936274509803916E-2</v>
      </c>
      <c r="AA343" s="1" t="s">
        <v>1259</v>
      </c>
      <c r="AB343">
        <v>0</v>
      </c>
      <c r="AC343">
        <v>1</v>
      </c>
      <c r="AD343" s="1">
        <v>5.4599659284497442</v>
      </c>
      <c r="AE343">
        <v>2</v>
      </c>
      <c r="AF343">
        <f>COUNTIFS(tblStock[sku],tblSKU[[#This Row],[sku]])</f>
        <v>1</v>
      </c>
      <c r="AG343" cm="1">
        <f t="array" ref="AG343">SUM(SUMIFS(tblStock[qty_units],tblStock[sku],tblSKU[[#This Row],[sku]],tblStock[stock_type],{"Saleable","FOC"}))</f>
        <v>3205</v>
      </c>
      <c r="AH343" s="3">
        <f>SUMIFS(tblStock[value_nzd],tblStock[sku],tblSKU[[#This Row],[sku]])</f>
        <v>14839.15</v>
      </c>
      <c r="AI343" s="4">
        <f>SUMIFS(tblStock[cbm],tblStock[sku],tblSKU[[#This Row],[sku]])</f>
        <v>1.2906802083333333</v>
      </c>
      <c r="AJ343" s="1">
        <f>SUMIFS(tblStock[positions],tblStock[sku],tblSKU[[#This Row],[sku]])</f>
        <v>2</v>
      </c>
      <c r="AK343" s="3">
        <f>SUMIFS(tblStock[value_nzd],tblStock[sku],tblSKU[[#This Row],[sku]],tblStock[stock_type],"Expired")</f>
        <v>0</v>
      </c>
      <c r="AL343" s="3" cm="1">
        <f t="array" ref="AL343">SUM(SUMIFS(tblStock[value_nzd],tblStock[sku],tblSKU[[#This Row],[sku]],tblStock[stock_type],{"Saleable","FOC"},tblStock[expiry_date],"&lt;"&amp;EDATE(SnapshotDate,6)))</f>
        <v>0</v>
      </c>
    </row>
    <row r="344" spans="1:38">
      <c r="A344" s="1" t="s">
        <v>737</v>
      </c>
      <c r="B344" s="1" t="s">
        <v>738</v>
      </c>
      <c r="C344" s="1" t="s">
        <v>48</v>
      </c>
      <c r="D344" s="1" t="s">
        <v>37</v>
      </c>
      <c r="E344" s="1" t="s">
        <v>704</v>
      </c>
      <c r="F344" s="1" t="s">
        <v>39</v>
      </c>
      <c r="G344">
        <v>48</v>
      </c>
      <c r="H344">
        <v>36.1</v>
      </c>
      <c r="I344">
        <v>24.5</v>
      </c>
      <c r="J344">
        <v>22.4</v>
      </c>
      <c r="K344">
        <v>1.9810000000000001E-2</v>
      </c>
      <c r="L344">
        <v>14.05</v>
      </c>
      <c r="M344">
        <v>11.26</v>
      </c>
      <c r="N344">
        <v>10</v>
      </c>
      <c r="O344">
        <v>5</v>
      </c>
      <c r="P344">
        <v>50</v>
      </c>
      <c r="Q344">
        <v>127</v>
      </c>
      <c r="R344">
        <v>727.5</v>
      </c>
      <c r="S344">
        <v>0.99050000000000005</v>
      </c>
      <c r="T344">
        <v>25</v>
      </c>
      <c r="U344">
        <v>1125</v>
      </c>
      <c r="V344">
        <v>12667.5</v>
      </c>
      <c r="W344" s="1" t="s">
        <v>1258</v>
      </c>
      <c r="X344" s="1" t="s">
        <v>1262</v>
      </c>
      <c r="Y344">
        <v>0.29411764705882354</v>
      </c>
      <c r="Z344">
        <v>2.7573529411764709E-2</v>
      </c>
      <c r="AA344" s="1" t="s">
        <v>1259</v>
      </c>
      <c r="AB344">
        <v>0</v>
      </c>
      <c r="AC344">
        <v>1</v>
      </c>
      <c r="AD344" s="1">
        <v>6.0017777777777779</v>
      </c>
      <c r="AE344">
        <v>2</v>
      </c>
      <c r="AF344">
        <f>COUNTIFS(tblStock[sku],tblSKU[[#This Row],[sku]])</f>
        <v>1</v>
      </c>
      <c r="AG344" cm="1">
        <f t="array" ref="AG344">SUM(SUMIFS(tblStock[qty_units],tblStock[sku],tblSKU[[#This Row],[sku]],tblStock[stock_type],{"Saleable","FOC"}))</f>
        <v>1688</v>
      </c>
      <c r="AH344" s="3">
        <f>SUMIFS(tblStock[value_nzd],tblStock[sku],tblSKU[[#This Row],[sku]])</f>
        <v>19006.88</v>
      </c>
      <c r="AI344" s="4">
        <f>SUMIFS(tblStock[cbm],tblStock[sku],tblSKU[[#This Row],[sku]])</f>
        <v>0.69665166666666667</v>
      </c>
      <c r="AJ344" s="1">
        <f>SUMIFS(tblStock[positions],tblStock[sku],tblSKU[[#This Row],[sku]])</f>
        <v>1</v>
      </c>
      <c r="AK344" s="3">
        <f>SUMIFS(tblStock[value_nzd],tblStock[sku],tblSKU[[#This Row],[sku]],tblStock[stock_type],"Expired")</f>
        <v>0</v>
      </c>
      <c r="AL344" s="3" cm="1">
        <f t="array" ref="AL344">SUM(SUMIFS(tblStock[value_nzd],tblStock[sku],tblSKU[[#This Row],[sku]],tblStock[stock_type],{"Saleable","FOC"},tblStock[expiry_date],"&lt;"&amp;EDATE(SnapshotDate,6)))</f>
        <v>0</v>
      </c>
    </row>
    <row r="345" spans="1:38">
      <c r="A345" s="1" t="s">
        <v>739</v>
      </c>
      <c r="B345" s="1" t="s">
        <v>740</v>
      </c>
      <c r="C345" s="1" t="s">
        <v>577</v>
      </c>
      <c r="D345" s="1" t="s">
        <v>37</v>
      </c>
      <c r="E345" s="1" t="s">
        <v>704</v>
      </c>
      <c r="F345" s="1" t="s">
        <v>39</v>
      </c>
      <c r="G345">
        <v>24</v>
      </c>
      <c r="H345">
        <v>38</v>
      </c>
      <c r="I345">
        <v>33.9</v>
      </c>
      <c r="J345">
        <v>21.1</v>
      </c>
      <c r="K345">
        <v>2.7179999999999999E-2</v>
      </c>
      <c r="L345">
        <v>20.82</v>
      </c>
      <c r="M345">
        <v>3.9</v>
      </c>
      <c r="N345">
        <v>6</v>
      </c>
      <c r="O345">
        <v>4</v>
      </c>
      <c r="P345">
        <v>24</v>
      </c>
      <c r="Q345">
        <v>99.4</v>
      </c>
      <c r="R345">
        <v>524.68000000000006</v>
      </c>
      <c r="S345">
        <v>0.65232000000000001</v>
      </c>
      <c r="T345">
        <v>93</v>
      </c>
      <c r="U345">
        <v>3571</v>
      </c>
      <c r="V345">
        <v>13926.9</v>
      </c>
      <c r="W345" s="1" t="s">
        <v>1264</v>
      </c>
      <c r="X345" s="1" t="s">
        <v>1262</v>
      </c>
      <c r="Y345">
        <v>1.0941176470588236</v>
      </c>
      <c r="Z345">
        <v>0.36468545751633985</v>
      </c>
      <c r="AA345" s="1" t="s">
        <v>1265</v>
      </c>
      <c r="AB345">
        <v>1</v>
      </c>
      <c r="AC345">
        <v>0</v>
      </c>
      <c r="AD345" s="1">
        <v>5.5603472416690005</v>
      </c>
      <c r="AE345">
        <v>2</v>
      </c>
      <c r="AF345">
        <f>COUNTIFS(tblStock[sku],tblSKU[[#This Row],[sku]])</f>
        <v>1</v>
      </c>
      <c r="AG345" cm="1">
        <f t="array" ref="AG345">SUM(SUMIFS(tblStock[qty_units],tblStock[sku],tblSKU[[#This Row],[sku]],tblStock[stock_type],{"Saleable","FOC"}))</f>
        <v>4964</v>
      </c>
      <c r="AH345" s="3">
        <f>SUMIFS(tblStock[value_nzd],tblStock[sku],tblSKU[[#This Row],[sku]])</f>
        <v>19359.599999999999</v>
      </c>
      <c r="AI345" s="4">
        <f>SUMIFS(tblStock[cbm],tblStock[sku],tblSKU[[#This Row],[sku]])</f>
        <v>5.6217300000000003</v>
      </c>
      <c r="AJ345" s="1">
        <f>SUMIFS(tblStock[positions],tblStock[sku],tblSKU[[#This Row],[sku]])</f>
        <v>9</v>
      </c>
      <c r="AK345" s="3">
        <f>SUMIFS(tblStock[value_nzd],tblStock[sku],tblSKU[[#This Row],[sku]],tblStock[stock_type],"Expired")</f>
        <v>0</v>
      </c>
      <c r="AL345" s="3" cm="1">
        <f t="array" ref="AL345">SUM(SUMIFS(tblStock[value_nzd],tblStock[sku],tblSKU[[#This Row],[sku]],tblStock[stock_type],{"Saleable","FOC"},tblStock[expiry_date],"&lt;"&amp;EDATE(SnapshotDate,6)))</f>
        <v>0</v>
      </c>
    </row>
    <row r="346" spans="1:38">
      <c r="A346" s="1" t="s">
        <v>741</v>
      </c>
      <c r="B346" s="1" t="s">
        <v>742</v>
      </c>
      <c r="C346" s="1" t="s">
        <v>48</v>
      </c>
      <c r="D346" s="1" t="s">
        <v>37</v>
      </c>
      <c r="E346" s="1" t="s">
        <v>704</v>
      </c>
      <c r="F346" s="1" t="s">
        <v>39</v>
      </c>
      <c r="G346">
        <v>60</v>
      </c>
      <c r="H346">
        <v>37.299999999999997</v>
      </c>
      <c r="I346">
        <v>24.3</v>
      </c>
      <c r="J346">
        <v>17.600000000000001</v>
      </c>
      <c r="K346">
        <v>1.5949999999999999E-2</v>
      </c>
      <c r="L346">
        <v>10.07</v>
      </c>
      <c r="M346">
        <v>3.67</v>
      </c>
      <c r="N346">
        <v>12</v>
      </c>
      <c r="O346">
        <v>5</v>
      </c>
      <c r="P346">
        <v>60</v>
      </c>
      <c r="Q346">
        <v>103</v>
      </c>
      <c r="R346">
        <v>629.20000000000005</v>
      </c>
      <c r="S346">
        <v>0.95699999999999996</v>
      </c>
      <c r="T346">
        <v>17</v>
      </c>
      <c r="U346">
        <v>318</v>
      </c>
      <c r="V346">
        <v>1167.06</v>
      </c>
      <c r="W346" s="1" t="s">
        <v>1262</v>
      </c>
      <c r="X346" s="1" t="s">
        <v>1262</v>
      </c>
      <c r="Y346">
        <v>0.2</v>
      </c>
      <c r="Z346">
        <v>5.1960784313725495E-3</v>
      </c>
      <c r="AA346" s="1" t="s">
        <v>1263</v>
      </c>
      <c r="AB346">
        <v>0</v>
      </c>
      <c r="AC346">
        <v>0</v>
      </c>
      <c r="AD346" s="1">
        <v>22.842767295597483</v>
      </c>
      <c r="AE346">
        <v>2</v>
      </c>
      <c r="AF346">
        <f>COUNTIFS(tblStock[sku],tblSKU[[#This Row],[sku]])</f>
        <v>2</v>
      </c>
      <c r="AG346" cm="1">
        <f t="array" ref="AG346">SUM(SUMIFS(tblStock[qty_units],tblStock[sku],tblSKU[[#This Row],[sku]],tblStock[stock_type],{"Saleable","FOC"}))</f>
        <v>1816</v>
      </c>
      <c r="AH346" s="3">
        <f>SUMIFS(tblStock[value_nzd],tblStock[sku],tblSKU[[#This Row],[sku]])</f>
        <v>6664.72</v>
      </c>
      <c r="AI346" s="4">
        <f>SUMIFS(tblStock[cbm],tblStock[sku],tblSKU[[#This Row],[sku]])</f>
        <v>0.48275333333333331</v>
      </c>
      <c r="AJ346" s="1">
        <f>SUMIFS(tblStock[positions],tblStock[sku],tblSKU[[#This Row],[sku]])</f>
        <v>1</v>
      </c>
      <c r="AK346" s="3">
        <f>SUMIFS(tblStock[value_nzd],tblStock[sku],tblSKU[[#This Row],[sku]],tblStock[stock_type],"Expired")</f>
        <v>0</v>
      </c>
      <c r="AL346" s="3" cm="1">
        <f t="array" ref="AL346">SUM(SUMIFS(tblStock[value_nzd],tblStock[sku],tblSKU[[#This Row],[sku]],tblStock[stock_type],{"Saleable","FOC"},tblStock[expiry_date],"&lt;"&amp;EDATE(SnapshotDate,6)))</f>
        <v>0</v>
      </c>
    </row>
    <row r="347" spans="1:38">
      <c r="A347" s="1" t="s">
        <v>743</v>
      </c>
      <c r="B347" s="1" t="s">
        <v>744</v>
      </c>
      <c r="C347" s="1" t="s">
        <v>48</v>
      </c>
      <c r="D347" s="1" t="s">
        <v>37</v>
      </c>
      <c r="E347" s="1" t="s">
        <v>704</v>
      </c>
      <c r="F347" s="1" t="s">
        <v>39</v>
      </c>
      <c r="G347">
        <v>60</v>
      </c>
      <c r="H347">
        <v>33.5</v>
      </c>
      <c r="I347">
        <v>25.4</v>
      </c>
      <c r="J347">
        <v>19</v>
      </c>
      <c r="K347">
        <v>1.617E-2</v>
      </c>
      <c r="L347">
        <v>11.05</v>
      </c>
      <c r="M347">
        <v>5.42</v>
      </c>
      <c r="N347">
        <v>8</v>
      </c>
      <c r="O347">
        <v>6</v>
      </c>
      <c r="P347">
        <v>48</v>
      </c>
      <c r="Q347">
        <v>129</v>
      </c>
      <c r="R347">
        <v>555.40000000000009</v>
      </c>
      <c r="S347">
        <v>0.77615999999999996</v>
      </c>
      <c r="T347">
        <v>36</v>
      </c>
      <c r="U347">
        <v>2369</v>
      </c>
      <c r="V347">
        <v>12839.98</v>
      </c>
      <c r="W347" s="1" t="s">
        <v>1258</v>
      </c>
      <c r="X347" s="1" t="s">
        <v>1262</v>
      </c>
      <c r="Y347">
        <v>0.42352941176470588</v>
      </c>
      <c r="Z347">
        <v>4.8386437908496734E-2</v>
      </c>
      <c r="AA347" s="1" t="s">
        <v>1259</v>
      </c>
      <c r="AB347">
        <v>0</v>
      </c>
      <c r="AC347">
        <v>1</v>
      </c>
      <c r="AD347" s="1">
        <v>6.6897425073870833</v>
      </c>
      <c r="AE347">
        <v>2</v>
      </c>
      <c r="AF347">
        <f>COUNTIFS(tblStock[sku],tblSKU[[#This Row],[sku]])</f>
        <v>3</v>
      </c>
      <c r="AG347" cm="1">
        <f t="array" ref="AG347">SUM(SUMIFS(tblStock[qty_units],tblStock[sku],tblSKU[[#This Row],[sku]],tblStock[stock_type],{"Saleable","FOC"}))</f>
        <v>3962</v>
      </c>
      <c r="AH347" s="3">
        <f>SUMIFS(tblStock[value_nzd],tblStock[sku],tblSKU[[#This Row],[sku]])</f>
        <v>21474.04</v>
      </c>
      <c r="AI347" s="4">
        <f>SUMIFS(tblStock[cbm],tblStock[sku],tblSKU[[#This Row],[sku]])</f>
        <v>1.0677590000000001</v>
      </c>
      <c r="AJ347" s="1">
        <f>SUMIFS(tblStock[positions],tblStock[sku],tblSKU[[#This Row],[sku]])</f>
        <v>2</v>
      </c>
      <c r="AK347" s="3">
        <f>SUMIFS(tblStock[value_nzd],tblStock[sku],tblSKU[[#This Row],[sku]],tblStock[stock_type],"Expired")</f>
        <v>0</v>
      </c>
      <c r="AL347" s="3" cm="1">
        <f t="array" ref="AL347">SUM(SUMIFS(tblStock[value_nzd],tblStock[sku],tblSKU[[#This Row],[sku]],tblStock[stock_type],{"Saleable","FOC"},tblStock[expiry_date],"&lt;"&amp;EDATE(SnapshotDate,6)))</f>
        <v>0</v>
      </c>
    </row>
    <row r="348" spans="1:38">
      <c r="A348" s="1" t="s">
        <v>745</v>
      </c>
      <c r="B348" s="1" t="s">
        <v>746</v>
      </c>
      <c r="C348" s="1" t="s">
        <v>48</v>
      </c>
      <c r="D348" s="1" t="s">
        <v>37</v>
      </c>
      <c r="E348" s="1" t="s">
        <v>704</v>
      </c>
      <c r="F348" s="1" t="s">
        <v>39</v>
      </c>
      <c r="G348">
        <v>60</v>
      </c>
      <c r="H348">
        <v>35.299999999999997</v>
      </c>
      <c r="I348">
        <v>30.1</v>
      </c>
      <c r="J348">
        <v>22.5</v>
      </c>
      <c r="K348">
        <v>2.3910000000000001E-2</v>
      </c>
      <c r="L348">
        <v>14.92</v>
      </c>
      <c r="M348">
        <v>11.92</v>
      </c>
      <c r="N348">
        <v>9</v>
      </c>
      <c r="O348">
        <v>5</v>
      </c>
      <c r="P348">
        <v>45</v>
      </c>
      <c r="Q348">
        <v>127.5</v>
      </c>
      <c r="R348">
        <v>696.4</v>
      </c>
      <c r="S348">
        <v>1.07595</v>
      </c>
      <c r="T348">
        <v>5</v>
      </c>
      <c r="U348">
        <v>211</v>
      </c>
      <c r="V348">
        <v>2515.12</v>
      </c>
      <c r="W348" s="1" t="s">
        <v>1262</v>
      </c>
      <c r="X348" s="1" t="s">
        <v>1262</v>
      </c>
      <c r="Y348">
        <v>5.8823529411764705E-2</v>
      </c>
      <c r="Z348">
        <v>4.5969498910675387E-3</v>
      </c>
      <c r="AA348" s="1" t="s">
        <v>1263</v>
      </c>
      <c r="AB348">
        <v>0</v>
      </c>
      <c r="AC348">
        <v>0</v>
      </c>
      <c r="AD348" s="1">
        <v>7.0900473933649293</v>
      </c>
      <c r="AE348">
        <v>2</v>
      </c>
      <c r="AF348">
        <f>COUNTIFS(tblStock[sku],tblSKU[[#This Row],[sku]])</f>
        <v>1</v>
      </c>
      <c r="AG348" cm="1">
        <f t="array" ref="AG348">SUM(SUMIFS(tblStock[qty_units],tblStock[sku],tblSKU[[#This Row],[sku]],tblStock[stock_type],{"Saleable","FOC"}))</f>
        <v>374</v>
      </c>
      <c r="AH348" s="3">
        <f>SUMIFS(tblStock[value_nzd],tblStock[sku],tblSKU[[#This Row],[sku]])</f>
        <v>4458.08</v>
      </c>
      <c r="AI348" s="4">
        <f>SUMIFS(tblStock[cbm],tblStock[sku],tblSKU[[#This Row],[sku]])</f>
        <v>0.149039</v>
      </c>
      <c r="AJ348" s="1">
        <f>SUMIFS(tblStock[positions],tblStock[sku],tblSKU[[#This Row],[sku]])</f>
        <v>0</v>
      </c>
      <c r="AK348" s="3">
        <f>SUMIFS(tblStock[value_nzd],tblStock[sku],tblSKU[[#This Row],[sku]],tblStock[stock_type],"Expired")</f>
        <v>0</v>
      </c>
      <c r="AL348" s="3" cm="1">
        <f t="array" ref="AL348">SUM(SUMIFS(tblStock[value_nzd],tblStock[sku],tblSKU[[#This Row],[sku]],tblStock[stock_type],{"Saleable","FOC"},tblStock[expiry_date],"&lt;"&amp;EDATE(SnapshotDate,6)))</f>
        <v>4458.08</v>
      </c>
    </row>
    <row r="349" spans="1:38">
      <c r="A349" s="1" t="s">
        <v>747</v>
      </c>
      <c r="B349" s="1" t="s">
        <v>748</v>
      </c>
      <c r="C349" s="1" t="s">
        <v>577</v>
      </c>
      <c r="D349" s="1" t="s">
        <v>37</v>
      </c>
      <c r="E349" s="1" t="s">
        <v>704</v>
      </c>
      <c r="F349" s="1" t="s">
        <v>39</v>
      </c>
      <c r="G349">
        <v>36</v>
      </c>
      <c r="H349">
        <v>31.9</v>
      </c>
      <c r="I349">
        <v>32</v>
      </c>
      <c r="J349">
        <v>18</v>
      </c>
      <c r="K349">
        <v>1.8370000000000001E-2</v>
      </c>
      <c r="L349">
        <v>12.97</v>
      </c>
      <c r="M349">
        <v>10.52</v>
      </c>
      <c r="N349">
        <v>9</v>
      </c>
      <c r="O349">
        <v>6</v>
      </c>
      <c r="P349">
        <v>54</v>
      </c>
      <c r="Q349">
        <v>123</v>
      </c>
      <c r="R349">
        <v>725.38</v>
      </c>
      <c r="S349">
        <v>0.99198000000000008</v>
      </c>
      <c r="T349">
        <v>563</v>
      </c>
      <c r="U349">
        <v>22528</v>
      </c>
      <c r="V349">
        <v>236994.56</v>
      </c>
      <c r="W349" s="1" t="s">
        <v>1264</v>
      </c>
      <c r="X349" s="1" t="s">
        <v>1264</v>
      </c>
      <c r="Y349">
        <v>6.6235294117647054</v>
      </c>
      <c r="Z349">
        <v>0.68167513919147915</v>
      </c>
      <c r="AA349" s="1" t="s">
        <v>1265</v>
      </c>
      <c r="AB349">
        <v>1</v>
      </c>
      <c r="AC349">
        <v>0</v>
      </c>
      <c r="AD349" s="1">
        <v>3.2308238636363638</v>
      </c>
      <c r="AE349">
        <v>12</v>
      </c>
      <c r="AF349">
        <f>COUNTIFS(tblStock[sku],tblSKU[[#This Row],[sku]])</f>
        <v>2</v>
      </c>
      <c r="AG349" cm="1">
        <f t="array" ref="AG349">SUM(SUMIFS(tblStock[qty_units],tblStock[sku],tblSKU[[#This Row],[sku]],tblStock[stock_type],{"Saleable","FOC"}))</f>
        <v>18196</v>
      </c>
      <c r="AH349" s="3">
        <f>SUMIFS(tblStock[value_nzd],tblStock[sku],tblSKU[[#This Row],[sku]])</f>
        <v>195240.68</v>
      </c>
      <c r="AI349" s="4">
        <f>SUMIFS(tblStock[cbm],tblStock[sku],tblSKU[[#This Row],[sku]])</f>
        <v>9.4702452777777797</v>
      </c>
      <c r="AJ349" s="1">
        <f>SUMIFS(tblStock[positions],tblStock[sku],tblSKU[[#This Row],[sku]])</f>
        <v>10</v>
      </c>
      <c r="AK349" s="3">
        <f>SUMIFS(tblStock[value_nzd],tblStock[sku],tblSKU[[#This Row],[sku]],tblStock[stock_type],"Expired")</f>
        <v>0</v>
      </c>
      <c r="AL349" s="3" cm="1">
        <f t="array" ref="AL349">SUM(SUMIFS(tblStock[value_nzd],tblStock[sku],tblSKU[[#This Row],[sku]],tblStock[stock_type],{"Saleable","FOC"},tblStock[expiry_date],"&lt;"&amp;EDATE(SnapshotDate,6)))</f>
        <v>0</v>
      </c>
    </row>
    <row r="350" spans="1:38">
      <c r="A350" s="1" t="s">
        <v>749</v>
      </c>
      <c r="B350" s="1" t="s">
        <v>750</v>
      </c>
      <c r="C350" s="1" t="s">
        <v>577</v>
      </c>
      <c r="D350" s="1" t="s">
        <v>37</v>
      </c>
      <c r="E350" s="1" t="s">
        <v>704</v>
      </c>
      <c r="F350" s="1" t="s">
        <v>39</v>
      </c>
      <c r="G350">
        <v>48</v>
      </c>
      <c r="H350">
        <v>42.9</v>
      </c>
      <c r="I350">
        <v>24.8</v>
      </c>
      <c r="J350">
        <v>15.9</v>
      </c>
      <c r="K350">
        <v>1.6920000000000001E-2</v>
      </c>
      <c r="L350">
        <v>9.34</v>
      </c>
      <c r="M350">
        <v>9.9700000000000006</v>
      </c>
      <c r="N350">
        <v>8</v>
      </c>
      <c r="O350">
        <v>6</v>
      </c>
      <c r="P350">
        <v>48</v>
      </c>
      <c r="Q350">
        <v>110.4</v>
      </c>
      <c r="R350">
        <v>473.32</v>
      </c>
      <c r="S350">
        <v>0.81215999999999999</v>
      </c>
      <c r="T350">
        <v>352</v>
      </c>
      <c r="U350">
        <v>18564</v>
      </c>
      <c r="V350">
        <v>185083.08000000002</v>
      </c>
      <c r="W350" s="1" t="s">
        <v>1264</v>
      </c>
      <c r="X350" s="1" t="s">
        <v>1264</v>
      </c>
      <c r="Y350">
        <v>4.1411764705882357</v>
      </c>
      <c r="Z350">
        <v>0.47395833333333331</v>
      </c>
      <c r="AA350" s="1" t="s">
        <v>1265</v>
      </c>
      <c r="AB350">
        <v>1</v>
      </c>
      <c r="AC350">
        <v>0</v>
      </c>
      <c r="AD350" s="1">
        <v>4.3527257056668818</v>
      </c>
      <c r="AE350">
        <v>12</v>
      </c>
      <c r="AF350">
        <f>COUNTIFS(tblStock[sku],tblSKU[[#This Row],[sku]])</f>
        <v>1</v>
      </c>
      <c r="AG350" cm="1">
        <f t="array" ref="AG350">SUM(SUMIFS(tblStock[qty_units],tblStock[sku],tblSKU[[#This Row],[sku]],tblStock[stock_type],{"Saleable","FOC"}))</f>
        <v>20201</v>
      </c>
      <c r="AH350" s="3">
        <f>SUMIFS(tblStock[value_nzd],tblStock[sku],tblSKU[[#This Row],[sku]])</f>
        <v>201403.97</v>
      </c>
      <c r="AI350" s="4">
        <f>SUMIFS(tblStock[cbm],tblStock[sku],tblSKU[[#This Row],[sku]])</f>
        <v>7.1208525000000007</v>
      </c>
      <c r="AJ350" s="1">
        <f>SUMIFS(tblStock[positions],tblStock[sku],tblSKU[[#This Row],[sku]])</f>
        <v>9</v>
      </c>
      <c r="AK350" s="3">
        <f>SUMIFS(tblStock[value_nzd],tblStock[sku],tblSKU[[#This Row],[sku]],tblStock[stock_type],"Expired")</f>
        <v>0</v>
      </c>
      <c r="AL350" s="3" cm="1">
        <f t="array" ref="AL350">SUM(SUMIFS(tblStock[value_nzd],tblStock[sku],tblSKU[[#This Row],[sku]],tblStock[stock_type],{"Saleable","FOC"},tblStock[expiry_date],"&lt;"&amp;EDATE(SnapshotDate,6)))</f>
        <v>201403.97</v>
      </c>
    </row>
    <row r="351" spans="1:38">
      <c r="A351" s="1" t="s">
        <v>751</v>
      </c>
      <c r="B351" s="1" t="s">
        <v>752</v>
      </c>
      <c r="C351" s="1" t="s">
        <v>577</v>
      </c>
      <c r="D351" s="1" t="s">
        <v>37</v>
      </c>
      <c r="E351" s="1" t="s">
        <v>704</v>
      </c>
      <c r="F351" s="1" t="s">
        <v>39</v>
      </c>
      <c r="G351">
        <v>60</v>
      </c>
      <c r="H351">
        <v>41.6</v>
      </c>
      <c r="I351">
        <v>31.1</v>
      </c>
      <c r="J351">
        <v>25</v>
      </c>
      <c r="K351">
        <v>3.2340000000000001E-2</v>
      </c>
      <c r="L351">
        <v>20.73</v>
      </c>
      <c r="M351">
        <v>4.57</v>
      </c>
      <c r="N351">
        <v>6</v>
      </c>
      <c r="O351">
        <v>5</v>
      </c>
      <c r="P351">
        <v>30</v>
      </c>
      <c r="Q351">
        <v>140</v>
      </c>
      <c r="R351">
        <v>646.9</v>
      </c>
      <c r="S351">
        <v>0.97020000000000006</v>
      </c>
      <c r="T351">
        <v>8</v>
      </c>
      <c r="U351">
        <v>339</v>
      </c>
      <c r="V351">
        <v>1549.23</v>
      </c>
      <c r="W351" s="1" t="s">
        <v>1262</v>
      </c>
      <c r="X351" s="1" t="s">
        <v>1262</v>
      </c>
      <c r="Y351">
        <v>9.4117647058823528E-2</v>
      </c>
      <c r="Z351">
        <v>1.1078431372549021E-2</v>
      </c>
      <c r="AA351" s="1" t="s">
        <v>1263</v>
      </c>
      <c r="AB351">
        <v>0</v>
      </c>
      <c r="AC351">
        <v>0</v>
      </c>
      <c r="AD351" s="1">
        <v>3.752212389380531</v>
      </c>
      <c r="AE351">
        <v>2</v>
      </c>
      <c r="AF351">
        <f>COUNTIFS(tblStock[sku],tblSKU[[#This Row],[sku]])</f>
        <v>2</v>
      </c>
      <c r="AG351" cm="1">
        <f t="array" ref="AG351">SUM(SUMIFS(tblStock[qty_units],tblStock[sku],tblSKU[[#This Row],[sku]],tblStock[stock_type],{"Saleable","FOC"}))</f>
        <v>318</v>
      </c>
      <c r="AH351" s="3">
        <f>SUMIFS(tblStock[value_nzd],tblStock[sku],tblSKU[[#This Row],[sku]])</f>
        <v>1453.2600000000002</v>
      </c>
      <c r="AI351" s="4">
        <f>SUMIFS(tblStock[cbm],tblStock[sku],tblSKU[[#This Row],[sku]])</f>
        <v>0.171402</v>
      </c>
      <c r="AJ351" s="1">
        <f>SUMIFS(tblStock[positions],tblStock[sku],tblSKU[[#This Row],[sku]])</f>
        <v>0</v>
      </c>
      <c r="AK351" s="3">
        <f>SUMIFS(tblStock[value_nzd],tblStock[sku],tblSKU[[#This Row],[sku]],tblStock[stock_type],"Expired")</f>
        <v>0</v>
      </c>
      <c r="AL351" s="3" cm="1">
        <f t="array" ref="AL351">SUM(SUMIFS(tblStock[value_nzd],tblStock[sku],tblSKU[[#This Row],[sku]],tblStock[stock_type],{"Saleable","FOC"},tblStock[expiry_date],"&lt;"&amp;EDATE(SnapshotDate,6)))</f>
        <v>0</v>
      </c>
    </row>
    <row r="352" spans="1:38">
      <c r="A352" s="1" t="s">
        <v>753</v>
      </c>
      <c r="B352" s="1" t="s">
        <v>754</v>
      </c>
      <c r="C352" s="1" t="s">
        <v>48</v>
      </c>
      <c r="D352" s="1" t="s">
        <v>37</v>
      </c>
      <c r="E352" s="1" t="s">
        <v>704</v>
      </c>
      <c r="F352" s="1" t="s">
        <v>39</v>
      </c>
      <c r="G352">
        <v>60</v>
      </c>
      <c r="H352">
        <v>36.700000000000003</v>
      </c>
      <c r="I352">
        <v>20.2</v>
      </c>
      <c r="J352">
        <v>21.1</v>
      </c>
      <c r="K352">
        <v>1.5640000000000001E-2</v>
      </c>
      <c r="L352">
        <v>10.25</v>
      </c>
      <c r="M352">
        <v>10.75</v>
      </c>
      <c r="N352">
        <v>10</v>
      </c>
      <c r="O352">
        <v>4</v>
      </c>
      <c r="P352">
        <v>40</v>
      </c>
      <c r="Q352">
        <v>99.4</v>
      </c>
      <c r="R352">
        <v>435</v>
      </c>
      <c r="S352">
        <v>0.62560000000000004</v>
      </c>
      <c r="T352">
        <v>16</v>
      </c>
      <c r="U352">
        <v>323</v>
      </c>
      <c r="V352">
        <v>3472.25</v>
      </c>
      <c r="W352" s="1" t="s">
        <v>1262</v>
      </c>
      <c r="X352" s="1" t="s">
        <v>1262</v>
      </c>
      <c r="Y352">
        <v>0.18823529411764706</v>
      </c>
      <c r="Z352">
        <v>7.9166666666666673E-3</v>
      </c>
      <c r="AA352" s="1" t="s">
        <v>1263</v>
      </c>
      <c r="AB352">
        <v>0</v>
      </c>
      <c r="AC352">
        <v>0</v>
      </c>
      <c r="AD352" s="1">
        <v>5.7585139318885448</v>
      </c>
      <c r="AE352">
        <v>2</v>
      </c>
      <c r="AF352">
        <f>COUNTIFS(tblStock[sku],tblSKU[[#This Row],[sku]])</f>
        <v>1</v>
      </c>
      <c r="AG352" cm="1">
        <f t="array" ref="AG352">SUM(SUMIFS(tblStock[qty_units],tblStock[sku],tblSKU[[#This Row],[sku]],tblStock[stock_type],{"Saleable","FOC"}))</f>
        <v>465</v>
      </c>
      <c r="AH352" s="3">
        <f>SUMIFS(tblStock[value_nzd],tblStock[sku],tblSKU[[#This Row],[sku]])</f>
        <v>4998.75</v>
      </c>
      <c r="AI352" s="4">
        <f>SUMIFS(tblStock[cbm],tblStock[sku],tblSKU[[#This Row],[sku]])</f>
        <v>0.12121000000000001</v>
      </c>
      <c r="AJ352" s="1">
        <f>SUMIFS(tblStock[positions],tblStock[sku],tblSKU[[#This Row],[sku]])</f>
        <v>0</v>
      </c>
      <c r="AK352" s="3">
        <f>SUMIFS(tblStock[value_nzd],tblStock[sku],tblSKU[[#This Row],[sku]],tblStock[stock_type],"Expired")</f>
        <v>0</v>
      </c>
      <c r="AL352" s="3" cm="1">
        <f t="array" ref="AL352">SUM(SUMIFS(tblStock[value_nzd],tblStock[sku],tblSKU[[#This Row],[sku]],tblStock[stock_type],{"Saleable","FOC"},tblStock[expiry_date],"&lt;"&amp;EDATE(SnapshotDate,6)))</f>
        <v>0</v>
      </c>
    </row>
    <row r="353" spans="1:38">
      <c r="A353" s="1" t="s">
        <v>755</v>
      </c>
      <c r="B353" s="1" t="s">
        <v>756</v>
      </c>
      <c r="C353" s="1" t="s">
        <v>577</v>
      </c>
      <c r="D353" s="1" t="s">
        <v>37</v>
      </c>
      <c r="E353" s="1" t="s">
        <v>704</v>
      </c>
      <c r="F353" s="1" t="s">
        <v>39</v>
      </c>
      <c r="G353">
        <v>60</v>
      </c>
      <c r="H353">
        <v>38.299999999999997</v>
      </c>
      <c r="I353">
        <v>25.7</v>
      </c>
      <c r="J353">
        <v>17.2</v>
      </c>
      <c r="K353">
        <v>1.6930000000000001E-2</v>
      </c>
      <c r="L353">
        <v>13.27</v>
      </c>
      <c r="M353">
        <v>10.5</v>
      </c>
      <c r="N353">
        <v>9</v>
      </c>
      <c r="O353">
        <v>6</v>
      </c>
      <c r="P353">
        <v>54</v>
      </c>
      <c r="Q353">
        <v>118.19999999999999</v>
      </c>
      <c r="R353">
        <v>741.57999999999993</v>
      </c>
      <c r="S353">
        <v>0.91422000000000003</v>
      </c>
      <c r="T353">
        <v>182</v>
      </c>
      <c r="U353">
        <v>10416</v>
      </c>
      <c r="V353">
        <v>109368</v>
      </c>
      <c r="W353" s="1" t="s">
        <v>1264</v>
      </c>
      <c r="X353" s="1" t="s">
        <v>1264</v>
      </c>
      <c r="Y353">
        <v>2.1411764705882352</v>
      </c>
      <c r="Z353">
        <v>0.1891067538126362</v>
      </c>
      <c r="AA353" s="1" t="s">
        <v>1265</v>
      </c>
      <c r="AB353">
        <v>1</v>
      </c>
      <c r="AC353">
        <v>0</v>
      </c>
      <c r="AD353" s="1">
        <v>3.0844854070660523</v>
      </c>
      <c r="AE353">
        <v>12</v>
      </c>
      <c r="AF353">
        <f>COUNTIFS(tblStock[sku],tblSKU[[#This Row],[sku]])</f>
        <v>1</v>
      </c>
      <c r="AG353" cm="1">
        <f t="array" ref="AG353">SUM(SUMIFS(tblStock[qty_units],tblStock[sku],tblSKU[[#This Row],[sku]],tblStock[stock_type],{"Saleable","FOC"}))</f>
        <v>8032</v>
      </c>
      <c r="AH353" s="3">
        <f>SUMIFS(tblStock[value_nzd],tblStock[sku],tblSKU[[#This Row],[sku]])</f>
        <v>84336</v>
      </c>
      <c r="AI353" s="4">
        <f>SUMIFS(tblStock[cbm],tblStock[sku],tblSKU[[#This Row],[sku]])</f>
        <v>2.2663626666666667</v>
      </c>
      <c r="AJ353" s="1">
        <f>SUMIFS(tblStock[positions],tblStock[sku],tblSKU[[#This Row],[sku]])</f>
        <v>3</v>
      </c>
      <c r="AK353" s="3">
        <f>SUMIFS(tblStock[value_nzd],tblStock[sku],tblSKU[[#This Row],[sku]],tblStock[stock_type],"Expired")</f>
        <v>0</v>
      </c>
      <c r="AL353" s="3" cm="1">
        <f t="array" ref="AL353">SUM(SUMIFS(tblStock[value_nzd],tblStock[sku],tblSKU[[#This Row],[sku]],tblStock[stock_type],{"Saleable","FOC"},tblStock[expiry_date],"&lt;"&amp;EDATE(SnapshotDate,6)))</f>
        <v>0</v>
      </c>
    </row>
    <row r="354" spans="1:38">
      <c r="A354" s="1" t="s">
        <v>757</v>
      </c>
      <c r="B354" s="1" t="s">
        <v>758</v>
      </c>
      <c r="C354" s="1" t="s">
        <v>48</v>
      </c>
      <c r="D354" s="1" t="s">
        <v>37</v>
      </c>
      <c r="E354" s="1" t="s">
        <v>704</v>
      </c>
      <c r="F354" s="1" t="s">
        <v>39</v>
      </c>
      <c r="G354">
        <v>60</v>
      </c>
      <c r="H354">
        <v>38.200000000000003</v>
      </c>
      <c r="I354">
        <v>30.9</v>
      </c>
      <c r="J354">
        <v>17.3</v>
      </c>
      <c r="K354">
        <v>2.0420000000000001E-2</v>
      </c>
      <c r="L354">
        <v>13.25</v>
      </c>
      <c r="M354">
        <v>11.51</v>
      </c>
      <c r="N354">
        <v>9</v>
      </c>
      <c r="O354">
        <v>5</v>
      </c>
      <c r="P354">
        <v>45</v>
      </c>
      <c r="Q354">
        <v>101.5</v>
      </c>
      <c r="R354">
        <v>621.25</v>
      </c>
      <c r="S354">
        <v>0.91890000000000005</v>
      </c>
      <c r="T354">
        <v>7</v>
      </c>
      <c r="U354">
        <v>286</v>
      </c>
      <c r="V354">
        <v>3291.86</v>
      </c>
      <c r="W354" s="1" t="s">
        <v>1262</v>
      </c>
      <c r="X354" s="1" t="s">
        <v>1262</v>
      </c>
      <c r="Y354">
        <v>8.2352941176470587E-2</v>
      </c>
      <c r="Z354">
        <v>6.2309368191721132E-3</v>
      </c>
      <c r="AA354" s="1" t="s">
        <v>1263</v>
      </c>
      <c r="AB354">
        <v>0</v>
      </c>
      <c r="AC354">
        <v>0</v>
      </c>
      <c r="AD354" s="1">
        <v>11.146853146853147</v>
      </c>
      <c r="AE354">
        <v>2</v>
      </c>
      <c r="AF354">
        <f>COUNTIFS(tblStock[sku],tblSKU[[#This Row],[sku]])</f>
        <v>1</v>
      </c>
      <c r="AG354" cm="1">
        <f t="array" ref="AG354">SUM(SUMIFS(tblStock[qty_units],tblStock[sku],tblSKU[[#This Row],[sku]],tblStock[stock_type],{"Saleable","FOC"}))</f>
        <v>797</v>
      </c>
      <c r="AH354" s="3">
        <f>SUMIFS(tblStock[value_nzd],tblStock[sku],tblSKU[[#This Row],[sku]])</f>
        <v>9173.4699999999993</v>
      </c>
      <c r="AI354" s="4">
        <f>SUMIFS(tblStock[cbm],tblStock[sku],tblSKU[[#This Row],[sku]])</f>
        <v>0.27124566666666666</v>
      </c>
      <c r="AJ354" s="1">
        <f>SUMIFS(tblStock[positions],tblStock[sku],tblSKU[[#This Row],[sku]])</f>
        <v>1</v>
      </c>
      <c r="AK354" s="3">
        <f>SUMIFS(tblStock[value_nzd],tblStock[sku],tblSKU[[#This Row],[sku]],tblStock[stock_type],"Expired")</f>
        <v>0</v>
      </c>
      <c r="AL354" s="3" cm="1">
        <f t="array" ref="AL354">SUM(SUMIFS(tblStock[value_nzd],tblStock[sku],tblSKU[[#This Row],[sku]],tblStock[stock_type],{"Saleable","FOC"},tblStock[expiry_date],"&lt;"&amp;EDATE(SnapshotDate,6)))</f>
        <v>0</v>
      </c>
    </row>
    <row r="355" spans="1:38">
      <c r="A355" s="1" t="s">
        <v>759</v>
      </c>
      <c r="B355" s="1" t="s">
        <v>760</v>
      </c>
      <c r="C355" s="1" t="s">
        <v>48</v>
      </c>
      <c r="D355" s="1" t="s">
        <v>37</v>
      </c>
      <c r="E355" s="1" t="s">
        <v>704</v>
      </c>
      <c r="F355" s="1" t="s">
        <v>39</v>
      </c>
      <c r="G355">
        <v>36</v>
      </c>
      <c r="H355">
        <v>36.6</v>
      </c>
      <c r="I355">
        <v>21.8</v>
      </c>
      <c r="J355">
        <v>18.399999999999999</v>
      </c>
      <c r="K355">
        <v>1.468E-2</v>
      </c>
      <c r="L355">
        <v>11.6</v>
      </c>
      <c r="M355">
        <v>6.71</v>
      </c>
      <c r="N355">
        <v>12</v>
      </c>
      <c r="O355">
        <v>5</v>
      </c>
      <c r="P355">
        <v>60</v>
      </c>
      <c r="Q355">
        <v>107</v>
      </c>
      <c r="R355">
        <v>721</v>
      </c>
      <c r="S355">
        <v>0.88080000000000003</v>
      </c>
      <c r="T355">
        <v>139</v>
      </c>
      <c r="U355">
        <v>5813</v>
      </c>
      <c r="V355">
        <v>39005.230000000003</v>
      </c>
      <c r="W355" s="1" t="s">
        <v>1264</v>
      </c>
      <c r="X355" s="1" t="s">
        <v>1258</v>
      </c>
      <c r="Y355">
        <v>1.6352941176470588</v>
      </c>
      <c r="Z355">
        <v>0.15830610021786493</v>
      </c>
      <c r="AA355" s="1" t="s">
        <v>1265</v>
      </c>
      <c r="AB355">
        <v>1</v>
      </c>
      <c r="AC355">
        <v>0</v>
      </c>
      <c r="AD355" s="1">
        <v>2.8597970067091003</v>
      </c>
      <c r="AE355">
        <v>4</v>
      </c>
      <c r="AF355">
        <f>COUNTIFS(tblStock[sku],tblSKU[[#This Row],[sku]])</f>
        <v>2</v>
      </c>
      <c r="AG355" cm="1">
        <f t="array" ref="AG355">SUM(SUMIFS(tblStock[qty_units],tblStock[sku],tblSKU[[#This Row],[sku]],tblStock[stock_type],{"Saleable","FOC"}))</f>
        <v>4156</v>
      </c>
      <c r="AH355" s="3">
        <f>SUMIFS(tblStock[value_nzd],tblStock[sku],tblSKU[[#This Row],[sku]])</f>
        <v>27886.76</v>
      </c>
      <c r="AI355" s="4">
        <f>SUMIFS(tblStock[cbm],tblStock[sku],tblSKU[[#This Row],[sku]])</f>
        <v>1.6947244444444443</v>
      </c>
      <c r="AJ355" s="1">
        <f>SUMIFS(tblStock[positions],tblStock[sku],tblSKU[[#This Row],[sku]])</f>
        <v>2</v>
      </c>
      <c r="AK355" s="3">
        <f>SUMIFS(tblStock[value_nzd],tblStock[sku],tblSKU[[#This Row],[sku]],tblStock[stock_type],"Expired")</f>
        <v>0</v>
      </c>
      <c r="AL355" s="3" cm="1">
        <f t="array" ref="AL355">SUM(SUMIFS(tblStock[value_nzd],tblStock[sku],tblSKU[[#This Row],[sku]],tblStock[stock_type],{"Saleable","FOC"},tblStock[expiry_date],"&lt;"&amp;EDATE(SnapshotDate,6)))</f>
        <v>0</v>
      </c>
    </row>
    <row r="356" spans="1:38">
      <c r="A356" s="1" t="s">
        <v>761</v>
      </c>
      <c r="B356" s="1" t="s">
        <v>762</v>
      </c>
      <c r="C356" s="1" t="s">
        <v>48</v>
      </c>
      <c r="D356" s="1" t="s">
        <v>37</v>
      </c>
      <c r="E356" s="1" t="s">
        <v>704</v>
      </c>
      <c r="F356" s="1" t="s">
        <v>39</v>
      </c>
      <c r="G356">
        <v>24</v>
      </c>
      <c r="H356">
        <v>36.799999999999997</v>
      </c>
      <c r="I356">
        <v>20.6</v>
      </c>
      <c r="J356">
        <v>18.600000000000001</v>
      </c>
      <c r="K356">
        <v>1.41E-2</v>
      </c>
      <c r="L356">
        <v>10.93</v>
      </c>
      <c r="M356">
        <v>5.27</v>
      </c>
      <c r="N356">
        <v>12</v>
      </c>
      <c r="O356">
        <v>5</v>
      </c>
      <c r="P356">
        <v>60</v>
      </c>
      <c r="Q356">
        <v>108</v>
      </c>
      <c r="R356">
        <v>680.8</v>
      </c>
      <c r="S356">
        <v>0.84599999999999997</v>
      </c>
      <c r="T356">
        <v>128</v>
      </c>
      <c r="U356">
        <v>6080</v>
      </c>
      <c r="V356">
        <v>32041.599999999999</v>
      </c>
      <c r="W356" s="1" t="s">
        <v>1264</v>
      </c>
      <c r="X356" s="1" t="s">
        <v>1258</v>
      </c>
      <c r="Y356">
        <v>1.5058823529411764</v>
      </c>
      <c r="Z356">
        <v>0.24836601307189543</v>
      </c>
      <c r="AA356" s="1" t="s">
        <v>1265</v>
      </c>
      <c r="AB356">
        <v>1</v>
      </c>
      <c r="AC356">
        <v>0</v>
      </c>
      <c r="AD356" s="1">
        <v>4.3638157894736844</v>
      </c>
      <c r="AE356">
        <v>4</v>
      </c>
      <c r="AF356">
        <f>COUNTIFS(tblStock[sku],tblSKU[[#This Row],[sku]])</f>
        <v>2</v>
      </c>
      <c r="AG356" cm="1">
        <f t="array" ref="AG356">SUM(SUMIFS(tblStock[qty_units],tblStock[sku],tblSKU[[#This Row],[sku]],tblStock[stock_type],{"Saleable","FOC"}))</f>
        <v>6633</v>
      </c>
      <c r="AH356" s="3">
        <f>SUMIFS(tblStock[value_nzd],tblStock[sku],tblSKU[[#This Row],[sku]])</f>
        <v>34955.909999999996</v>
      </c>
      <c r="AI356" s="4">
        <f>SUMIFS(tblStock[cbm],tblStock[sku],tblSKU[[#This Row],[sku]])</f>
        <v>3.8968875000000001</v>
      </c>
      <c r="AJ356" s="1">
        <f>SUMIFS(tblStock[positions],tblStock[sku],tblSKU[[#This Row],[sku]])</f>
        <v>5</v>
      </c>
      <c r="AK356" s="3">
        <f>SUMIFS(tblStock[value_nzd],tblStock[sku],tblSKU[[#This Row],[sku]],tblStock[stock_type],"Expired")</f>
        <v>0</v>
      </c>
      <c r="AL356" s="3" cm="1">
        <f t="array" ref="AL356">SUM(SUMIFS(tblStock[value_nzd],tblStock[sku],tblSKU[[#This Row],[sku]],tblStock[stock_type],{"Saleable","FOC"},tblStock[expiry_date],"&lt;"&amp;EDATE(SnapshotDate,6)))</f>
        <v>0</v>
      </c>
    </row>
    <row r="357" spans="1:38">
      <c r="A357" s="1" t="s">
        <v>763</v>
      </c>
      <c r="B357" s="1" t="s">
        <v>764</v>
      </c>
      <c r="C357" s="1" t="s">
        <v>577</v>
      </c>
      <c r="D357" s="1" t="s">
        <v>37</v>
      </c>
      <c r="E357" s="1" t="s">
        <v>704</v>
      </c>
      <c r="F357" s="1" t="s">
        <v>39</v>
      </c>
      <c r="G357">
        <v>48</v>
      </c>
      <c r="H357">
        <v>38</v>
      </c>
      <c r="I357">
        <v>26.4</v>
      </c>
      <c r="J357">
        <v>21.3</v>
      </c>
      <c r="K357">
        <v>2.137E-2</v>
      </c>
      <c r="L357">
        <v>14.97</v>
      </c>
      <c r="M357">
        <v>10.88</v>
      </c>
      <c r="N357">
        <v>9</v>
      </c>
      <c r="O357">
        <v>5</v>
      </c>
      <c r="P357">
        <v>45</v>
      </c>
      <c r="Q357">
        <v>121.5</v>
      </c>
      <c r="R357">
        <v>698.65</v>
      </c>
      <c r="S357">
        <v>0.96165</v>
      </c>
      <c r="T357">
        <v>17</v>
      </c>
      <c r="U357">
        <v>731</v>
      </c>
      <c r="V357">
        <v>7953.2800000000007</v>
      </c>
      <c r="W357" s="1" t="s">
        <v>1262</v>
      </c>
      <c r="X357" s="1" t="s">
        <v>1262</v>
      </c>
      <c r="Y357">
        <v>0.2</v>
      </c>
      <c r="Z357">
        <v>1.9907407407407408E-2</v>
      </c>
      <c r="AA357" s="1" t="s">
        <v>1263</v>
      </c>
      <c r="AB357">
        <v>0</v>
      </c>
      <c r="AC357">
        <v>0</v>
      </c>
      <c r="AD357" s="1">
        <v>2.9712722298221612</v>
      </c>
      <c r="AE357">
        <v>2</v>
      </c>
      <c r="AF357">
        <f>COUNTIFS(tblStock[sku],tblSKU[[#This Row],[sku]])</f>
        <v>2</v>
      </c>
      <c r="AG357" cm="1">
        <f t="array" ref="AG357">SUM(SUMIFS(tblStock[qty_units],tblStock[sku],tblSKU[[#This Row],[sku]],tblStock[stock_type],{"Saleable","FOC"}))</f>
        <v>543</v>
      </c>
      <c r="AH357" s="3">
        <f>SUMIFS(tblStock[value_nzd],tblStock[sku],tblSKU[[#This Row],[sku]])</f>
        <v>5907.84</v>
      </c>
      <c r="AI357" s="4">
        <f>SUMIFS(tblStock[cbm],tblStock[sku],tblSKU[[#This Row],[sku]])</f>
        <v>0.24174812499999998</v>
      </c>
      <c r="AJ357" s="1">
        <f>SUMIFS(tblStock[positions],tblStock[sku],tblSKU[[#This Row],[sku]])</f>
        <v>0</v>
      </c>
      <c r="AK357" s="3">
        <f>SUMIFS(tblStock[value_nzd],tblStock[sku],tblSKU[[#This Row],[sku]],tblStock[stock_type],"Expired")</f>
        <v>0</v>
      </c>
      <c r="AL357" s="3" cm="1">
        <f t="array" ref="AL357">SUM(SUMIFS(tblStock[value_nzd],tblStock[sku],tblSKU[[#This Row],[sku]],tblStock[stock_type],{"Saleable","FOC"},tblStock[expiry_date],"&lt;"&amp;EDATE(SnapshotDate,6)))</f>
        <v>0</v>
      </c>
    </row>
    <row r="358" spans="1:38">
      <c r="A358" s="1" t="s">
        <v>765</v>
      </c>
      <c r="B358" s="1" t="s">
        <v>766</v>
      </c>
      <c r="C358" s="1" t="s">
        <v>48</v>
      </c>
      <c r="D358" s="1" t="s">
        <v>37</v>
      </c>
      <c r="E358" s="1" t="s">
        <v>704</v>
      </c>
      <c r="F358" s="1" t="s">
        <v>39</v>
      </c>
      <c r="G358">
        <v>48</v>
      </c>
      <c r="H358">
        <v>38.9</v>
      </c>
      <c r="I358">
        <v>24.9</v>
      </c>
      <c r="J358">
        <v>15.7</v>
      </c>
      <c r="K358">
        <v>1.521E-2</v>
      </c>
      <c r="L358">
        <v>9.66</v>
      </c>
      <c r="M358">
        <v>3.72</v>
      </c>
      <c r="N358">
        <v>12</v>
      </c>
      <c r="O358">
        <v>6</v>
      </c>
      <c r="P358">
        <v>72</v>
      </c>
      <c r="Q358">
        <v>109.19999999999999</v>
      </c>
      <c r="R358">
        <v>720.52</v>
      </c>
      <c r="S358">
        <v>1.0951199999999999</v>
      </c>
      <c r="T358">
        <v>183</v>
      </c>
      <c r="U358">
        <v>8619</v>
      </c>
      <c r="V358">
        <v>32062.68</v>
      </c>
      <c r="W358" s="1" t="s">
        <v>1264</v>
      </c>
      <c r="X358" s="1" t="s">
        <v>1258</v>
      </c>
      <c r="Y358">
        <v>2.1529411764705881</v>
      </c>
      <c r="Z358">
        <v>0.1467013888888889</v>
      </c>
      <c r="AA358" s="1" t="s">
        <v>1265</v>
      </c>
      <c r="AB358">
        <v>1</v>
      </c>
      <c r="AC358">
        <v>0</v>
      </c>
      <c r="AD358" s="1">
        <v>3.613412228796844</v>
      </c>
      <c r="AE358">
        <v>4</v>
      </c>
      <c r="AF358">
        <f>COUNTIFS(tblStock[sku],tblSKU[[#This Row],[sku]])</f>
        <v>1</v>
      </c>
      <c r="AG358" cm="1">
        <f t="array" ref="AG358">SUM(SUMIFS(tblStock[qty_units],tblStock[sku],tblSKU[[#This Row],[sku]],tblStock[stock_type],{"Saleable","FOC"}))</f>
        <v>7786</v>
      </c>
      <c r="AH358" s="3">
        <f>SUMIFS(tblStock[value_nzd],tblStock[sku],tblSKU[[#This Row],[sku]])</f>
        <v>28963.920000000002</v>
      </c>
      <c r="AI358" s="4">
        <f>SUMIFS(tblStock[cbm],tblStock[sku],tblSKU[[#This Row],[sku]])</f>
        <v>2.46718875</v>
      </c>
      <c r="AJ358" s="1">
        <f>SUMIFS(tblStock[positions],tblStock[sku],tblSKU[[#This Row],[sku]])</f>
        <v>3</v>
      </c>
      <c r="AK358" s="3">
        <f>SUMIFS(tblStock[value_nzd],tblStock[sku],tblSKU[[#This Row],[sku]],tblStock[stock_type],"Expired")</f>
        <v>0</v>
      </c>
      <c r="AL358" s="3" cm="1">
        <f t="array" ref="AL358">SUM(SUMIFS(tblStock[value_nzd],tblStock[sku],tblSKU[[#This Row],[sku]],tblStock[stock_type],{"Saleable","FOC"},tblStock[expiry_date],"&lt;"&amp;EDATE(SnapshotDate,6)))</f>
        <v>0</v>
      </c>
    </row>
    <row r="359" spans="1:38">
      <c r="A359" s="1" t="s">
        <v>767</v>
      </c>
      <c r="B359" s="1" t="s">
        <v>768</v>
      </c>
      <c r="C359" s="1" t="s">
        <v>577</v>
      </c>
      <c r="D359" s="1" t="s">
        <v>37</v>
      </c>
      <c r="E359" s="1" t="s">
        <v>704</v>
      </c>
      <c r="F359" s="1" t="s">
        <v>39</v>
      </c>
      <c r="G359">
        <v>36</v>
      </c>
      <c r="H359">
        <v>35.200000000000003</v>
      </c>
      <c r="I359">
        <v>28.4</v>
      </c>
      <c r="J359">
        <v>24.6</v>
      </c>
      <c r="K359">
        <v>2.4590000000000001E-2</v>
      </c>
      <c r="L359">
        <v>18.760000000000002</v>
      </c>
      <c r="M359">
        <v>6.86</v>
      </c>
      <c r="N359">
        <v>9</v>
      </c>
      <c r="O359">
        <v>2</v>
      </c>
      <c r="P359">
        <v>18</v>
      </c>
      <c r="Q359">
        <v>64.2</v>
      </c>
      <c r="R359">
        <v>362.68</v>
      </c>
      <c r="S359">
        <v>0.44262000000000001</v>
      </c>
      <c r="T359">
        <v>52</v>
      </c>
      <c r="U359">
        <v>2276</v>
      </c>
      <c r="V359">
        <v>15613.36</v>
      </c>
      <c r="W359" s="1" t="s">
        <v>1258</v>
      </c>
      <c r="X359" s="1" t="s">
        <v>1262</v>
      </c>
      <c r="Y359">
        <v>0.61176470588235299</v>
      </c>
      <c r="Z359">
        <v>0.20660856935366739</v>
      </c>
      <c r="AA359" s="1" t="s">
        <v>1259</v>
      </c>
      <c r="AB359">
        <v>0</v>
      </c>
      <c r="AC359">
        <v>1</v>
      </c>
      <c r="AD359" s="1">
        <v>5.2530755711775043</v>
      </c>
      <c r="AE359">
        <v>2</v>
      </c>
      <c r="AF359">
        <f>COUNTIFS(tblStock[sku],tblSKU[[#This Row],[sku]])</f>
        <v>2</v>
      </c>
      <c r="AG359" cm="1">
        <f t="array" ref="AG359">SUM(SUMIFS(tblStock[qty_units],tblStock[sku],tblSKU[[#This Row],[sku]],tblStock[stock_type],{"Saleable","FOC"}))</f>
        <v>2989</v>
      </c>
      <c r="AH359" s="3">
        <f>SUMIFS(tblStock[value_nzd],tblStock[sku],tblSKU[[#This Row],[sku]])</f>
        <v>20504.54</v>
      </c>
      <c r="AI359" s="4">
        <f>SUMIFS(tblStock[cbm],tblStock[sku],tblSKU[[#This Row],[sku]])</f>
        <v>2.0416530555555554</v>
      </c>
      <c r="AJ359" s="1">
        <f>SUMIFS(tblStock[positions],tblStock[sku],tblSKU[[#This Row],[sku]])</f>
        <v>5</v>
      </c>
      <c r="AK359" s="3">
        <f>SUMIFS(tblStock[value_nzd],tblStock[sku],tblSKU[[#This Row],[sku]],tblStock[stock_type],"Expired")</f>
        <v>0</v>
      </c>
      <c r="AL359" s="3" cm="1">
        <f t="array" ref="AL359">SUM(SUMIFS(tblStock[value_nzd],tblStock[sku],tblSKU[[#This Row],[sku]],tblStock[stock_type],{"Saleable","FOC"},tblStock[expiry_date],"&lt;"&amp;EDATE(SnapshotDate,6)))</f>
        <v>0</v>
      </c>
    </row>
    <row r="360" spans="1:38">
      <c r="A360" s="1" t="s">
        <v>769</v>
      </c>
      <c r="B360" s="1" t="s">
        <v>770</v>
      </c>
      <c r="C360" s="1" t="s">
        <v>48</v>
      </c>
      <c r="D360" s="1" t="s">
        <v>37</v>
      </c>
      <c r="E360" s="1" t="s">
        <v>704</v>
      </c>
      <c r="F360" s="1" t="s">
        <v>39</v>
      </c>
      <c r="G360">
        <v>36</v>
      </c>
      <c r="H360">
        <v>34.6</v>
      </c>
      <c r="I360">
        <v>27.1</v>
      </c>
      <c r="J360">
        <v>18.399999999999999</v>
      </c>
      <c r="K360">
        <v>1.7250000000000001E-2</v>
      </c>
      <c r="L360">
        <v>13.69</v>
      </c>
      <c r="M360">
        <v>8.92</v>
      </c>
      <c r="N360">
        <v>9</v>
      </c>
      <c r="O360">
        <v>5</v>
      </c>
      <c r="P360">
        <v>45</v>
      </c>
      <c r="Q360">
        <v>107</v>
      </c>
      <c r="R360">
        <v>641.04999999999995</v>
      </c>
      <c r="S360">
        <v>0.77625000000000011</v>
      </c>
      <c r="T360">
        <v>45</v>
      </c>
      <c r="U360">
        <v>1652</v>
      </c>
      <c r="V360">
        <v>14735.84</v>
      </c>
      <c r="W360" s="1" t="s">
        <v>1258</v>
      </c>
      <c r="X360" s="1" t="s">
        <v>1262</v>
      </c>
      <c r="Y360">
        <v>0.52941176470588236</v>
      </c>
      <c r="Z360">
        <v>5.9985475671750173E-2</v>
      </c>
      <c r="AA360" s="1" t="s">
        <v>1259</v>
      </c>
      <c r="AB360">
        <v>0</v>
      </c>
      <c r="AC360">
        <v>1</v>
      </c>
      <c r="AD360" s="1">
        <v>5.1743341404358354</v>
      </c>
      <c r="AE360">
        <v>2</v>
      </c>
      <c r="AF360">
        <f>COUNTIFS(tblStock[sku],tblSKU[[#This Row],[sku]])</f>
        <v>2</v>
      </c>
      <c r="AG360" cm="1">
        <f t="array" ref="AG360">SUM(SUMIFS(tblStock[qty_units],tblStock[sku],tblSKU[[#This Row],[sku]],tblStock[stock_type],{"Saleable","FOC"}))</f>
        <v>2137</v>
      </c>
      <c r="AH360" s="3">
        <f>SUMIFS(tblStock[value_nzd],tblStock[sku],tblSKU[[#This Row],[sku]])</f>
        <v>19062.04</v>
      </c>
      <c r="AI360" s="4">
        <f>SUMIFS(tblStock[cbm],tblStock[sku],tblSKU[[#This Row],[sku]])</f>
        <v>1.0239791666666669</v>
      </c>
      <c r="AJ360" s="1">
        <f>SUMIFS(tblStock[positions],tblStock[sku],tblSKU[[#This Row],[sku]])</f>
        <v>2</v>
      </c>
      <c r="AK360" s="3">
        <f>SUMIFS(tblStock[value_nzd],tblStock[sku],tblSKU[[#This Row],[sku]],tblStock[stock_type],"Expired")</f>
        <v>0</v>
      </c>
      <c r="AL360" s="3" cm="1">
        <f t="array" ref="AL360">SUM(SUMIFS(tblStock[value_nzd],tblStock[sku],tblSKU[[#This Row],[sku]],tblStock[stock_type],{"Saleable","FOC"},tblStock[expiry_date],"&lt;"&amp;EDATE(SnapshotDate,6)))</f>
        <v>0</v>
      </c>
    </row>
    <row r="361" spans="1:38">
      <c r="A361" s="1" t="s">
        <v>771</v>
      </c>
      <c r="B361" s="1" t="s">
        <v>772</v>
      </c>
      <c r="C361" s="1" t="s">
        <v>577</v>
      </c>
      <c r="D361" s="1" t="s">
        <v>37</v>
      </c>
      <c r="E361" s="1" t="s">
        <v>704</v>
      </c>
      <c r="F361" s="1" t="s">
        <v>39</v>
      </c>
      <c r="G361">
        <v>48</v>
      </c>
      <c r="H361">
        <v>44.6</v>
      </c>
      <c r="I361">
        <v>27.9</v>
      </c>
      <c r="J361">
        <v>20.7</v>
      </c>
      <c r="K361">
        <v>2.5760000000000002E-2</v>
      </c>
      <c r="L361">
        <v>16.09</v>
      </c>
      <c r="M361">
        <v>6.42</v>
      </c>
      <c r="N361">
        <v>8</v>
      </c>
      <c r="O361">
        <v>5</v>
      </c>
      <c r="P361">
        <v>40</v>
      </c>
      <c r="Q361">
        <v>118.5</v>
      </c>
      <c r="R361">
        <v>668.6</v>
      </c>
      <c r="S361">
        <v>1.0304</v>
      </c>
      <c r="T361">
        <v>55</v>
      </c>
      <c r="U361">
        <v>2848</v>
      </c>
      <c r="V361">
        <v>18284.16</v>
      </c>
      <c r="W361" s="1" t="s">
        <v>1258</v>
      </c>
      <c r="X361" s="1" t="s">
        <v>1262</v>
      </c>
      <c r="Y361">
        <v>0.6470588235294118</v>
      </c>
      <c r="Z361">
        <v>8.7254901960784323E-2</v>
      </c>
      <c r="AA361" s="1" t="s">
        <v>1259</v>
      </c>
      <c r="AB361">
        <v>0</v>
      </c>
      <c r="AC361">
        <v>1</v>
      </c>
      <c r="AD361" s="1">
        <v>11.47191011235955</v>
      </c>
      <c r="AE361">
        <v>2</v>
      </c>
      <c r="AF361">
        <f>COUNTIFS(tblStock[sku],tblSKU[[#This Row],[sku]])</f>
        <v>2</v>
      </c>
      <c r="AG361" cm="1">
        <f t="array" ref="AG361">SUM(SUMIFS(tblStock[qty_units],tblStock[sku],tblSKU[[#This Row],[sku]],tblStock[stock_type],{"Saleable","FOC"}))</f>
        <v>8168</v>
      </c>
      <c r="AH361" s="3">
        <f>SUMIFS(tblStock[value_nzd],tblStock[sku],tblSKU[[#This Row],[sku]])</f>
        <v>52438.559999999998</v>
      </c>
      <c r="AI361" s="4">
        <f>SUMIFS(tblStock[cbm],tblStock[sku],tblSKU[[#This Row],[sku]])</f>
        <v>4.3834933333333339</v>
      </c>
      <c r="AJ361" s="1">
        <f>SUMIFS(tblStock[positions],tblStock[sku],tblSKU[[#This Row],[sku]])</f>
        <v>5</v>
      </c>
      <c r="AK361" s="3">
        <f>SUMIFS(tblStock[value_nzd],tblStock[sku],tblSKU[[#This Row],[sku]],tblStock[stock_type],"Expired")</f>
        <v>0</v>
      </c>
      <c r="AL361" s="3" cm="1">
        <f t="array" ref="AL361">SUM(SUMIFS(tblStock[value_nzd],tblStock[sku],tblSKU[[#This Row],[sku]],tblStock[stock_type],{"Saleable","FOC"},tblStock[expiry_date],"&lt;"&amp;EDATE(SnapshotDate,6)))</f>
        <v>0</v>
      </c>
    </row>
    <row r="362" spans="1:38">
      <c r="A362" s="1" t="s">
        <v>773</v>
      </c>
      <c r="B362" s="1" t="s">
        <v>774</v>
      </c>
      <c r="C362" s="1" t="s">
        <v>577</v>
      </c>
      <c r="D362" s="1" t="s">
        <v>37</v>
      </c>
      <c r="E362" s="1" t="s">
        <v>704</v>
      </c>
      <c r="F362" s="1" t="s">
        <v>39</v>
      </c>
      <c r="G362">
        <v>48</v>
      </c>
      <c r="H362">
        <v>41.5</v>
      </c>
      <c r="I362">
        <v>28</v>
      </c>
      <c r="J362">
        <v>15.4</v>
      </c>
      <c r="K362">
        <v>1.789E-2</v>
      </c>
      <c r="L362">
        <v>12.94</v>
      </c>
      <c r="M362">
        <v>10.3</v>
      </c>
      <c r="N362">
        <v>8</v>
      </c>
      <c r="O362">
        <v>4</v>
      </c>
      <c r="P362">
        <v>32</v>
      </c>
      <c r="Q362">
        <v>76.599999999999994</v>
      </c>
      <c r="R362">
        <v>439.08</v>
      </c>
      <c r="S362">
        <v>0.57247999999999999</v>
      </c>
      <c r="T362">
        <v>49</v>
      </c>
      <c r="U362">
        <v>2535</v>
      </c>
      <c r="V362">
        <v>26110.5</v>
      </c>
      <c r="W362" s="1" t="s">
        <v>1258</v>
      </c>
      <c r="X362" s="1" t="s">
        <v>1262</v>
      </c>
      <c r="Y362">
        <v>0.57647058823529407</v>
      </c>
      <c r="Z362">
        <v>9.708180147058823E-2</v>
      </c>
      <c r="AA362" s="1" t="s">
        <v>1259</v>
      </c>
      <c r="AB362">
        <v>0</v>
      </c>
      <c r="AC362">
        <v>1</v>
      </c>
      <c r="AD362" s="1">
        <v>9.5984220907297839</v>
      </c>
      <c r="AE362">
        <v>2</v>
      </c>
      <c r="AF362">
        <f>COUNTIFS(tblStock[sku],tblSKU[[#This Row],[sku]])</f>
        <v>3</v>
      </c>
      <c r="AG362" cm="1">
        <f t="array" ref="AG362">SUM(SUMIFS(tblStock[qty_units],tblStock[sku],tblSKU[[#This Row],[sku]],tblStock[stock_type],{"Saleable","FOC"}))</f>
        <v>6083</v>
      </c>
      <c r="AH362" s="3">
        <f>SUMIFS(tblStock[value_nzd],tblStock[sku],tblSKU[[#This Row],[sku]])</f>
        <v>62654.9</v>
      </c>
      <c r="AI362" s="4">
        <f>SUMIFS(tblStock[cbm],tblStock[sku],tblSKU[[#This Row],[sku]])</f>
        <v>2.2671847916666668</v>
      </c>
      <c r="AJ362" s="1">
        <f>SUMIFS(tblStock[positions],tblStock[sku],tblSKU[[#This Row],[sku]])</f>
        <v>5</v>
      </c>
      <c r="AK362" s="3">
        <f>SUMIFS(tblStock[value_nzd],tblStock[sku],tblSKU[[#This Row],[sku]],tblStock[stock_type],"Expired")</f>
        <v>0</v>
      </c>
      <c r="AL362" s="3" cm="1">
        <f t="array" ref="AL362">SUM(SUMIFS(tblStock[value_nzd],tblStock[sku],tblSKU[[#This Row],[sku]],tblStock[stock_type],{"Saleable","FOC"},tblStock[expiry_date],"&lt;"&amp;EDATE(SnapshotDate,6)))</f>
        <v>0</v>
      </c>
    </row>
    <row r="363" spans="1:38">
      <c r="A363" s="1" t="s">
        <v>775</v>
      </c>
      <c r="B363" s="1" t="s">
        <v>776</v>
      </c>
      <c r="C363" s="1" t="s">
        <v>577</v>
      </c>
      <c r="D363" s="1" t="s">
        <v>37</v>
      </c>
      <c r="E363" s="1" t="s">
        <v>704</v>
      </c>
      <c r="F363" s="1" t="s">
        <v>39</v>
      </c>
      <c r="G363">
        <v>24</v>
      </c>
      <c r="H363">
        <v>35.200000000000003</v>
      </c>
      <c r="I363">
        <v>30.7</v>
      </c>
      <c r="J363">
        <v>17.7</v>
      </c>
      <c r="K363">
        <v>1.9130000000000001E-2</v>
      </c>
      <c r="L363">
        <v>11.97</v>
      </c>
      <c r="M363">
        <v>3.12</v>
      </c>
      <c r="N363">
        <v>7</v>
      </c>
      <c r="O363">
        <v>3</v>
      </c>
      <c r="P363">
        <v>21</v>
      </c>
      <c r="Q363">
        <v>68.099999999999994</v>
      </c>
      <c r="R363">
        <v>276.37</v>
      </c>
      <c r="S363">
        <v>0.40173000000000003</v>
      </c>
      <c r="T363">
        <v>1</v>
      </c>
      <c r="U363">
        <v>20</v>
      </c>
      <c r="V363">
        <v>62.400000000000006</v>
      </c>
      <c r="W363" s="1" t="s">
        <v>1262</v>
      </c>
      <c r="X363" s="1" t="s">
        <v>1262</v>
      </c>
      <c r="Y363">
        <v>1.1764705882352941E-2</v>
      </c>
      <c r="Z363">
        <v>2.334267040149393E-3</v>
      </c>
      <c r="AA363" s="1" t="s">
        <v>1263</v>
      </c>
      <c r="AB363">
        <v>0</v>
      </c>
      <c r="AC363">
        <v>0</v>
      </c>
      <c r="AD363" s="1">
        <v>10</v>
      </c>
      <c r="AE363">
        <v>2</v>
      </c>
      <c r="AF363">
        <f>COUNTIFS(tblStock[sku],tblSKU[[#This Row],[sku]])</f>
        <v>2</v>
      </c>
      <c r="AG363" cm="1">
        <f t="array" ref="AG363">SUM(SUMIFS(tblStock[qty_units],tblStock[sku],tblSKU[[#This Row],[sku]],tblStock[stock_type],{"Saleable","FOC"}))</f>
        <v>50</v>
      </c>
      <c r="AH363" s="3">
        <f>SUMIFS(tblStock[value_nzd],tblStock[sku],tblSKU[[#This Row],[sku]])</f>
        <v>156</v>
      </c>
      <c r="AI363" s="4">
        <f>SUMIFS(tblStock[cbm],tblStock[sku],tblSKU[[#This Row],[sku]])</f>
        <v>3.985416666666667E-2</v>
      </c>
      <c r="AJ363" s="1">
        <f>SUMIFS(tblStock[positions],tblStock[sku],tblSKU[[#This Row],[sku]])</f>
        <v>0</v>
      </c>
      <c r="AK363" s="3">
        <f>SUMIFS(tblStock[value_nzd],tblStock[sku],tblSKU[[#This Row],[sku]],tblStock[stock_type],"Expired")</f>
        <v>0</v>
      </c>
      <c r="AL363" s="3" cm="1">
        <f t="array" ref="AL363">SUM(SUMIFS(tblStock[value_nzd],tblStock[sku],tblSKU[[#This Row],[sku]],tblStock[stock_type],{"Saleable","FOC"},tblStock[expiry_date],"&lt;"&amp;EDATE(SnapshotDate,6)))</f>
        <v>59.28</v>
      </c>
    </row>
    <row r="364" spans="1:38">
      <c r="A364" s="1" t="s">
        <v>777</v>
      </c>
      <c r="B364" s="1" t="s">
        <v>778</v>
      </c>
      <c r="C364" s="1" t="s">
        <v>48</v>
      </c>
      <c r="D364" s="1" t="s">
        <v>37</v>
      </c>
      <c r="E364" s="1" t="s">
        <v>704</v>
      </c>
      <c r="F364" s="1" t="s">
        <v>39</v>
      </c>
      <c r="G364">
        <v>48</v>
      </c>
      <c r="H364">
        <v>35.1</v>
      </c>
      <c r="I364">
        <v>21.2</v>
      </c>
      <c r="J364">
        <v>18.8</v>
      </c>
      <c r="K364">
        <v>1.3990000000000001E-2</v>
      </c>
      <c r="L364">
        <v>9.7899999999999991</v>
      </c>
      <c r="M364">
        <v>7.42</v>
      </c>
      <c r="N364">
        <v>12</v>
      </c>
      <c r="O364">
        <v>4</v>
      </c>
      <c r="P364">
        <v>48</v>
      </c>
      <c r="Q364">
        <v>90.2</v>
      </c>
      <c r="R364">
        <v>494.91999999999996</v>
      </c>
      <c r="S364">
        <v>0.67152000000000001</v>
      </c>
      <c r="T364">
        <v>40</v>
      </c>
      <c r="U364">
        <v>1455</v>
      </c>
      <c r="V364">
        <v>10796.1</v>
      </c>
      <c r="W364" s="1" t="s">
        <v>1258</v>
      </c>
      <c r="X364" s="1" t="s">
        <v>1262</v>
      </c>
      <c r="Y364">
        <v>0.47058823529411764</v>
      </c>
      <c r="Z364">
        <v>3.7147671568627451E-2</v>
      </c>
      <c r="AA364" s="1" t="s">
        <v>1259</v>
      </c>
      <c r="AB364">
        <v>0</v>
      </c>
      <c r="AC364">
        <v>1</v>
      </c>
      <c r="AD364" s="1">
        <v>10.081099656357388</v>
      </c>
      <c r="AE364">
        <v>2</v>
      </c>
      <c r="AF364">
        <f>COUNTIFS(tblStock[sku],tblSKU[[#This Row],[sku]])</f>
        <v>3</v>
      </c>
      <c r="AG364" cm="1">
        <f t="array" ref="AG364">SUM(SUMIFS(tblStock[qty_units],tblStock[sku],tblSKU[[#This Row],[sku]],tblStock[stock_type],{"Saleable","FOC"}))</f>
        <v>3667</v>
      </c>
      <c r="AH364" s="3">
        <f>SUMIFS(tblStock[value_nzd],tblStock[sku],tblSKU[[#This Row],[sku]])</f>
        <v>27209.14</v>
      </c>
      <c r="AI364" s="4">
        <f>SUMIFS(tblStock[cbm],tblStock[sku],tblSKU[[#This Row],[sku]])</f>
        <v>1.0687777083333334</v>
      </c>
      <c r="AJ364" s="1">
        <f>SUMIFS(tblStock[positions],tblStock[sku],tblSKU[[#This Row],[sku]])</f>
        <v>3</v>
      </c>
      <c r="AK364" s="3">
        <f>SUMIFS(tblStock[value_nzd],tblStock[sku],tblSKU[[#This Row],[sku]],tblStock[stock_type],"Expired")</f>
        <v>0</v>
      </c>
      <c r="AL364" s="3" cm="1">
        <f t="array" ref="AL364">SUM(SUMIFS(tblStock[value_nzd],tblStock[sku],tblSKU[[#This Row],[sku]],tblStock[stock_type],{"Saleable","FOC"},tblStock[expiry_date],"&lt;"&amp;EDATE(SnapshotDate,6)))</f>
        <v>0</v>
      </c>
    </row>
    <row r="365" spans="1:38">
      <c r="A365" s="1" t="s">
        <v>779</v>
      </c>
      <c r="B365" s="1" t="s">
        <v>780</v>
      </c>
      <c r="C365" s="1" t="s">
        <v>781</v>
      </c>
      <c r="D365" s="1" t="s">
        <v>37</v>
      </c>
      <c r="E365" s="1" t="s">
        <v>782</v>
      </c>
      <c r="F365" s="1" t="s">
        <v>39</v>
      </c>
      <c r="G365">
        <v>12</v>
      </c>
      <c r="H365">
        <v>50.6</v>
      </c>
      <c r="I365">
        <v>36.5</v>
      </c>
      <c r="J365">
        <v>22.4</v>
      </c>
      <c r="K365">
        <v>4.1369999999999997E-2</v>
      </c>
      <c r="L365">
        <v>37.49</v>
      </c>
      <c r="M365">
        <v>5.68</v>
      </c>
      <c r="N365">
        <v>4</v>
      </c>
      <c r="O365">
        <v>4</v>
      </c>
      <c r="P365">
        <v>16</v>
      </c>
      <c r="Q365">
        <v>104.6</v>
      </c>
      <c r="R365">
        <v>624.84</v>
      </c>
      <c r="S365">
        <v>0.66191999999999995</v>
      </c>
      <c r="T365">
        <v>46</v>
      </c>
      <c r="U365">
        <v>1789</v>
      </c>
      <c r="V365">
        <v>10161.519999999999</v>
      </c>
      <c r="W365" s="1" t="s">
        <v>1258</v>
      </c>
      <c r="X365" s="1" t="s">
        <v>1262</v>
      </c>
      <c r="Y365">
        <v>0.54117647058823526</v>
      </c>
      <c r="Z365">
        <v>0.54810049019607854</v>
      </c>
      <c r="AA365" s="1" t="s">
        <v>1259</v>
      </c>
      <c r="AB365">
        <v>0</v>
      </c>
      <c r="AC365">
        <v>1</v>
      </c>
      <c r="AD365" s="1">
        <v>6.4035774175517046</v>
      </c>
      <c r="AE365">
        <v>2</v>
      </c>
      <c r="AF365">
        <f>COUNTIFS(tblStock[sku],tblSKU[[#This Row],[sku]])</f>
        <v>1</v>
      </c>
      <c r="AG365" cm="1">
        <f t="array" ref="AG365">SUM(SUMIFS(tblStock[qty_units],tblStock[sku],tblSKU[[#This Row],[sku]],tblStock[stock_type],{"Saleable","FOC"}))</f>
        <v>2864</v>
      </c>
      <c r="AH365" s="3">
        <f>SUMIFS(tblStock[value_nzd],tblStock[sku],tblSKU[[#This Row],[sku]])</f>
        <v>16267.519999999999</v>
      </c>
      <c r="AI365" s="4">
        <f>SUMIFS(tblStock[cbm],tblStock[sku],tblSKU[[#This Row],[sku]])</f>
        <v>9.8736399999999982</v>
      </c>
      <c r="AJ365" s="1">
        <f>SUMIFS(tblStock[positions],tblStock[sku],tblSKU[[#This Row],[sku]])</f>
        <v>15</v>
      </c>
      <c r="AK365" s="3">
        <f>SUMIFS(tblStock[value_nzd],tblStock[sku],tblSKU[[#This Row],[sku]],tblStock[stock_type],"Expired")</f>
        <v>0</v>
      </c>
      <c r="AL365" s="3" cm="1">
        <f t="array" ref="AL365">SUM(SUMIFS(tblStock[value_nzd],tblStock[sku],tblSKU[[#This Row],[sku]],tblStock[stock_type],{"Saleable","FOC"},tblStock[expiry_date],"&lt;"&amp;EDATE(SnapshotDate,6)))</f>
        <v>0</v>
      </c>
    </row>
    <row r="366" spans="1:38">
      <c r="A366" s="1" t="s">
        <v>783</v>
      </c>
      <c r="B366" s="1" t="s">
        <v>784</v>
      </c>
      <c r="C366" s="1" t="s">
        <v>781</v>
      </c>
      <c r="D366" s="1" t="s">
        <v>37</v>
      </c>
      <c r="E366" s="1" t="s">
        <v>782</v>
      </c>
      <c r="F366" s="1" t="s">
        <v>39</v>
      </c>
      <c r="G366">
        <v>12</v>
      </c>
      <c r="H366">
        <v>52.5</v>
      </c>
      <c r="I366">
        <v>32.200000000000003</v>
      </c>
      <c r="J366">
        <v>22.2</v>
      </c>
      <c r="K366">
        <v>3.7530000000000001E-2</v>
      </c>
      <c r="L366">
        <v>32.89</v>
      </c>
      <c r="M366">
        <v>1.96</v>
      </c>
      <c r="N366">
        <v>6</v>
      </c>
      <c r="O366">
        <v>3</v>
      </c>
      <c r="P366">
        <v>18</v>
      </c>
      <c r="Q366">
        <v>81.599999999999994</v>
      </c>
      <c r="R366">
        <v>617.02</v>
      </c>
      <c r="S366">
        <v>0.67554000000000003</v>
      </c>
      <c r="T366">
        <v>43</v>
      </c>
      <c r="U366">
        <v>1876</v>
      </c>
      <c r="V366">
        <v>3676.96</v>
      </c>
      <c r="W366" s="1" t="s">
        <v>1258</v>
      </c>
      <c r="X366" s="1" t="s">
        <v>1262</v>
      </c>
      <c r="Y366">
        <v>0.50588235294117645</v>
      </c>
      <c r="Z366">
        <v>0.51089324618736387</v>
      </c>
      <c r="AA366" s="1" t="s">
        <v>1259</v>
      </c>
      <c r="AB366">
        <v>0</v>
      </c>
      <c r="AC366">
        <v>1</v>
      </c>
      <c r="AD366" s="1">
        <v>5.9637526652452024</v>
      </c>
      <c r="AE366">
        <v>2</v>
      </c>
      <c r="AF366">
        <f>COUNTIFS(tblStock[sku],tblSKU[[#This Row],[sku]])</f>
        <v>2</v>
      </c>
      <c r="AG366" cm="1">
        <f t="array" ref="AG366">SUM(SUMIFS(tblStock[qty_units],tblStock[sku],tblSKU[[#This Row],[sku]],tblStock[stock_type],{"Saleable","FOC"}))</f>
        <v>2797</v>
      </c>
      <c r="AH366" s="3">
        <f>SUMIFS(tblStock[value_nzd],tblStock[sku],tblSKU[[#This Row],[sku]])</f>
        <v>5482.12</v>
      </c>
      <c r="AI366" s="4">
        <f>SUMIFS(tblStock[cbm],tblStock[sku],tblSKU[[#This Row],[sku]])</f>
        <v>8.7476175000000005</v>
      </c>
      <c r="AJ366" s="1">
        <f>SUMIFS(tblStock[positions],tblStock[sku],tblSKU[[#This Row],[sku]])</f>
        <v>14</v>
      </c>
      <c r="AK366" s="3">
        <f>SUMIFS(tblStock[value_nzd],tblStock[sku],tblSKU[[#This Row],[sku]],tblStock[stock_type],"Expired")</f>
        <v>0</v>
      </c>
      <c r="AL366" s="3" cm="1">
        <f t="array" ref="AL366">SUM(SUMIFS(tblStock[value_nzd],tblStock[sku],tblSKU[[#This Row],[sku]],tblStock[stock_type],{"Saleable","FOC"},tblStock[expiry_date],"&lt;"&amp;EDATE(SnapshotDate,6)))</f>
        <v>0</v>
      </c>
    </row>
    <row r="367" spans="1:38">
      <c r="A367" s="1" t="s">
        <v>785</v>
      </c>
      <c r="B367" s="1" t="s">
        <v>786</v>
      </c>
      <c r="C367" s="1" t="s">
        <v>781</v>
      </c>
      <c r="D367" s="1" t="s">
        <v>37</v>
      </c>
      <c r="E367" s="1" t="s">
        <v>782</v>
      </c>
      <c r="F367" s="1" t="s">
        <v>39</v>
      </c>
      <c r="G367">
        <v>12</v>
      </c>
      <c r="H367">
        <v>45.8</v>
      </c>
      <c r="I367">
        <v>39.1</v>
      </c>
      <c r="J367">
        <v>27.9</v>
      </c>
      <c r="K367">
        <v>4.9959999999999997E-2</v>
      </c>
      <c r="L367">
        <v>49.79</v>
      </c>
      <c r="M367">
        <v>5.0599999999999996</v>
      </c>
      <c r="N367">
        <v>5</v>
      </c>
      <c r="O367">
        <v>2</v>
      </c>
      <c r="P367">
        <v>10</v>
      </c>
      <c r="Q367">
        <v>70.8</v>
      </c>
      <c r="R367">
        <v>522.9</v>
      </c>
      <c r="S367">
        <v>0.49959999999999999</v>
      </c>
      <c r="T367">
        <v>118</v>
      </c>
      <c r="U367">
        <v>3775</v>
      </c>
      <c r="V367">
        <v>19101.5</v>
      </c>
      <c r="W367" s="1" t="s">
        <v>1264</v>
      </c>
      <c r="X367" s="1" t="s">
        <v>1262</v>
      </c>
      <c r="Y367">
        <v>1.388235294117647</v>
      </c>
      <c r="Z367">
        <v>1.8504901960784312</v>
      </c>
      <c r="AA367" s="1" t="s">
        <v>1265</v>
      </c>
      <c r="AB367">
        <v>1</v>
      </c>
      <c r="AC367">
        <v>0</v>
      </c>
      <c r="AD367" s="1">
        <v>3.104635761589404</v>
      </c>
      <c r="AE367">
        <v>2</v>
      </c>
      <c r="AF367">
        <f>COUNTIFS(tblStock[sku],tblSKU[[#This Row],[sku]])</f>
        <v>2</v>
      </c>
      <c r="AG367" cm="1">
        <f t="array" ref="AG367">SUM(SUMIFS(tblStock[qty_units],tblStock[sku],tblSKU[[#This Row],[sku]],tblStock[stock_type],{"Saleable","FOC"}))</f>
        <v>2930</v>
      </c>
      <c r="AH367" s="3">
        <f>SUMIFS(tblStock[value_nzd],tblStock[sku],tblSKU[[#This Row],[sku]])</f>
        <v>16009.84</v>
      </c>
      <c r="AI367" s="4">
        <f>SUMIFS(tblStock[cbm],tblStock[sku],tblSKU[[#This Row],[sku]])</f>
        <v>13.172786666666667</v>
      </c>
      <c r="AJ367" s="1">
        <f>SUMIFS(tblStock[positions],tblStock[sku],tblSKU[[#This Row],[sku]])</f>
        <v>25</v>
      </c>
      <c r="AK367" s="3">
        <f>SUMIFS(tblStock[value_nzd],tblStock[sku],tblSKU[[#This Row],[sku]],tblStock[stock_type],"Expired")</f>
        <v>1184.04</v>
      </c>
      <c r="AL367" s="3" cm="1">
        <f t="array" ref="AL367">SUM(SUMIFS(tblStock[value_nzd],tblStock[sku],tblSKU[[#This Row],[sku]],tblStock[stock_type],{"Saleable","FOC"},tblStock[expiry_date],"&lt;"&amp;EDATE(SnapshotDate,6)))</f>
        <v>0</v>
      </c>
    </row>
    <row r="368" spans="1:38">
      <c r="A368" s="1" t="s">
        <v>787</v>
      </c>
      <c r="B368" s="1" t="s">
        <v>788</v>
      </c>
      <c r="C368" s="1" t="s">
        <v>781</v>
      </c>
      <c r="D368" s="1" t="s">
        <v>37</v>
      </c>
      <c r="E368" s="1" t="s">
        <v>782</v>
      </c>
      <c r="F368" s="1" t="s">
        <v>39</v>
      </c>
      <c r="G368">
        <v>24</v>
      </c>
      <c r="H368">
        <v>45.2</v>
      </c>
      <c r="I368">
        <v>30.6</v>
      </c>
      <c r="J368">
        <v>27.9</v>
      </c>
      <c r="K368">
        <v>3.8589999999999999E-2</v>
      </c>
      <c r="L368">
        <v>36.5</v>
      </c>
      <c r="M368">
        <v>2.4900000000000002</v>
      </c>
      <c r="N368">
        <v>6</v>
      </c>
      <c r="O368">
        <v>3</v>
      </c>
      <c r="P368">
        <v>18</v>
      </c>
      <c r="Q368">
        <v>98.699999999999989</v>
      </c>
      <c r="R368">
        <v>682</v>
      </c>
      <c r="S368">
        <v>0.69462000000000002</v>
      </c>
      <c r="T368">
        <v>27</v>
      </c>
      <c r="U368">
        <v>613</v>
      </c>
      <c r="V368">
        <v>1526.3700000000001</v>
      </c>
      <c r="W368" s="1" t="s">
        <v>1258</v>
      </c>
      <c r="X368" s="1" t="s">
        <v>1262</v>
      </c>
      <c r="Y368">
        <v>0.31764705882352939</v>
      </c>
      <c r="Z368">
        <v>8.3469498910675385E-2</v>
      </c>
      <c r="AA368" s="1" t="s">
        <v>1259</v>
      </c>
      <c r="AB368">
        <v>0</v>
      </c>
      <c r="AC368">
        <v>1</v>
      </c>
      <c r="AD368" s="1">
        <v>6.3099510603588911</v>
      </c>
      <c r="AE368">
        <v>2</v>
      </c>
      <c r="AF368">
        <f>COUNTIFS(tblStock[sku],tblSKU[[#This Row],[sku]])</f>
        <v>1</v>
      </c>
      <c r="AG368" cm="1">
        <f t="array" ref="AG368">SUM(SUMIFS(tblStock[qty_units],tblStock[sku],tblSKU[[#This Row],[sku]],tblStock[stock_type],{"Saleable","FOC"}))</f>
        <v>967</v>
      </c>
      <c r="AH368" s="3">
        <f>SUMIFS(tblStock[value_nzd],tblStock[sku],tblSKU[[#This Row],[sku]])</f>
        <v>2407.8300000000004</v>
      </c>
      <c r="AI368" s="4">
        <f>SUMIFS(tblStock[cbm],tblStock[sku],tblSKU[[#This Row],[sku]])</f>
        <v>1.5548554166666666</v>
      </c>
      <c r="AJ368" s="1">
        <f>SUMIFS(tblStock[positions],tblStock[sku],tblSKU[[#This Row],[sku]])</f>
        <v>3</v>
      </c>
      <c r="AK368" s="3">
        <f>SUMIFS(tblStock[value_nzd],tblStock[sku],tblSKU[[#This Row],[sku]],tblStock[stock_type],"Expired")</f>
        <v>0</v>
      </c>
      <c r="AL368" s="3" cm="1">
        <f t="array" ref="AL368">SUM(SUMIFS(tblStock[value_nzd],tblStock[sku],tblSKU[[#This Row],[sku]],tblStock[stock_type],{"Saleable","FOC"},tblStock[expiry_date],"&lt;"&amp;EDATE(SnapshotDate,6)))</f>
        <v>0</v>
      </c>
    </row>
    <row r="369" spans="1:38">
      <c r="A369" s="1" t="s">
        <v>789</v>
      </c>
      <c r="B369" s="1" t="s">
        <v>790</v>
      </c>
      <c r="C369" s="1" t="s">
        <v>781</v>
      </c>
      <c r="D369" s="1" t="s">
        <v>37</v>
      </c>
      <c r="E369" s="1" t="s">
        <v>782</v>
      </c>
      <c r="F369" s="1" t="s">
        <v>39</v>
      </c>
      <c r="G369">
        <v>24</v>
      </c>
      <c r="H369">
        <v>52.7</v>
      </c>
      <c r="I369">
        <v>30.7</v>
      </c>
      <c r="J369">
        <v>21.3</v>
      </c>
      <c r="K369">
        <v>3.4459999999999998E-2</v>
      </c>
      <c r="L369">
        <v>31.21</v>
      </c>
      <c r="M369">
        <v>5.4</v>
      </c>
      <c r="N369">
        <v>4</v>
      </c>
      <c r="O369">
        <v>5</v>
      </c>
      <c r="P369">
        <v>20</v>
      </c>
      <c r="Q369">
        <v>121.5</v>
      </c>
      <c r="R369">
        <v>649.20000000000005</v>
      </c>
      <c r="S369">
        <v>0.68919999999999992</v>
      </c>
      <c r="T369">
        <v>85</v>
      </c>
      <c r="U369">
        <v>2784</v>
      </c>
      <c r="V369">
        <v>15033.6</v>
      </c>
      <c r="W369" s="1" t="s">
        <v>1264</v>
      </c>
      <c r="X369" s="1" t="s">
        <v>1262</v>
      </c>
      <c r="Y369">
        <v>1</v>
      </c>
      <c r="Z369">
        <v>0.3411764705882353</v>
      </c>
      <c r="AA369" s="1" t="s">
        <v>1265</v>
      </c>
      <c r="AB369">
        <v>1</v>
      </c>
      <c r="AC369">
        <v>0</v>
      </c>
      <c r="AD369" s="1">
        <v>6.5172413793103452</v>
      </c>
      <c r="AE369">
        <v>2</v>
      </c>
      <c r="AF369">
        <f>COUNTIFS(tblStock[sku],tblSKU[[#This Row],[sku]])</f>
        <v>1</v>
      </c>
      <c r="AG369" cm="1">
        <f t="array" ref="AG369">SUM(SUMIFS(tblStock[qty_units],tblStock[sku],tblSKU[[#This Row],[sku]],tblStock[stock_type],{"Saleable","FOC"}))</f>
        <v>4536</v>
      </c>
      <c r="AH369" s="3">
        <f>SUMIFS(tblStock[value_nzd],tblStock[sku],tblSKU[[#This Row],[sku]])</f>
        <v>24494.400000000001</v>
      </c>
      <c r="AI369" s="4">
        <f>SUMIFS(tblStock[cbm],tblStock[sku],tblSKU[[#This Row],[sku]])</f>
        <v>6.5129399999999995</v>
      </c>
      <c r="AJ369" s="1">
        <f>SUMIFS(tblStock[positions],tblStock[sku],tblSKU[[#This Row],[sku]])</f>
        <v>10</v>
      </c>
      <c r="AK369" s="3">
        <f>SUMIFS(tblStock[value_nzd],tblStock[sku],tblSKU[[#This Row],[sku]],tblStock[stock_type],"Expired")</f>
        <v>0</v>
      </c>
      <c r="AL369" s="3" cm="1">
        <f t="array" ref="AL369">SUM(SUMIFS(tblStock[value_nzd],tblStock[sku],tblSKU[[#This Row],[sku]],tblStock[stock_type],{"Saleable","FOC"},tblStock[expiry_date],"&lt;"&amp;EDATE(SnapshotDate,6)))</f>
        <v>0</v>
      </c>
    </row>
    <row r="370" spans="1:38">
      <c r="A370" s="1" t="s">
        <v>791</v>
      </c>
      <c r="B370" s="1" t="s">
        <v>792</v>
      </c>
      <c r="C370" s="1" t="s">
        <v>781</v>
      </c>
      <c r="D370" s="1" t="s">
        <v>37</v>
      </c>
      <c r="E370" s="1" t="s">
        <v>782</v>
      </c>
      <c r="F370" s="1" t="s">
        <v>39</v>
      </c>
      <c r="G370">
        <v>20</v>
      </c>
      <c r="H370">
        <v>45.9</v>
      </c>
      <c r="I370">
        <v>31.4</v>
      </c>
      <c r="J370">
        <v>21.6</v>
      </c>
      <c r="K370">
        <v>3.1130000000000001E-2</v>
      </c>
      <c r="L370">
        <v>31.1</v>
      </c>
      <c r="M370">
        <v>3.88</v>
      </c>
      <c r="N370">
        <v>6</v>
      </c>
      <c r="O370">
        <v>3</v>
      </c>
      <c r="P370">
        <v>18</v>
      </c>
      <c r="Q370">
        <v>79.800000000000011</v>
      </c>
      <c r="R370">
        <v>584.80000000000007</v>
      </c>
      <c r="S370">
        <v>0.56034000000000006</v>
      </c>
      <c r="T370">
        <v>146</v>
      </c>
      <c r="U370">
        <v>5957</v>
      </c>
      <c r="V370">
        <v>23113.16</v>
      </c>
      <c r="W370" s="1" t="s">
        <v>1264</v>
      </c>
      <c r="X370" s="1" t="s">
        <v>1262</v>
      </c>
      <c r="Y370">
        <v>1.7176470588235293</v>
      </c>
      <c r="Z370">
        <v>0.97336601307189552</v>
      </c>
      <c r="AA370" s="1" t="s">
        <v>1265</v>
      </c>
      <c r="AB370">
        <v>1</v>
      </c>
      <c r="AC370">
        <v>0</v>
      </c>
      <c r="AD370" s="1">
        <v>3.3345643780426388</v>
      </c>
      <c r="AE370">
        <v>2</v>
      </c>
      <c r="AF370">
        <f>COUNTIFS(tblStock[sku],tblSKU[[#This Row],[sku]])</f>
        <v>3</v>
      </c>
      <c r="AG370" cm="1">
        <f t="array" ref="AG370">SUM(SUMIFS(tblStock[qty_units],tblStock[sku],tblSKU[[#This Row],[sku]],tblStock[stock_type],{"Saleable","FOC"}))</f>
        <v>4966</v>
      </c>
      <c r="AH370" s="3">
        <f>SUMIFS(tblStock[value_nzd],tblStock[sku],tblSKU[[#This Row],[sku]])</f>
        <v>19268.080000000002</v>
      </c>
      <c r="AI370" s="4">
        <f>SUMIFS(tblStock[cbm],tblStock[sku],tblSKU[[#This Row],[sku]])</f>
        <v>7.7295790000000002</v>
      </c>
      <c r="AJ370" s="1">
        <f>SUMIFS(tblStock[positions],tblStock[sku],tblSKU[[#This Row],[sku]])</f>
        <v>15</v>
      </c>
      <c r="AK370" s="3">
        <f>SUMIFS(tblStock[value_nzd],tblStock[sku],tblSKU[[#This Row],[sku]],tblStock[stock_type],"Expired")</f>
        <v>0</v>
      </c>
      <c r="AL370" s="3" cm="1">
        <f t="array" ref="AL370">SUM(SUMIFS(tblStock[value_nzd],tblStock[sku],tblSKU[[#This Row],[sku]],tblStock[stock_type],{"Saleable","FOC"},tblStock[expiry_date],"&lt;"&amp;EDATE(SnapshotDate,6)))</f>
        <v>0</v>
      </c>
    </row>
    <row r="371" spans="1:38">
      <c r="A371" s="1" t="s">
        <v>793</v>
      </c>
      <c r="B371" s="1" t="s">
        <v>794</v>
      </c>
      <c r="C371" s="1" t="s">
        <v>781</v>
      </c>
      <c r="D371" s="1" t="s">
        <v>37</v>
      </c>
      <c r="E371" s="1" t="s">
        <v>782</v>
      </c>
      <c r="F371" s="1" t="s">
        <v>39</v>
      </c>
      <c r="G371">
        <v>20</v>
      </c>
      <c r="H371">
        <v>45.4</v>
      </c>
      <c r="I371">
        <v>30.2</v>
      </c>
      <c r="J371">
        <v>27.8</v>
      </c>
      <c r="K371">
        <v>3.8120000000000001E-2</v>
      </c>
      <c r="L371">
        <v>36.840000000000003</v>
      </c>
      <c r="M371">
        <v>4.32</v>
      </c>
      <c r="N371">
        <v>6</v>
      </c>
      <c r="O371">
        <v>3</v>
      </c>
      <c r="P371">
        <v>18</v>
      </c>
      <c r="Q371">
        <v>98.4</v>
      </c>
      <c r="R371">
        <v>688.12000000000012</v>
      </c>
      <c r="S371">
        <v>0.68615999999999999</v>
      </c>
      <c r="T371">
        <v>18</v>
      </c>
      <c r="U371">
        <v>412</v>
      </c>
      <c r="V371">
        <v>1779.8400000000001</v>
      </c>
      <c r="W371" s="1" t="s">
        <v>1262</v>
      </c>
      <c r="X371" s="1" t="s">
        <v>1262</v>
      </c>
      <c r="Y371">
        <v>0.21176470588235294</v>
      </c>
      <c r="Z371">
        <v>6.7320261437908507E-2</v>
      </c>
      <c r="AA371" s="1" t="s">
        <v>1263</v>
      </c>
      <c r="AB371">
        <v>0</v>
      </c>
      <c r="AC371">
        <v>0</v>
      </c>
      <c r="AD371" s="1">
        <v>6.5242718446601939</v>
      </c>
      <c r="AE371">
        <v>2</v>
      </c>
      <c r="AF371">
        <f>COUNTIFS(tblStock[sku],tblSKU[[#This Row],[sku]])</f>
        <v>1</v>
      </c>
      <c r="AG371" cm="1">
        <f t="array" ref="AG371">SUM(SUMIFS(tblStock[qty_units],tblStock[sku],tblSKU[[#This Row],[sku]],tblStock[stock_type],{"Saleable","FOC"}))</f>
        <v>672</v>
      </c>
      <c r="AH371" s="3">
        <f>SUMIFS(tblStock[value_nzd],tblStock[sku],tblSKU[[#This Row],[sku]])</f>
        <v>2903.04</v>
      </c>
      <c r="AI371" s="4">
        <f>SUMIFS(tblStock[cbm],tblStock[sku],tblSKU[[#This Row],[sku]])</f>
        <v>1.2808320000000002</v>
      </c>
      <c r="AJ371" s="1">
        <f>SUMIFS(tblStock[positions],tblStock[sku],tblSKU[[#This Row],[sku]])</f>
        <v>2</v>
      </c>
      <c r="AK371" s="3">
        <f>SUMIFS(tblStock[value_nzd],tblStock[sku],tblSKU[[#This Row],[sku]],tblStock[stock_type],"Expired")</f>
        <v>0</v>
      </c>
      <c r="AL371" s="3" cm="1">
        <f t="array" ref="AL371">SUM(SUMIFS(tblStock[value_nzd],tblStock[sku],tblSKU[[#This Row],[sku]],tblStock[stock_type],{"Saleable","FOC"},tblStock[expiry_date],"&lt;"&amp;EDATE(SnapshotDate,6)))</f>
        <v>0</v>
      </c>
    </row>
    <row r="372" spans="1:38">
      <c r="A372" s="1" t="s">
        <v>795</v>
      </c>
      <c r="B372" s="1" t="s">
        <v>796</v>
      </c>
      <c r="C372" s="1" t="s">
        <v>781</v>
      </c>
      <c r="D372" s="1" t="s">
        <v>37</v>
      </c>
      <c r="E372" s="1" t="s">
        <v>782</v>
      </c>
      <c r="F372" s="1" t="s">
        <v>39</v>
      </c>
      <c r="G372">
        <v>12</v>
      </c>
      <c r="H372">
        <v>48.8</v>
      </c>
      <c r="I372">
        <v>32.6</v>
      </c>
      <c r="J372">
        <v>25.9</v>
      </c>
      <c r="K372">
        <v>4.1200000000000001E-2</v>
      </c>
      <c r="L372">
        <v>36.92</v>
      </c>
      <c r="M372">
        <v>4.91</v>
      </c>
      <c r="N372">
        <v>4</v>
      </c>
      <c r="O372">
        <v>4</v>
      </c>
      <c r="P372">
        <v>16</v>
      </c>
      <c r="Q372">
        <v>118.6</v>
      </c>
      <c r="R372">
        <v>615.72</v>
      </c>
      <c r="S372">
        <v>0.65920000000000001</v>
      </c>
      <c r="T372">
        <v>57</v>
      </c>
      <c r="U372">
        <v>1197</v>
      </c>
      <c r="V372">
        <v>5877.27</v>
      </c>
      <c r="W372" s="1" t="s">
        <v>1258</v>
      </c>
      <c r="X372" s="1" t="s">
        <v>1262</v>
      </c>
      <c r="Y372">
        <v>0.6705882352941176</v>
      </c>
      <c r="Z372">
        <v>0.36672794117647062</v>
      </c>
      <c r="AA372" s="1" t="s">
        <v>1259</v>
      </c>
      <c r="AB372">
        <v>0</v>
      </c>
      <c r="AC372">
        <v>1</v>
      </c>
      <c r="AD372" s="1">
        <v>10.990810359231412</v>
      </c>
      <c r="AE372">
        <v>2</v>
      </c>
      <c r="AF372">
        <f>COUNTIFS(tblStock[sku],tblSKU[[#This Row],[sku]])</f>
        <v>1</v>
      </c>
      <c r="AG372" cm="1">
        <f t="array" ref="AG372">SUM(SUMIFS(tblStock[qty_units],tblStock[sku],tblSKU[[#This Row],[sku]],tblStock[stock_type],{"Saleable","FOC"}))</f>
        <v>3289</v>
      </c>
      <c r="AH372" s="3">
        <f>SUMIFS(tblStock[value_nzd],tblStock[sku],tblSKU[[#This Row],[sku]])</f>
        <v>16148.99</v>
      </c>
      <c r="AI372" s="4">
        <f>SUMIFS(tblStock[cbm],tblStock[sku],tblSKU[[#This Row],[sku]])</f>
        <v>11.292233333333332</v>
      </c>
      <c r="AJ372" s="1">
        <f>SUMIFS(tblStock[positions],tblStock[sku],tblSKU[[#This Row],[sku]])</f>
        <v>18</v>
      </c>
      <c r="AK372" s="3">
        <f>SUMIFS(tblStock[value_nzd],tblStock[sku],tblSKU[[#This Row],[sku]],tblStock[stock_type],"Expired")</f>
        <v>0</v>
      </c>
      <c r="AL372" s="3" cm="1">
        <f t="array" ref="AL372">SUM(SUMIFS(tblStock[value_nzd],tblStock[sku],tblSKU[[#This Row],[sku]],tblStock[stock_type],{"Saleable","FOC"},tblStock[expiry_date],"&lt;"&amp;EDATE(SnapshotDate,6)))</f>
        <v>0</v>
      </c>
    </row>
    <row r="373" spans="1:38">
      <c r="A373" s="1" t="s">
        <v>797</v>
      </c>
      <c r="B373" s="1" t="s">
        <v>798</v>
      </c>
      <c r="C373" s="1" t="s">
        <v>781</v>
      </c>
      <c r="D373" s="1" t="s">
        <v>37</v>
      </c>
      <c r="E373" s="1" t="s">
        <v>782</v>
      </c>
      <c r="F373" s="1" t="s">
        <v>39</v>
      </c>
      <c r="G373">
        <v>10</v>
      </c>
      <c r="H373">
        <v>45.4</v>
      </c>
      <c r="I373">
        <v>37.299999999999997</v>
      </c>
      <c r="J373">
        <v>24.1</v>
      </c>
      <c r="K373">
        <v>4.0809999999999999E-2</v>
      </c>
      <c r="L373">
        <v>40.35</v>
      </c>
      <c r="M373">
        <v>5.5</v>
      </c>
      <c r="N373">
        <v>6</v>
      </c>
      <c r="O373">
        <v>2</v>
      </c>
      <c r="P373">
        <v>12</v>
      </c>
      <c r="Q373">
        <v>63.2</v>
      </c>
      <c r="R373">
        <v>509.20000000000005</v>
      </c>
      <c r="S373">
        <v>0.48971999999999999</v>
      </c>
      <c r="T373">
        <v>17</v>
      </c>
      <c r="U373">
        <v>779</v>
      </c>
      <c r="V373">
        <v>4284.5</v>
      </c>
      <c r="W373" s="1" t="s">
        <v>1262</v>
      </c>
      <c r="X373" s="1" t="s">
        <v>1262</v>
      </c>
      <c r="Y373">
        <v>0.2</v>
      </c>
      <c r="Z373">
        <v>0.38186274509803919</v>
      </c>
      <c r="AA373" s="1" t="s">
        <v>1263</v>
      </c>
      <c r="AB373">
        <v>0</v>
      </c>
      <c r="AC373">
        <v>0</v>
      </c>
      <c r="AD373" s="1">
        <v>6.1976893453145054</v>
      </c>
      <c r="AE373">
        <v>2</v>
      </c>
      <c r="AF373">
        <f>COUNTIFS(tblStock[sku],tblSKU[[#This Row],[sku]])</f>
        <v>3</v>
      </c>
      <c r="AG373" cm="1">
        <f t="array" ref="AG373">SUM(SUMIFS(tblStock[qty_units],tblStock[sku],tblSKU[[#This Row],[sku]],tblStock[stock_type],{"Saleable","FOC"}))</f>
        <v>1207</v>
      </c>
      <c r="AH373" s="3">
        <f>SUMIFS(tblStock[value_nzd],tblStock[sku],tblSKU[[#This Row],[sku]])</f>
        <v>6770.5</v>
      </c>
      <c r="AI373" s="4">
        <f>SUMIFS(tblStock[cbm],tblStock[sku],tblSKU[[#This Row],[sku]])</f>
        <v>5.0237109999999996</v>
      </c>
      <c r="AJ373" s="1">
        <f>SUMIFS(tblStock[positions],tblStock[sku],tblSKU[[#This Row],[sku]])</f>
        <v>11</v>
      </c>
      <c r="AK373" s="3">
        <f>SUMIFS(tblStock[value_nzd],tblStock[sku],tblSKU[[#This Row],[sku]],tblStock[stock_type],"Expired")</f>
        <v>0</v>
      </c>
      <c r="AL373" s="3" cm="1">
        <f t="array" ref="AL373">SUM(SUMIFS(tblStock[value_nzd],tblStock[sku],tblSKU[[#This Row],[sku]],tblStock[stock_type],{"Saleable","FOC"},tblStock[expiry_date],"&lt;"&amp;EDATE(SnapshotDate,6)))</f>
        <v>0</v>
      </c>
    </row>
    <row r="374" spans="1:38">
      <c r="A374" s="1" t="s">
        <v>799</v>
      </c>
      <c r="B374" s="1" t="s">
        <v>800</v>
      </c>
      <c r="C374" s="1" t="s">
        <v>781</v>
      </c>
      <c r="D374" s="1" t="s">
        <v>37</v>
      </c>
      <c r="E374" s="1" t="s">
        <v>782</v>
      </c>
      <c r="F374" s="1" t="s">
        <v>39</v>
      </c>
      <c r="G374">
        <v>10</v>
      </c>
      <c r="H374">
        <v>50.2</v>
      </c>
      <c r="I374">
        <v>30.5</v>
      </c>
      <c r="J374">
        <v>28.1</v>
      </c>
      <c r="K374">
        <v>4.3020000000000003E-2</v>
      </c>
      <c r="L374">
        <v>36.840000000000003</v>
      </c>
      <c r="M374">
        <v>3.24</v>
      </c>
      <c r="N374">
        <v>5</v>
      </c>
      <c r="O374">
        <v>3</v>
      </c>
      <c r="P374">
        <v>15</v>
      </c>
      <c r="Q374">
        <v>99.300000000000011</v>
      </c>
      <c r="R374">
        <v>577.6</v>
      </c>
      <c r="S374">
        <v>0.64529999999999998</v>
      </c>
      <c r="T374">
        <v>51</v>
      </c>
      <c r="U374">
        <v>2010</v>
      </c>
      <c r="V374">
        <v>6512.4000000000015</v>
      </c>
      <c r="W374" s="1" t="s">
        <v>1258</v>
      </c>
      <c r="X374" s="1" t="s">
        <v>1262</v>
      </c>
      <c r="Y374">
        <v>0.6</v>
      </c>
      <c r="Z374">
        <v>0.78823529411764715</v>
      </c>
      <c r="AA374" s="1" t="s">
        <v>1259</v>
      </c>
      <c r="AB374">
        <v>0</v>
      </c>
      <c r="AC374">
        <v>1</v>
      </c>
      <c r="AD374" s="1">
        <v>3.0009950248756221</v>
      </c>
      <c r="AE374">
        <v>2</v>
      </c>
      <c r="AF374">
        <f>COUNTIFS(tblStock[sku],tblSKU[[#This Row],[sku]])</f>
        <v>2</v>
      </c>
      <c r="AG374" cm="1">
        <f t="array" ref="AG374">SUM(SUMIFS(tblStock[qty_units],tblStock[sku],tblSKU[[#This Row],[sku]],tblStock[stock_type],{"Saleable","FOC"}))</f>
        <v>1508</v>
      </c>
      <c r="AH374" s="3">
        <f>SUMIFS(tblStock[value_nzd],tblStock[sku],tblSKU[[#This Row],[sku]])</f>
        <v>5031.72</v>
      </c>
      <c r="AI374" s="4">
        <f>SUMIFS(tblStock[cbm],tblStock[sku],tblSKU[[#This Row],[sku]])</f>
        <v>6.6810060000000009</v>
      </c>
      <c r="AJ374" s="1">
        <f>SUMIFS(tblStock[positions],tblStock[sku],tblSKU[[#This Row],[sku]])</f>
        <v>11</v>
      </c>
      <c r="AK374" s="3">
        <f>SUMIFS(tblStock[value_nzd],tblStock[sku],tblSKU[[#This Row],[sku]],tblStock[stock_type],"Expired")</f>
        <v>0</v>
      </c>
      <c r="AL374" s="3" cm="1">
        <f t="array" ref="AL374">SUM(SUMIFS(tblStock[value_nzd],tblStock[sku],tblSKU[[#This Row],[sku]],tblStock[stock_type],{"Saleable","FOC"},tblStock[expiry_date],"&lt;"&amp;EDATE(SnapshotDate,6)))</f>
        <v>0</v>
      </c>
    </row>
    <row r="375" spans="1:38">
      <c r="A375" s="1" t="s">
        <v>801</v>
      </c>
      <c r="B375" s="1" t="s">
        <v>802</v>
      </c>
      <c r="C375" s="1" t="s">
        <v>781</v>
      </c>
      <c r="D375" s="1" t="s">
        <v>37</v>
      </c>
      <c r="E375" s="1" t="s">
        <v>782</v>
      </c>
      <c r="F375" s="1" t="s">
        <v>39</v>
      </c>
      <c r="G375">
        <v>20</v>
      </c>
      <c r="H375">
        <v>41.5</v>
      </c>
      <c r="I375">
        <v>34.5</v>
      </c>
      <c r="J375">
        <v>20.6</v>
      </c>
      <c r="K375">
        <v>2.9489999999999999E-2</v>
      </c>
      <c r="L375">
        <v>27.86</v>
      </c>
      <c r="M375">
        <v>2.29</v>
      </c>
      <c r="N375">
        <v>6</v>
      </c>
      <c r="O375">
        <v>4</v>
      </c>
      <c r="P375">
        <v>24</v>
      </c>
      <c r="Q375">
        <v>97.4</v>
      </c>
      <c r="R375">
        <v>693.64</v>
      </c>
      <c r="S375">
        <v>0.70775999999999994</v>
      </c>
      <c r="T375">
        <v>174</v>
      </c>
      <c r="U375">
        <v>6090</v>
      </c>
      <c r="V375">
        <v>13946.1</v>
      </c>
      <c r="W375" s="1" t="s">
        <v>1264</v>
      </c>
      <c r="X375" s="1" t="s">
        <v>1262</v>
      </c>
      <c r="Y375">
        <v>2.0470588235294116</v>
      </c>
      <c r="Z375">
        <v>0.74632352941176483</v>
      </c>
      <c r="AA375" s="1" t="s">
        <v>1265</v>
      </c>
      <c r="AB375">
        <v>1</v>
      </c>
      <c r="AC375">
        <v>0</v>
      </c>
      <c r="AD375" s="1">
        <v>5.0423645320197048</v>
      </c>
      <c r="AE375">
        <v>2</v>
      </c>
      <c r="AF375">
        <f>COUNTIFS(tblStock[sku],tblSKU[[#This Row],[sku]])</f>
        <v>4</v>
      </c>
      <c r="AG375" cm="1">
        <f t="array" ref="AG375">SUM(SUMIFS(tblStock[qty_units],tblStock[sku],tblSKU[[#This Row],[sku]],tblStock[stock_type],{"Saleable","FOC"}))</f>
        <v>7677</v>
      </c>
      <c r="AH375" s="3">
        <f>SUMIFS(tblStock[value_nzd],tblStock[sku],tblSKU[[#This Row],[sku]])</f>
        <v>17580.330000000002</v>
      </c>
      <c r="AI375" s="4">
        <f>SUMIFS(tblStock[cbm],tblStock[sku],tblSKU[[#This Row],[sku]])</f>
        <v>11.319736499999999</v>
      </c>
      <c r="AJ375" s="1">
        <f>SUMIFS(tblStock[positions],tblStock[sku],tblSKU[[#This Row],[sku]])</f>
        <v>18</v>
      </c>
      <c r="AK375" s="3">
        <f>SUMIFS(tblStock[value_nzd],tblStock[sku],tblSKU[[#This Row],[sku]],tblStock[stock_type],"Expired")</f>
        <v>0</v>
      </c>
      <c r="AL375" s="3" cm="1">
        <f t="array" ref="AL375">SUM(SUMIFS(tblStock[value_nzd],tblStock[sku],tblSKU[[#This Row],[sku]],tblStock[stock_type],{"Saleable","FOC"},tblStock[expiry_date],"&lt;"&amp;EDATE(SnapshotDate,6)))</f>
        <v>0</v>
      </c>
    </row>
    <row r="376" spans="1:38">
      <c r="A376" s="1" t="s">
        <v>803</v>
      </c>
      <c r="B376" s="1" t="s">
        <v>804</v>
      </c>
      <c r="C376" s="1" t="s">
        <v>781</v>
      </c>
      <c r="D376" s="1" t="s">
        <v>37</v>
      </c>
      <c r="E376" s="1" t="s">
        <v>782</v>
      </c>
      <c r="F376" s="1" t="s">
        <v>39</v>
      </c>
      <c r="G376">
        <v>10</v>
      </c>
      <c r="H376">
        <v>42.6</v>
      </c>
      <c r="I376">
        <v>33.6</v>
      </c>
      <c r="J376">
        <v>21.8</v>
      </c>
      <c r="K376">
        <v>3.1199999999999999E-2</v>
      </c>
      <c r="L376">
        <v>28.69</v>
      </c>
      <c r="M376">
        <v>3.92</v>
      </c>
      <c r="N376">
        <v>6</v>
      </c>
      <c r="O376">
        <v>3</v>
      </c>
      <c r="P376">
        <v>18</v>
      </c>
      <c r="Q376">
        <v>80.400000000000006</v>
      </c>
      <c r="R376">
        <v>541.42000000000007</v>
      </c>
      <c r="S376">
        <v>0.56159999999999999</v>
      </c>
      <c r="T376">
        <v>114</v>
      </c>
      <c r="U376">
        <v>4009</v>
      </c>
      <c r="V376">
        <v>15715.279999999999</v>
      </c>
      <c r="W376" s="1" t="s">
        <v>1264</v>
      </c>
      <c r="X376" s="1" t="s">
        <v>1262</v>
      </c>
      <c r="Y376">
        <v>1.3411764705882352</v>
      </c>
      <c r="Z376">
        <v>1.3101307189542482</v>
      </c>
      <c r="AA376" s="1" t="s">
        <v>1265</v>
      </c>
      <c r="AB376">
        <v>1</v>
      </c>
      <c r="AC376">
        <v>0</v>
      </c>
      <c r="AD376" s="1">
        <v>3.3544524819156898</v>
      </c>
      <c r="AE376">
        <v>2</v>
      </c>
      <c r="AF376">
        <f>COUNTIFS(tblStock[sku],tblSKU[[#This Row],[sku]])</f>
        <v>1</v>
      </c>
      <c r="AG376" cm="1">
        <f t="array" ref="AG376">SUM(SUMIFS(tblStock[qty_units],tblStock[sku],tblSKU[[#This Row],[sku]],tblStock[stock_type],{"Saleable","FOC"}))</f>
        <v>3362</v>
      </c>
      <c r="AH376" s="3">
        <f>SUMIFS(tblStock[value_nzd],tblStock[sku],tblSKU[[#This Row],[sku]])</f>
        <v>13179.039999999999</v>
      </c>
      <c r="AI376" s="4">
        <f>SUMIFS(tblStock[cbm],tblStock[sku],tblSKU[[#This Row],[sku]])</f>
        <v>10.489439999999998</v>
      </c>
      <c r="AJ376" s="1">
        <f>SUMIFS(tblStock[positions],tblStock[sku],tblSKU[[#This Row],[sku]])</f>
        <v>19</v>
      </c>
      <c r="AK376" s="3">
        <f>SUMIFS(tblStock[value_nzd],tblStock[sku],tblSKU[[#This Row],[sku]],tblStock[stock_type],"Expired")</f>
        <v>0</v>
      </c>
      <c r="AL376" s="3" cm="1">
        <f t="array" ref="AL376">SUM(SUMIFS(tblStock[value_nzd],tblStock[sku],tblSKU[[#This Row],[sku]],tblStock[stock_type],{"Saleable","FOC"},tblStock[expiry_date],"&lt;"&amp;EDATE(SnapshotDate,6)))</f>
        <v>0</v>
      </c>
    </row>
    <row r="377" spans="1:38">
      <c r="A377" s="1" t="s">
        <v>805</v>
      </c>
      <c r="B377" s="1" t="s">
        <v>806</v>
      </c>
      <c r="C377" s="1" t="s">
        <v>781</v>
      </c>
      <c r="D377" s="1" t="s">
        <v>37</v>
      </c>
      <c r="E377" s="1" t="s">
        <v>782</v>
      </c>
      <c r="F377" s="1" t="s">
        <v>39</v>
      </c>
      <c r="G377">
        <v>24</v>
      </c>
      <c r="H377">
        <v>57</v>
      </c>
      <c r="I377">
        <v>39.9</v>
      </c>
      <c r="J377">
        <v>20.7</v>
      </c>
      <c r="K377">
        <v>4.7079999999999997E-2</v>
      </c>
      <c r="L377">
        <v>42.85</v>
      </c>
      <c r="M377">
        <v>1.54</v>
      </c>
      <c r="N377">
        <v>3</v>
      </c>
      <c r="O377">
        <v>5</v>
      </c>
      <c r="P377">
        <v>15</v>
      </c>
      <c r="Q377">
        <v>118.5</v>
      </c>
      <c r="R377">
        <v>667.75</v>
      </c>
      <c r="S377">
        <v>0.70619999999999994</v>
      </c>
      <c r="T377">
        <v>3</v>
      </c>
      <c r="U377">
        <v>167</v>
      </c>
      <c r="V377">
        <v>257.18</v>
      </c>
      <c r="W377" s="1" t="s">
        <v>1262</v>
      </c>
      <c r="X377" s="1" t="s">
        <v>1262</v>
      </c>
      <c r="Y377">
        <v>3.5294117647058823E-2</v>
      </c>
      <c r="Z377">
        <v>2.7287581699346405E-2</v>
      </c>
      <c r="AA377" s="1" t="s">
        <v>1263</v>
      </c>
      <c r="AB377">
        <v>0</v>
      </c>
      <c r="AC377">
        <v>0</v>
      </c>
      <c r="AD377" s="1">
        <v>17.580838323353294</v>
      </c>
      <c r="AE377">
        <v>2</v>
      </c>
      <c r="AF377">
        <f>COUNTIFS(tblStock[sku],tblSKU[[#This Row],[sku]])</f>
        <v>2</v>
      </c>
      <c r="AG377" cm="1">
        <f t="array" ref="AG377">SUM(SUMIFS(tblStock[qty_units],tblStock[sku],tblSKU[[#This Row],[sku]],tblStock[stock_type],{"Saleable","FOC"}))</f>
        <v>734</v>
      </c>
      <c r="AH377" s="3">
        <f>SUMIFS(tblStock[value_nzd],tblStock[sku],tblSKU[[#This Row],[sku]])</f>
        <v>1130.3599999999999</v>
      </c>
      <c r="AI377" s="4">
        <f>SUMIFS(tblStock[cbm],tblStock[sku],tblSKU[[#This Row],[sku]])</f>
        <v>1.4398633333333333</v>
      </c>
      <c r="AJ377" s="1">
        <f>SUMIFS(tblStock[positions],tblStock[sku],tblSKU[[#This Row],[sku]])</f>
        <v>2</v>
      </c>
      <c r="AK377" s="3">
        <f>SUMIFS(tblStock[value_nzd],tblStock[sku],tblSKU[[#This Row],[sku]],tblStock[stock_type],"Expired")</f>
        <v>0</v>
      </c>
      <c r="AL377" s="3" cm="1">
        <f t="array" ref="AL377">SUM(SUMIFS(tblStock[value_nzd],tblStock[sku],tblSKU[[#This Row],[sku]],tblStock[stock_type],{"Saleable","FOC"},tblStock[expiry_date],"&lt;"&amp;EDATE(SnapshotDate,6)))</f>
        <v>0</v>
      </c>
    </row>
    <row r="378" spans="1:38">
      <c r="A378" s="1" t="s">
        <v>807</v>
      </c>
      <c r="B378" s="1" t="s">
        <v>808</v>
      </c>
      <c r="C378" s="1" t="s">
        <v>781</v>
      </c>
      <c r="D378" s="1" t="s">
        <v>37</v>
      </c>
      <c r="E378" s="1" t="s">
        <v>782</v>
      </c>
      <c r="F378" s="1" t="s">
        <v>39</v>
      </c>
      <c r="G378">
        <v>20</v>
      </c>
      <c r="H378">
        <v>58.7</v>
      </c>
      <c r="I378">
        <v>33.9</v>
      </c>
      <c r="J378">
        <v>25.1</v>
      </c>
      <c r="K378">
        <v>4.9950000000000001E-2</v>
      </c>
      <c r="L378">
        <v>48.91</v>
      </c>
      <c r="M378">
        <v>1.79</v>
      </c>
      <c r="N378">
        <v>4</v>
      </c>
      <c r="O378">
        <v>3</v>
      </c>
      <c r="P378">
        <v>12</v>
      </c>
      <c r="Q378">
        <v>90.300000000000011</v>
      </c>
      <c r="R378">
        <v>611.91999999999996</v>
      </c>
      <c r="S378">
        <v>0.59940000000000004</v>
      </c>
      <c r="T378">
        <v>11</v>
      </c>
      <c r="U378">
        <v>503</v>
      </c>
      <c r="V378">
        <v>900.37</v>
      </c>
      <c r="W378" s="1" t="s">
        <v>1262</v>
      </c>
      <c r="X378" s="1" t="s">
        <v>1262</v>
      </c>
      <c r="Y378">
        <v>0.12941176470588237</v>
      </c>
      <c r="Z378">
        <v>0.12328431372549019</v>
      </c>
      <c r="AA378" s="1" t="s">
        <v>1263</v>
      </c>
      <c r="AB378">
        <v>0</v>
      </c>
      <c r="AC378">
        <v>0</v>
      </c>
      <c r="AD378" s="1">
        <v>4.8827037773359843</v>
      </c>
      <c r="AE378">
        <v>2</v>
      </c>
      <c r="AF378">
        <f>COUNTIFS(tblStock[sku],tblSKU[[#This Row],[sku]])</f>
        <v>3</v>
      </c>
      <c r="AG378" cm="1">
        <f t="array" ref="AG378">SUM(SUMIFS(tblStock[qty_units],tblStock[sku],tblSKU[[#This Row],[sku]],tblStock[stock_type],{"Saleable","FOC"}))</f>
        <v>614</v>
      </c>
      <c r="AH378" s="3">
        <f>SUMIFS(tblStock[value_nzd],tblStock[sku],tblSKU[[#This Row],[sku]])</f>
        <v>1099.06</v>
      </c>
      <c r="AI378" s="4">
        <f>SUMIFS(tblStock[cbm],tblStock[sku],tblSKU[[#This Row],[sku]])</f>
        <v>1.5334650000000001</v>
      </c>
      <c r="AJ378" s="1">
        <f>SUMIFS(tblStock[positions],tblStock[sku],tblSKU[[#This Row],[sku]])</f>
        <v>3</v>
      </c>
      <c r="AK378" s="3">
        <f>SUMIFS(tblStock[value_nzd],tblStock[sku],tblSKU[[#This Row],[sku]],tblStock[stock_type],"Expired")</f>
        <v>0</v>
      </c>
      <c r="AL378" s="3" cm="1">
        <f t="array" ref="AL378">SUM(SUMIFS(tblStock[value_nzd],tblStock[sku],tblSKU[[#This Row],[sku]],tblStock[stock_type],{"Saleable","FOC"},tblStock[expiry_date],"&lt;"&amp;EDATE(SnapshotDate,6)))</f>
        <v>0</v>
      </c>
    </row>
    <row r="379" spans="1:38">
      <c r="A379" s="1" t="s">
        <v>809</v>
      </c>
      <c r="B379" s="1" t="s">
        <v>810</v>
      </c>
      <c r="C379" s="1" t="s">
        <v>781</v>
      </c>
      <c r="D379" s="1" t="s">
        <v>37</v>
      </c>
      <c r="E379" s="1" t="s">
        <v>782</v>
      </c>
      <c r="F379" s="1" t="s">
        <v>39</v>
      </c>
      <c r="G379">
        <v>20</v>
      </c>
      <c r="H379">
        <v>40.6</v>
      </c>
      <c r="I379">
        <v>31.8</v>
      </c>
      <c r="J379">
        <v>26.3</v>
      </c>
      <c r="K379">
        <v>3.3959999999999997E-2</v>
      </c>
      <c r="L379">
        <v>31.6</v>
      </c>
      <c r="M379">
        <v>5.56</v>
      </c>
      <c r="N379">
        <v>5</v>
      </c>
      <c r="O379">
        <v>4</v>
      </c>
      <c r="P379">
        <v>20</v>
      </c>
      <c r="Q379">
        <v>120.2</v>
      </c>
      <c r="R379">
        <v>657</v>
      </c>
      <c r="S379">
        <v>0.67919999999999991</v>
      </c>
      <c r="T379">
        <v>102</v>
      </c>
      <c r="U379">
        <v>4500</v>
      </c>
      <c r="V379">
        <v>25020</v>
      </c>
      <c r="W379" s="1" t="s">
        <v>1264</v>
      </c>
      <c r="X379" s="1" t="s">
        <v>1262</v>
      </c>
      <c r="Y379">
        <v>1.2</v>
      </c>
      <c r="Z379">
        <v>0.66176470588235292</v>
      </c>
      <c r="AA379" s="1" t="s">
        <v>1265</v>
      </c>
      <c r="AB379">
        <v>1</v>
      </c>
      <c r="AC379">
        <v>0</v>
      </c>
      <c r="AD379" s="1">
        <v>3.080888888888889</v>
      </c>
      <c r="AE379">
        <v>2</v>
      </c>
      <c r="AF379">
        <f>COUNTIFS(tblStock[sku],tblSKU[[#This Row],[sku]])</f>
        <v>1</v>
      </c>
      <c r="AG379" cm="1">
        <f t="array" ref="AG379">SUM(SUMIFS(tblStock[qty_units],tblStock[sku],tblSKU[[#This Row],[sku]],tblStock[stock_type],{"Saleable","FOC"}))</f>
        <v>3466</v>
      </c>
      <c r="AH379" s="3">
        <f>SUMIFS(tblStock[value_nzd],tblStock[sku],tblSKU[[#This Row],[sku]])</f>
        <v>19270.96</v>
      </c>
      <c r="AI379" s="4">
        <f>SUMIFS(tblStock[cbm],tblStock[sku],tblSKU[[#This Row],[sku]])</f>
        <v>5.8852679999999999</v>
      </c>
      <c r="AJ379" s="1">
        <f>SUMIFS(tblStock[positions],tblStock[sku],tblSKU[[#This Row],[sku]])</f>
        <v>9</v>
      </c>
      <c r="AK379" s="3">
        <f>SUMIFS(tblStock[value_nzd],tblStock[sku],tblSKU[[#This Row],[sku]],tblStock[stock_type],"Expired")</f>
        <v>0</v>
      </c>
      <c r="AL379" s="3" cm="1">
        <f t="array" ref="AL379">SUM(SUMIFS(tblStock[value_nzd],tblStock[sku],tblSKU[[#This Row],[sku]],tblStock[stock_type],{"Saleable","FOC"},tblStock[expiry_date],"&lt;"&amp;EDATE(SnapshotDate,6)))</f>
        <v>0</v>
      </c>
    </row>
    <row r="380" spans="1:38">
      <c r="A380" s="1" t="s">
        <v>811</v>
      </c>
      <c r="B380" s="1" t="s">
        <v>812</v>
      </c>
      <c r="C380" s="1" t="s">
        <v>781</v>
      </c>
      <c r="D380" s="1" t="s">
        <v>37</v>
      </c>
      <c r="E380" s="1" t="s">
        <v>782</v>
      </c>
      <c r="F380" s="1" t="s">
        <v>39</v>
      </c>
      <c r="G380">
        <v>10</v>
      </c>
      <c r="H380">
        <v>43.7</v>
      </c>
      <c r="I380">
        <v>34.299999999999997</v>
      </c>
      <c r="J380">
        <v>28.4</v>
      </c>
      <c r="K380">
        <v>4.2569999999999997E-2</v>
      </c>
      <c r="L380">
        <v>40.950000000000003</v>
      </c>
      <c r="M380">
        <v>3.45</v>
      </c>
      <c r="N380">
        <v>6</v>
      </c>
      <c r="O380">
        <v>2</v>
      </c>
      <c r="P380">
        <v>12</v>
      </c>
      <c r="Q380">
        <v>71.8</v>
      </c>
      <c r="R380">
        <v>516.40000000000009</v>
      </c>
      <c r="S380">
        <v>0.51083999999999996</v>
      </c>
      <c r="T380">
        <v>3</v>
      </c>
      <c r="U380">
        <v>205</v>
      </c>
      <c r="V380">
        <v>707.25</v>
      </c>
      <c r="W380" s="1" t="s">
        <v>1262</v>
      </c>
      <c r="X380" s="1" t="s">
        <v>1262</v>
      </c>
      <c r="Y380">
        <v>3.5294117647058823E-2</v>
      </c>
      <c r="Z380">
        <v>0.10049019607843136</v>
      </c>
      <c r="AA380" s="1" t="s">
        <v>1263</v>
      </c>
      <c r="AB380">
        <v>0</v>
      </c>
      <c r="AC380">
        <v>0</v>
      </c>
      <c r="AD380" s="1">
        <v>12.429268292682927</v>
      </c>
      <c r="AE380">
        <v>2</v>
      </c>
      <c r="AF380">
        <f>COUNTIFS(tblStock[sku],tblSKU[[#This Row],[sku]])</f>
        <v>3</v>
      </c>
      <c r="AG380" cm="1">
        <f t="array" ref="AG380">SUM(SUMIFS(tblStock[qty_units],tblStock[sku],tblSKU[[#This Row],[sku]],tblStock[stock_type],{"Saleable","FOC"}))</f>
        <v>637</v>
      </c>
      <c r="AH380" s="3">
        <f>SUMIFS(tblStock[value_nzd],tblStock[sku],tblSKU[[#This Row],[sku]])</f>
        <v>2197.65</v>
      </c>
      <c r="AI380" s="4">
        <f>SUMIFS(tblStock[cbm],tblStock[sku],tblSKU[[#This Row],[sku]])</f>
        <v>2.7117089999999999</v>
      </c>
      <c r="AJ380" s="1">
        <f>SUMIFS(tblStock[positions],tblStock[sku],tblSKU[[#This Row],[sku]])</f>
        <v>6</v>
      </c>
      <c r="AK380" s="3">
        <f>SUMIFS(tblStock[value_nzd],tblStock[sku],tblSKU[[#This Row],[sku]],tblStock[stock_type],"Expired")</f>
        <v>0</v>
      </c>
      <c r="AL380" s="3" cm="1">
        <f t="array" ref="AL380">SUM(SUMIFS(tblStock[value_nzd],tblStock[sku],tblSKU[[#This Row],[sku]],tblStock[stock_type],{"Saleable","FOC"},tblStock[expiry_date],"&lt;"&amp;EDATE(SnapshotDate,6)))</f>
        <v>0</v>
      </c>
    </row>
    <row r="381" spans="1:38">
      <c r="A381" s="1" t="s">
        <v>813</v>
      </c>
      <c r="B381" s="1" t="s">
        <v>814</v>
      </c>
      <c r="C381" s="1" t="s">
        <v>781</v>
      </c>
      <c r="D381" s="1" t="s">
        <v>37</v>
      </c>
      <c r="E381" s="1" t="s">
        <v>782</v>
      </c>
      <c r="F381" s="1" t="s">
        <v>39</v>
      </c>
      <c r="G381">
        <v>10</v>
      </c>
      <c r="H381">
        <v>55</v>
      </c>
      <c r="I381">
        <v>31.3</v>
      </c>
      <c r="J381">
        <v>21.2</v>
      </c>
      <c r="K381">
        <v>3.6499999999999998E-2</v>
      </c>
      <c r="L381">
        <v>33.54</v>
      </c>
      <c r="M381">
        <v>3.95</v>
      </c>
      <c r="N381">
        <v>6</v>
      </c>
      <c r="O381">
        <v>3</v>
      </c>
      <c r="P381">
        <v>18</v>
      </c>
      <c r="Q381">
        <v>78.599999999999994</v>
      </c>
      <c r="R381">
        <v>628.72</v>
      </c>
      <c r="S381">
        <v>0.65699999999999992</v>
      </c>
      <c r="T381">
        <v>34</v>
      </c>
      <c r="U381">
        <v>1186</v>
      </c>
      <c r="V381">
        <v>4684.7</v>
      </c>
      <c r="W381" s="1" t="s">
        <v>1258</v>
      </c>
      <c r="X381" s="1" t="s">
        <v>1262</v>
      </c>
      <c r="Y381">
        <v>0.4</v>
      </c>
      <c r="Z381">
        <v>0.38758169934640524</v>
      </c>
      <c r="AA381" s="1" t="s">
        <v>1259</v>
      </c>
      <c r="AB381">
        <v>0</v>
      </c>
      <c r="AC381">
        <v>1</v>
      </c>
      <c r="AD381" s="1">
        <v>6.3507588532883643</v>
      </c>
      <c r="AE381">
        <v>2</v>
      </c>
      <c r="AF381">
        <f>COUNTIFS(tblStock[sku],tblSKU[[#This Row],[sku]])</f>
        <v>1</v>
      </c>
      <c r="AG381" cm="1">
        <f t="array" ref="AG381">SUM(SUMIFS(tblStock[qty_units],tblStock[sku],tblSKU[[#This Row],[sku]],tblStock[stock_type],{"Saleable","FOC"}))</f>
        <v>1883</v>
      </c>
      <c r="AH381" s="3">
        <f>SUMIFS(tblStock[value_nzd],tblStock[sku],tblSKU[[#This Row],[sku]])</f>
        <v>7437.85</v>
      </c>
      <c r="AI381" s="4">
        <f>SUMIFS(tblStock[cbm],tblStock[sku],tblSKU[[#This Row],[sku]])</f>
        <v>6.8729500000000003</v>
      </c>
      <c r="AJ381" s="1">
        <f>SUMIFS(tblStock[positions],tblStock[sku],tblSKU[[#This Row],[sku]])</f>
        <v>11</v>
      </c>
      <c r="AK381" s="3">
        <f>SUMIFS(tblStock[value_nzd],tblStock[sku],tblSKU[[#This Row],[sku]],tblStock[stock_type],"Expired")</f>
        <v>0</v>
      </c>
      <c r="AL381" s="3" cm="1">
        <f t="array" ref="AL381">SUM(SUMIFS(tblStock[value_nzd],tblStock[sku],tblSKU[[#This Row],[sku]],tblStock[stock_type],{"Saleable","FOC"},tblStock[expiry_date],"&lt;"&amp;EDATE(SnapshotDate,6)))</f>
        <v>0</v>
      </c>
    </row>
    <row r="382" spans="1:38">
      <c r="A382" s="1" t="s">
        <v>815</v>
      </c>
      <c r="B382" s="1" t="s">
        <v>816</v>
      </c>
      <c r="C382" s="1" t="s">
        <v>781</v>
      </c>
      <c r="D382" s="1" t="s">
        <v>37</v>
      </c>
      <c r="E382" s="1" t="s">
        <v>782</v>
      </c>
      <c r="F382" s="1" t="s">
        <v>39</v>
      </c>
      <c r="G382">
        <v>24</v>
      </c>
      <c r="H382">
        <v>59.8</v>
      </c>
      <c r="I382">
        <v>39</v>
      </c>
      <c r="J382">
        <v>25</v>
      </c>
      <c r="K382">
        <v>5.8299999999999998E-2</v>
      </c>
      <c r="L382">
        <v>52.58</v>
      </c>
      <c r="M382">
        <v>1.74</v>
      </c>
      <c r="N382">
        <v>2</v>
      </c>
      <c r="O382">
        <v>4</v>
      </c>
      <c r="P382">
        <v>8</v>
      </c>
      <c r="Q382">
        <v>115</v>
      </c>
      <c r="R382">
        <v>445.64</v>
      </c>
      <c r="S382">
        <v>0.46639999999999998</v>
      </c>
      <c r="T382">
        <v>13</v>
      </c>
      <c r="U382">
        <v>279</v>
      </c>
      <c r="V382">
        <v>485.46</v>
      </c>
      <c r="W382" s="1" t="s">
        <v>1262</v>
      </c>
      <c r="X382" s="1" t="s">
        <v>1262</v>
      </c>
      <c r="Y382">
        <v>0.15294117647058825</v>
      </c>
      <c r="Z382">
        <v>8.547794117647059E-2</v>
      </c>
      <c r="AA382" s="1" t="s">
        <v>1263</v>
      </c>
      <c r="AB382">
        <v>0</v>
      </c>
      <c r="AC382">
        <v>0</v>
      </c>
      <c r="AD382" s="1">
        <v>8.7168458781362013</v>
      </c>
      <c r="AE382">
        <v>2</v>
      </c>
      <c r="AF382">
        <f>COUNTIFS(tblStock[sku],tblSKU[[#This Row],[sku]])</f>
        <v>5</v>
      </c>
      <c r="AG382" cm="1">
        <f t="array" ref="AG382">SUM(SUMIFS(tblStock[qty_units],tblStock[sku],tblSKU[[#This Row],[sku]],tblStock[stock_type],{"Saleable","FOC"}))</f>
        <v>608</v>
      </c>
      <c r="AH382" s="3">
        <f>SUMIFS(tblStock[value_nzd],tblStock[sku],tblSKU[[#This Row],[sku]])</f>
        <v>1087.5</v>
      </c>
      <c r="AI382" s="4">
        <f>SUMIFS(tblStock[cbm],tblStock[sku],tblSKU[[#This Row],[sku]])</f>
        <v>1.5182291666666667</v>
      </c>
      <c r="AJ382" s="1">
        <f>SUMIFS(tblStock[positions],tblStock[sku],tblSKU[[#This Row],[sku]])</f>
        <v>3</v>
      </c>
      <c r="AK382" s="3">
        <f>SUMIFS(tblStock[value_nzd],tblStock[sku],tblSKU[[#This Row],[sku]],tblStock[stock_type],"Expired")</f>
        <v>0</v>
      </c>
      <c r="AL382" s="3" cm="1">
        <f t="array" ref="AL382">SUM(SUMIFS(tblStock[value_nzd],tblStock[sku],tblSKU[[#This Row],[sku]],tblStock[stock_type],{"Saleable","FOC"},tblStock[expiry_date],"&lt;"&amp;EDATE(SnapshotDate,6)))</f>
        <v>0</v>
      </c>
    </row>
    <row r="383" spans="1:38">
      <c r="A383" s="1" t="s">
        <v>817</v>
      </c>
      <c r="B383" s="1" t="s">
        <v>818</v>
      </c>
      <c r="C383" s="1" t="s">
        <v>781</v>
      </c>
      <c r="D383" s="1" t="s">
        <v>37</v>
      </c>
      <c r="E383" s="1" t="s">
        <v>782</v>
      </c>
      <c r="F383" s="1" t="s">
        <v>39</v>
      </c>
      <c r="G383">
        <v>10</v>
      </c>
      <c r="H383">
        <v>42.8</v>
      </c>
      <c r="I383">
        <v>35.1</v>
      </c>
      <c r="J383">
        <v>24.4</v>
      </c>
      <c r="K383">
        <v>3.6659999999999998E-2</v>
      </c>
      <c r="L383">
        <v>36.5</v>
      </c>
      <c r="M383">
        <v>1.99</v>
      </c>
      <c r="N383">
        <v>5</v>
      </c>
      <c r="O383">
        <v>3</v>
      </c>
      <c r="P383">
        <v>15</v>
      </c>
      <c r="Q383">
        <v>88.199999999999989</v>
      </c>
      <c r="R383">
        <v>572.5</v>
      </c>
      <c r="S383">
        <v>0.54989999999999994</v>
      </c>
      <c r="T383">
        <v>58</v>
      </c>
      <c r="U383">
        <v>1459</v>
      </c>
      <c r="V383">
        <v>2903.41</v>
      </c>
      <c r="W383" s="1" t="s">
        <v>1258</v>
      </c>
      <c r="X383" s="1" t="s">
        <v>1262</v>
      </c>
      <c r="Y383">
        <v>0.68235294117647061</v>
      </c>
      <c r="Z383">
        <v>0.57215686274509803</v>
      </c>
      <c r="AA383" s="1" t="s">
        <v>1259</v>
      </c>
      <c r="AB383">
        <v>0</v>
      </c>
      <c r="AC383">
        <v>1</v>
      </c>
      <c r="AD383" s="1">
        <v>9.5270733379026726</v>
      </c>
      <c r="AE383">
        <v>2</v>
      </c>
      <c r="AF383">
        <f>COUNTIFS(tblStock[sku],tblSKU[[#This Row],[sku]])</f>
        <v>3</v>
      </c>
      <c r="AG383" cm="1">
        <f t="array" ref="AG383">SUM(SUMIFS(tblStock[qty_units],tblStock[sku],tblSKU[[#This Row],[sku]],tblStock[stock_type],{"Saleable","FOC"}))</f>
        <v>3475</v>
      </c>
      <c r="AH383" s="3">
        <f>SUMIFS(tblStock[value_nzd],tblStock[sku],tblSKU[[#This Row],[sku]])</f>
        <v>7052.56</v>
      </c>
      <c r="AI383" s="4">
        <f>SUMIFS(tblStock[cbm],tblStock[sku],tblSKU[[#This Row],[sku]])</f>
        <v>12.992304000000001</v>
      </c>
      <c r="AJ383" s="1">
        <f>SUMIFS(tblStock[positions],tblStock[sku],tblSKU[[#This Row],[sku]])</f>
        <v>25</v>
      </c>
      <c r="AK383" s="3">
        <f>SUMIFS(tblStock[value_nzd],tblStock[sku],tblSKU[[#This Row],[sku]],tblStock[stock_type],"Expired")</f>
        <v>0</v>
      </c>
      <c r="AL383" s="3" cm="1">
        <f t="array" ref="AL383">SUM(SUMIFS(tblStock[value_nzd],tblStock[sku],tblSKU[[#This Row],[sku]],tblStock[stock_type],{"Saleable","FOC"},tblStock[expiry_date],"&lt;"&amp;EDATE(SnapshotDate,6)))</f>
        <v>0</v>
      </c>
    </row>
    <row r="384" spans="1:38">
      <c r="A384" s="1" t="s">
        <v>819</v>
      </c>
      <c r="B384" s="1" t="s">
        <v>820</v>
      </c>
      <c r="C384" s="1" t="s">
        <v>781</v>
      </c>
      <c r="D384" s="1" t="s">
        <v>37</v>
      </c>
      <c r="E384" s="1" t="s">
        <v>782</v>
      </c>
      <c r="F384" s="1" t="s">
        <v>39</v>
      </c>
      <c r="G384">
        <v>12</v>
      </c>
      <c r="H384">
        <v>45.6</v>
      </c>
      <c r="I384">
        <v>38.4</v>
      </c>
      <c r="J384">
        <v>24.1</v>
      </c>
      <c r="K384">
        <v>4.2200000000000001E-2</v>
      </c>
      <c r="L384">
        <v>41.51</v>
      </c>
      <c r="M384">
        <v>2.0299999999999998</v>
      </c>
      <c r="N384">
        <v>6</v>
      </c>
      <c r="O384">
        <v>2</v>
      </c>
      <c r="P384">
        <v>12</v>
      </c>
      <c r="Q384">
        <v>63.2</v>
      </c>
      <c r="R384">
        <v>523.12</v>
      </c>
      <c r="S384">
        <v>0.50639999999999996</v>
      </c>
      <c r="T384">
        <v>0</v>
      </c>
      <c r="U384">
        <v>0</v>
      </c>
      <c r="V384">
        <v>0</v>
      </c>
      <c r="W384" s="1" t="s">
        <v>1260</v>
      </c>
      <c r="X384" s="1" t="s">
        <v>1260</v>
      </c>
      <c r="Y384">
        <v>0</v>
      </c>
      <c r="Z384">
        <v>0</v>
      </c>
      <c r="AA384" s="1" t="s">
        <v>1261</v>
      </c>
      <c r="AB384">
        <v>0</v>
      </c>
      <c r="AC384">
        <v>0</v>
      </c>
      <c r="AD384" s="1"/>
      <c r="AE384">
        <v>1</v>
      </c>
      <c r="AF384">
        <f>COUNTIFS(tblStock[sku],tblSKU[[#This Row],[sku]])</f>
        <v>4</v>
      </c>
      <c r="AG384" cm="1">
        <f t="array" ref="AG384">SUM(SUMIFS(tblStock[qty_units],tblStock[sku],tblSKU[[#This Row],[sku]],tblStock[stock_type],{"Saleable","FOC"}))</f>
        <v>23</v>
      </c>
      <c r="AH384" s="3">
        <f>SUMIFS(tblStock[value_nzd],tblStock[sku],tblSKU[[#This Row],[sku]])</f>
        <v>46.69</v>
      </c>
      <c r="AI384" s="4">
        <f>SUMIFS(tblStock[cbm],tblStock[sku],tblSKU[[#This Row],[sku]])</f>
        <v>8.0883333333333335E-2</v>
      </c>
      <c r="AJ384" s="1">
        <f>SUMIFS(tblStock[positions],tblStock[sku],tblSKU[[#This Row],[sku]])</f>
        <v>0</v>
      </c>
      <c r="AK384" s="3">
        <f>SUMIFS(tblStock[value_nzd],tblStock[sku],tblSKU[[#This Row],[sku]],tblStock[stock_type],"Expired")</f>
        <v>0</v>
      </c>
      <c r="AL384" s="3" cm="1">
        <f t="array" ref="AL384">SUM(SUMIFS(tblStock[value_nzd],tblStock[sku],tblSKU[[#This Row],[sku]],tblStock[stock_type],{"Saleable","FOC"},tblStock[expiry_date],"&lt;"&amp;EDATE(SnapshotDate,6)))</f>
        <v>20.299999999999997</v>
      </c>
    </row>
    <row r="385" spans="1:38">
      <c r="A385" s="1" t="s">
        <v>821</v>
      </c>
      <c r="B385" s="1" t="s">
        <v>822</v>
      </c>
      <c r="C385" s="1" t="s">
        <v>781</v>
      </c>
      <c r="D385" s="1" t="s">
        <v>37</v>
      </c>
      <c r="E385" s="1" t="s">
        <v>782</v>
      </c>
      <c r="F385" s="1" t="s">
        <v>39</v>
      </c>
      <c r="G385">
        <v>24</v>
      </c>
      <c r="H385">
        <v>58.6</v>
      </c>
      <c r="I385">
        <v>33.799999999999997</v>
      </c>
      <c r="J385">
        <v>28.2</v>
      </c>
      <c r="K385">
        <v>5.586E-2</v>
      </c>
      <c r="L385">
        <v>50.39</v>
      </c>
      <c r="M385">
        <v>3.7</v>
      </c>
      <c r="N385">
        <v>4</v>
      </c>
      <c r="O385">
        <v>3</v>
      </c>
      <c r="P385">
        <v>12</v>
      </c>
      <c r="Q385">
        <v>99.6</v>
      </c>
      <c r="R385">
        <v>629.68000000000006</v>
      </c>
      <c r="S385">
        <v>0.67032000000000003</v>
      </c>
      <c r="T385">
        <v>29</v>
      </c>
      <c r="U385">
        <v>1841</v>
      </c>
      <c r="V385">
        <v>6811.7000000000007</v>
      </c>
      <c r="W385" s="1" t="s">
        <v>1258</v>
      </c>
      <c r="X385" s="1" t="s">
        <v>1262</v>
      </c>
      <c r="Y385">
        <v>0.3411764705882353</v>
      </c>
      <c r="Z385">
        <v>0.3760212418300653</v>
      </c>
      <c r="AA385" s="1" t="s">
        <v>1259</v>
      </c>
      <c r="AB385">
        <v>0</v>
      </c>
      <c r="AC385">
        <v>1</v>
      </c>
      <c r="AD385" s="1">
        <v>4.2020640956002175</v>
      </c>
      <c r="AE385">
        <v>2</v>
      </c>
      <c r="AF385">
        <f>COUNTIFS(tblStock[sku],tblSKU[[#This Row],[sku]])</f>
        <v>2</v>
      </c>
      <c r="AG385" cm="1">
        <f t="array" ref="AG385">SUM(SUMIFS(tblStock[qty_units],tblStock[sku],tblSKU[[#This Row],[sku]],tblStock[stock_type],{"Saleable","FOC"}))</f>
        <v>1934</v>
      </c>
      <c r="AH385" s="3">
        <f>SUMIFS(tblStock[value_nzd],tblStock[sku],tblSKU[[#This Row],[sku]])</f>
        <v>7155.8</v>
      </c>
      <c r="AI385" s="4">
        <f>SUMIFS(tblStock[cbm],tblStock[sku],tblSKU[[#This Row],[sku]])</f>
        <v>4.501385</v>
      </c>
      <c r="AJ385" s="1">
        <f>SUMIFS(tblStock[positions],tblStock[sku],tblSKU[[#This Row],[sku]])</f>
        <v>8</v>
      </c>
      <c r="AK385" s="3">
        <f>SUMIFS(tblStock[value_nzd],tblStock[sku],tblSKU[[#This Row],[sku]],tblStock[stock_type],"Expired")</f>
        <v>0</v>
      </c>
      <c r="AL385" s="3" cm="1">
        <f t="array" ref="AL385">SUM(SUMIFS(tblStock[value_nzd],tblStock[sku],tblSKU[[#This Row],[sku]],tblStock[stock_type],{"Saleable","FOC"},tblStock[expiry_date],"&lt;"&amp;EDATE(SnapshotDate,6)))</f>
        <v>0</v>
      </c>
    </row>
    <row r="386" spans="1:38">
      <c r="A386" s="1" t="s">
        <v>823</v>
      </c>
      <c r="B386" s="1" t="s">
        <v>824</v>
      </c>
      <c r="C386" s="1" t="s">
        <v>781</v>
      </c>
      <c r="D386" s="1" t="s">
        <v>37</v>
      </c>
      <c r="E386" s="1" t="s">
        <v>782</v>
      </c>
      <c r="F386" s="1" t="s">
        <v>39</v>
      </c>
      <c r="G386">
        <v>12</v>
      </c>
      <c r="H386">
        <v>45.2</v>
      </c>
      <c r="I386">
        <v>32.9</v>
      </c>
      <c r="J386">
        <v>20.6</v>
      </c>
      <c r="K386">
        <v>3.0630000000000001E-2</v>
      </c>
      <c r="L386">
        <v>28.09</v>
      </c>
      <c r="M386">
        <v>2.72</v>
      </c>
      <c r="N386">
        <v>5</v>
      </c>
      <c r="O386">
        <v>4</v>
      </c>
      <c r="P386">
        <v>20</v>
      </c>
      <c r="Q386">
        <v>97.4</v>
      </c>
      <c r="R386">
        <v>586.79999999999995</v>
      </c>
      <c r="S386">
        <v>0.61260000000000003</v>
      </c>
      <c r="T386">
        <v>39</v>
      </c>
      <c r="U386">
        <v>1275</v>
      </c>
      <c r="V386">
        <v>3468.0000000000005</v>
      </c>
      <c r="W386" s="1" t="s">
        <v>1258</v>
      </c>
      <c r="X386" s="1" t="s">
        <v>1262</v>
      </c>
      <c r="Y386">
        <v>0.45882352941176469</v>
      </c>
      <c r="Z386">
        <v>0.3125</v>
      </c>
      <c r="AA386" s="1" t="s">
        <v>1259</v>
      </c>
      <c r="AB386">
        <v>0</v>
      </c>
      <c r="AC386">
        <v>1</v>
      </c>
      <c r="AD386" s="1">
        <v>2.5819607843137256</v>
      </c>
      <c r="AE386">
        <v>2</v>
      </c>
      <c r="AF386">
        <f>COUNTIFS(tblStock[sku],tblSKU[[#This Row],[sku]])</f>
        <v>2</v>
      </c>
      <c r="AG386" cm="1">
        <f t="array" ref="AG386">SUM(SUMIFS(tblStock[qty_units],tblStock[sku],tblSKU[[#This Row],[sku]],tblStock[stock_type],{"Saleable","FOC"}))</f>
        <v>823</v>
      </c>
      <c r="AH386" s="3">
        <f>SUMIFS(tblStock[value_nzd],tblStock[sku],tblSKU[[#This Row],[sku]])</f>
        <v>2238.5600000000004</v>
      </c>
      <c r="AI386" s="4">
        <f>SUMIFS(tblStock[cbm],tblStock[sku],tblSKU[[#This Row],[sku]])</f>
        <v>2.1007074999999999</v>
      </c>
      <c r="AJ386" s="1">
        <f>SUMIFS(tblStock[positions],tblStock[sku],tblSKU[[#This Row],[sku]])</f>
        <v>5</v>
      </c>
      <c r="AK386" s="3">
        <f>SUMIFS(tblStock[value_nzd],tblStock[sku],tblSKU[[#This Row],[sku]],tblStock[stock_type],"Expired")</f>
        <v>0</v>
      </c>
      <c r="AL386" s="3" cm="1">
        <f t="array" ref="AL386">SUM(SUMIFS(tblStock[value_nzd],tblStock[sku],tblSKU[[#This Row],[sku]],tblStock[stock_type],{"Saleable","FOC"},tblStock[expiry_date],"&lt;"&amp;EDATE(SnapshotDate,6)))</f>
        <v>0</v>
      </c>
    </row>
    <row r="387" spans="1:38">
      <c r="A387" s="1" t="s">
        <v>825</v>
      </c>
      <c r="B387" s="1" t="s">
        <v>826</v>
      </c>
      <c r="C387" s="1" t="s">
        <v>781</v>
      </c>
      <c r="D387" s="1" t="s">
        <v>37</v>
      </c>
      <c r="E387" s="1" t="s">
        <v>782</v>
      </c>
      <c r="F387" s="1" t="s">
        <v>39</v>
      </c>
      <c r="G387">
        <v>12</v>
      </c>
      <c r="H387">
        <v>41.6</v>
      </c>
      <c r="I387">
        <v>35.5</v>
      </c>
      <c r="J387">
        <v>26.9</v>
      </c>
      <c r="K387">
        <v>3.9730000000000001E-2</v>
      </c>
      <c r="L387">
        <v>37.6</v>
      </c>
      <c r="M387">
        <v>2.15</v>
      </c>
      <c r="N387">
        <v>6</v>
      </c>
      <c r="O387">
        <v>3</v>
      </c>
      <c r="P387">
        <v>18</v>
      </c>
      <c r="Q387">
        <v>95.699999999999989</v>
      </c>
      <c r="R387">
        <v>701.80000000000007</v>
      </c>
      <c r="S387">
        <v>0.71514</v>
      </c>
      <c r="T387">
        <v>2</v>
      </c>
      <c r="U387">
        <v>290</v>
      </c>
      <c r="V387">
        <v>623.5</v>
      </c>
      <c r="W387" s="1" t="s">
        <v>1262</v>
      </c>
      <c r="X387" s="1" t="s">
        <v>1262</v>
      </c>
      <c r="Y387">
        <v>2.3529411764705882E-2</v>
      </c>
      <c r="Z387">
        <v>7.8976034858387792E-2</v>
      </c>
      <c r="AA387" s="1" t="s">
        <v>1263</v>
      </c>
      <c r="AB387">
        <v>0</v>
      </c>
      <c r="AC387">
        <v>0</v>
      </c>
      <c r="AD387" s="1">
        <v>10.303448275862069</v>
      </c>
      <c r="AE387">
        <v>2</v>
      </c>
      <c r="AF387">
        <f>COUNTIFS(tblStock[sku],tblSKU[[#This Row],[sku]])</f>
        <v>4</v>
      </c>
      <c r="AG387" cm="1">
        <f t="array" ref="AG387">SUM(SUMIFS(tblStock[qty_units],tblStock[sku],tblSKU[[#This Row],[sku]],tblStock[stock_type],{"Saleable","FOC"}))</f>
        <v>747</v>
      </c>
      <c r="AH387" s="3">
        <f>SUMIFS(tblStock[value_nzd],tblStock[sku],tblSKU[[#This Row],[sku]])</f>
        <v>1606.0499999999997</v>
      </c>
      <c r="AI387" s="4">
        <f>SUMIFS(tblStock[cbm],tblStock[sku],tblSKU[[#This Row],[sku]])</f>
        <v>2.4731925000000001</v>
      </c>
      <c r="AJ387" s="1">
        <f>SUMIFS(tblStock[positions],tblStock[sku],tblSKU[[#This Row],[sku]])</f>
        <v>4</v>
      </c>
      <c r="AK387" s="3">
        <f>SUMIFS(tblStock[value_nzd],tblStock[sku],tblSKU[[#This Row],[sku]],tblStock[stock_type],"Expired")</f>
        <v>0</v>
      </c>
      <c r="AL387" s="3" cm="1">
        <f t="array" ref="AL387">SUM(SUMIFS(tblStock[value_nzd],tblStock[sku],tblSKU[[#This Row],[sku]],tblStock[stock_type],{"Saleable","FOC"},tblStock[expiry_date],"&lt;"&amp;EDATE(SnapshotDate,6)))</f>
        <v>0</v>
      </c>
    </row>
    <row r="388" spans="1:38">
      <c r="A388" s="1" t="s">
        <v>827</v>
      </c>
      <c r="B388" s="1" t="s">
        <v>828</v>
      </c>
      <c r="C388" s="1" t="s">
        <v>781</v>
      </c>
      <c r="D388" s="1" t="s">
        <v>37</v>
      </c>
      <c r="E388" s="1" t="s">
        <v>782</v>
      </c>
      <c r="F388" s="1" t="s">
        <v>39</v>
      </c>
      <c r="G388">
        <v>20</v>
      </c>
      <c r="H388">
        <v>49.2</v>
      </c>
      <c r="I388">
        <v>35.200000000000003</v>
      </c>
      <c r="J388">
        <v>24.1</v>
      </c>
      <c r="K388">
        <v>4.1739999999999999E-2</v>
      </c>
      <c r="L388">
        <v>38.83</v>
      </c>
      <c r="M388">
        <v>4.03</v>
      </c>
      <c r="N388">
        <v>6</v>
      </c>
      <c r="O388">
        <v>3</v>
      </c>
      <c r="P388">
        <v>18</v>
      </c>
      <c r="Q388">
        <v>87.300000000000011</v>
      </c>
      <c r="R388">
        <v>723.93999999999994</v>
      </c>
      <c r="S388">
        <v>0.75131999999999999</v>
      </c>
      <c r="T388">
        <v>113</v>
      </c>
      <c r="U388">
        <v>5283</v>
      </c>
      <c r="V388">
        <v>21290.49</v>
      </c>
      <c r="W388" s="1" t="s">
        <v>1264</v>
      </c>
      <c r="X388" s="1" t="s">
        <v>1262</v>
      </c>
      <c r="Y388">
        <v>1.3294117647058823</v>
      </c>
      <c r="Z388">
        <v>0.86323529411764699</v>
      </c>
      <c r="AA388" s="1" t="s">
        <v>1265</v>
      </c>
      <c r="AB388">
        <v>1</v>
      </c>
      <c r="AC388">
        <v>0</v>
      </c>
      <c r="AD388" s="1">
        <v>3.9946999810713608</v>
      </c>
      <c r="AE388">
        <v>2</v>
      </c>
      <c r="AF388">
        <f>COUNTIFS(tblStock[sku],tblSKU[[#This Row],[sku]])</f>
        <v>1</v>
      </c>
      <c r="AG388" cm="1">
        <f t="array" ref="AG388">SUM(SUMIFS(tblStock[qty_units],tblStock[sku],tblSKU[[#This Row],[sku]],tblStock[stock_type],{"Saleable","FOC"}))</f>
        <v>5276</v>
      </c>
      <c r="AH388" s="3">
        <f>SUMIFS(tblStock[value_nzd],tblStock[sku],tblSKU[[#This Row],[sku]])</f>
        <v>21262.280000000002</v>
      </c>
      <c r="AI388" s="4">
        <f>SUMIFS(tblStock[cbm],tblStock[sku],tblSKU[[#This Row],[sku]])</f>
        <v>11.011012000000001</v>
      </c>
      <c r="AJ388" s="1">
        <f>SUMIFS(tblStock[positions],tblStock[sku],tblSKU[[#This Row],[sku]])</f>
        <v>15</v>
      </c>
      <c r="AK388" s="3">
        <f>SUMIFS(tblStock[value_nzd],tblStock[sku],tblSKU[[#This Row],[sku]],tblStock[stock_type],"Expired")</f>
        <v>0</v>
      </c>
      <c r="AL388" s="3" cm="1">
        <f t="array" ref="AL388">SUM(SUMIFS(tblStock[value_nzd],tblStock[sku],tblSKU[[#This Row],[sku]],tblStock[stock_type],{"Saleable","FOC"},tblStock[expiry_date],"&lt;"&amp;EDATE(SnapshotDate,6)))</f>
        <v>0</v>
      </c>
    </row>
    <row r="389" spans="1:38">
      <c r="A389" s="1" t="s">
        <v>829</v>
      </c>
      <c r="B389" s="1" t="s">
        <v>830</v>
      </c>
      <c r="C389" s="1" t="s">
        <v>781</v>
      </c>
      <c r="D389" s="1" t="s">
        <v>37</v>
      </c>
      <c r="E389" s="1" t="s">
        <v>782</v>
      </c>
      <c r="F389" s="1" t="s">
        <v>39</v>
      </c>
      <c r="G389">
        <v>12</v>
      </c>
      <c r="H389">
        <v>58.1</v>
      </c>
      <c r="I389">
        <v>32.5</v>
      </c>
      <c r="J389">
        <v>28.3</v>
      </c>
      <c r="K389">
        <v>5.3440000000000001E-2</v>
      </c>
      <c r="L389">
        <v>52.24</v>
      </c>
      <c r="M389">
        <v>4.18</v>
      </c>
      <c r="N389">
        <v>6</v>
      </c>
      <c r="O389">
        <v>2</v>
      </c>
      <c r="P389">
        <v>12</v>
      </c>
      <c r="Q389">
        <v>71.599999999999994</v>
      </c>
      <c r="R389">
        <v>651.88</v>
      </c>
      <c r="S389">
        <v>0.64128000000000007</v>
      </c>
      <c r="T389">
        <v>96</v>
      </c>
      <c r="U389">
        <v>3165</v>
      </c>
      <c r="V389">
        <v>13229.699999999999</v>
      </c>
      <c r="W389" s="1" t="s">
        <v>1264</v>
      </c>
      <c r="X389" s="1" t="s">
        <v>1262</v>
      </c>
      <c r="Y389">
        <v>1.1294117647058823</v>
      </c>
      <c r="Z389">
        <v>1.2928921568627452</v>
      </c>
      <c r="AA389" s="1" t="s">
        <v>1265</v>
      </c>
      <c r="AB389">
        <v>1</v>
      </c>
      <c r="AC389">
        <v>0</v>
      </c>
      <c r="AD389" s="1">
        <v>3.8913112164296999</v>
      </c>
      <c r="AE389">
        <v>2</v>
      </c>
      <c r="AF389">
        <f>COUNTIFS(tblStock[sku],tblSKU[[#This Row],[sku]])</f>
        <v>2</v>
      </c>
      <c r="AG389" cm="1">
        <f t="array" ref="AG389">SUM(SUMIFS(tblStock[qty_units],tblStock[sku],tblSKU[[#This Row],[sku]],tblStock[stock_type],{"Saleable","FOC"}))</f>
        <v>3079</v>
      </c>
      <c r="AH389" s="3">
        <f>SUMIFS(tblStock[value_nzd],tblStock[sku],tblSKU[[#This Row],[sku]])</f>
        <v>13125.199999999999</v>
      </c>
      <c r="AI389" s="4">
        <f>SUMIFS(tblStock[cbm],tblStock[sku],tblSKU[[#This Row],[sku]])</f>
        <v>13.983466666666665</v>
      </c>
      <c r="AJ389" s="1">
        <f>SUMIFS(tblStock[positions],tblStock[sku],tblSKU[[#This Row],[sku]])</f>
        <v>23</v>
      </c>
      <c r="AK389" s="3">
        <f>SUMIFS(tblStock[value_nzd],tblStock[sku],tblSKU[[#This Row],[sku]],tblStock[stock_type],"Expired")</f>
        <v>0</v>
      </c>
      <c r="AL389" s="3" cm="1">
        <f t="array" ref="AL389">SUM(SUMIFS(tblStock[value_nzd],tblStock[sku],tblSKU[[#This Row],[sku]],tblStock[stock_type],{"Saleable","FOC"},tblStock[expiry_date],"&lt;"&amp;EDATE(SnapshotDate,6)))</f>
        <v>0</v>
      </c>
    </row>
    <row r="390" spans="1:38">
      <c r="A390" s="1" t="s">
        <v>831</v>
      </c>
      <c r="B390" s="1" t="s">
        <v>832</v>
      </c>
      <c r="C390" s="1" t="s">
        <v>67</v>
      </c>
      <c r="D390" s="1" t="s">
        <v>37</v>
      </c>
      <c r="E390" s="1" t="s">
        <v>833</v>
      </c>
      <c r="F390" s="1" t="s">
        <v>834</v>
      </c>
      <c r="G390">
        <v>50</v>
      </c>
      <c r="H390">
        <v>40.700000000000003</v>
      </c>
      <c r="I390">
        <v>34.299999999999997</v>
      </c>
      <c r="J390">
        <v>24.3</v>
      </c>
      <c r="K390">
        <v>3.3919999999999999E-2</v>
      </c>
      <c r="L390">
        <v>4.96</v>
      </c>
      <c r="M390">
        <v>22.3</v>
      </c>
      <c r="N390">
        <v>6</v>
      </c>
      <c r="O390">
        <v>6</v>
      </c>
      <c r="P390">
        <v>36</v>
      </c>
      <c r="Q390">
        <v>160.80000000000001</v>
      </c>
      <c r="R390">
        <v>203.56</v>
      </c>
      <c r="S390">
        <v>1.22112</v>
      </c>
      <c r="T390">
        <v>78</v>
      </c>
      <c r="U390">
        <v>2926</v>
      </c>
      <c r="V390">
        <v>65249.8</v>
      </c>
      <c r="W390" s="1" t="s">
        <v>1258</v>
      </c>
      <c r="X390" s="1" t="s">
        <v>1258</v>
      </c>
      <c r="Y390">
        <v>0.91764705882352937</v>
      </c>
      <c r="Z390">
        <v>9.5620915032679735E-2</v>
      </c>
      <c r="AA390" s="1" t="s">
        <v>1259</v>
      </c>
      <c r="AB390">
        <v>0</v>
      </c>
      <c r="AC390">
        <v>1</v>
      </c>
      <c r="AD390" s="1">
        <v>8.630211893369788</v>
      </c>
      <c r="AE390">
        <v>4</v>
      </c>
      <c r="AF390">
        <f>COUNTIFS(tblStock[sku],tblSKU[[#This Row],[sku]])</f>
        <v>3</v>
      </c>
      <c r="AG390" cm="1">
        <f t="array" ref="AG390">SUM(SUMIFS(tblStock[qty_units],tblStock[sku],tblSKU[[#This Row],[sku]],tblStock[stock_type],{"Saleable","FOC"}))</f>
        <v>6313</v>
      </c>
      <c r="AH390" s="3">
        <f>SUMIFS(tblStock[value_nzd],tblStock[sku],tblSKU[[#This Row],[sku]])</f>
        <v>140779.90000000002</v>
      </c>
      <c r="AI390" s="4">
        <f>SUMIFS(tblStock[cbm],tblStock[sku],tblSKU[[#This Row],[sku]])</f>
        <v>4.2827392</v>
      </c>
      <c r="AJ390" s="1">
        <f>SUMIFS(tblStock[positions],tblStock[sku],tblSKU[[#This Row],[sku]])</f>
        <v>4</v>
      </c>
      <c r="AK390" s="3">
        <f>SUMIFS(tblStock[value_nzd],tblStock[sku],tblSKU[[#This Row],[sku]],tblStock[stock_type],"Expired")</f>
        <v>0</v>
      </c>
      <c r="AL390" s="3" cm="1">
        <f t="array" ref="AL390">SUM(SUMIFS(tblStock[value_nzd],tblStock[sku],tblSKU[[#This Row],[sku]],tblStock[stock_type],{"Saleable","FOC"},tblStock[expiry_date],"&lt;"&amp;EDATE(SnapshotDate,6)))</f>
        <v>0</v>
      </c>
    </row>
    <row r="391" spans="1:38">
      <c r="A391" s="1" t="s">
        <v>835</v>
      </c>
      <c r="B391" s="1" t="s">
        <v>836</v>
      </c>
      <c r="C391" s="1" t="s">
        <v>837</v>
      </c>
      <c r="D391" s="1" t="s">
        <v>37</v>
      </c>
      <c r="E391" s="1" t="s">
        <v>833</v>
      </c>
      <c r="F391" s="1" t="s">
        <v>39</v>
      </c>
      <c r="G391">
        <v>100</v>
      </c>
      <c r="H391">
        <v>30.2</v>
      </c>
      <c r="I391">
        <v>22.1</v>
      </c>
      <c r="J391">
        <v>21.9</v>
      </c>
      <c r="K391">
        <v>1.4619999999999999E-2</v>
      </c>
      <c r="L391">
        <v>2.91</v>
      </c>
      <c r="M391">
        <v>11.05</v>
      </c>
      <c r="N391">
        <v>14</v>
      </c>
      <c r="O391">
        <v>3</v>
      </c>
      <c r="P391">
        <v>42</v>
      </c>
      <c r="Q391">
        <v>80.699999999999989</v>
      </c>
      <c r="R391">
        <v>147.22</v>
      </c>
      <c r="S391">
        <v>0.61403999999999992</v>
      </c>
      <c r="T391">
        <v>5</v>
      </c>
      <c r="U391">
        <v>275</v>
      </c>
      <c r="V391">
        <v>3038.75</v>
      </c>
      <c r="W391" s="1" t="s">
        <v>1262</v>
      </c>
      <c r="X391" s="1" t="s">
        <v>1262</v>
      </c>
      <c r="Y391">
        <v>5.8823529411764705E-2</v>
      </c>
      <c r="Z391">
        <v>3.8515406162464988E-3</v>
      </c>
      <c r="AA391" s="1" t="s">
        <v>1263</v>
      </c>
      <c r="AB391">
        <v>0</v>
      </c>
      <c r="AC391">
        <v>0</v>
      </c>
      <c r="AD391" s="1">
        <v>10.705454545454545</v>
      </c>
      <c r="AE391">
        <v>2</v>
      </c>
      <c r="AF391">
        <f>COUNTIFS(tblStock[sku],tblSKU[[#This Row],[sku]])</f>
        <v>3</v>
      </c>
      <c r="AG391" cm="1">
        <f t="array" ref="AG391">SUM(SUMIFS(tblStock[qty_units],tblStock[sku],tblSKU[[#This Row],[sku]],tblStock[stock_type],{"Saleable","FOC"}))</f>
        <v>736</v>
      </c>
      <c r="AH391" s="3">
        <f>SUMIFS(tblStock[value_nzd],tblStock[sku],tblSKU[[#This Row],[sku]])</f>
        <v>8132.8000000000011</v>
      </c>
      <c r="AI391" s="4">
        <f>SUMIFS(tblStock[cbm],tblStock[sku],tblSKU[[#This Row],[sku]])</f>
        <v>0.10760319999999998</v>
      </c>
      <c r="AJ391" s="1">
        <f>SUMIFS(tblStock[positions],tblStock[sku],tblSKU[[#This Row],[sku]])</f>
        <v>0</v>
      </c>
      <c r="AK391" s="3">
        <f>SUMIFS(tblStock[value_nzd],tblStock[sku],tblSKU[[#This Row],[sku]],tblStock[stock_type],"Expired")</f>
        <v>0</v>
      </c>
      <c r="AL391" s="3" cm="1">
        <f t="array" ref="AL391">SUM(SUMIFS(tblStock[value_nzd],tblStock[sku],tblSKU[[#This Row],[sku]],tblStock[stock_type],{"Saleable","FOC"},tblStock[expiry_date],"&lt;"&amp;EDATE(SnapshotDate,6)))</f>
        <v>453.05</v>
      </c>
    </row>
    <row r="392" spans="1:38">
      <c r="A392" s="1" t="s">
        <v>838</v>
      </c>
      <c r="B392" s="1" t="s">
        <v>839</v>
      </c>
      <c r="C392" s="1" t="s">
        <v>837</v>
      </c>
      <c r="D392" s="1" t="s">
        <v>37</v>
      </c>
      <c r="E392" s="1" t="s">
        <v>833</v>
      </c>
      <c r="F392" s="1" t="s">
        <v>834</v>
      </c>
      <c r="G392">
        <v>200</v>
      </c>
      <c r="H392">
        <v>35.6</v>
      </c>
      <c r="I392">
        <v>25.2</v>
      </c>
      <c r="J392">
        <v>13.2</v>
      </c>
      <c r="K392">
        <v>1.184E-2</v>
      </c>
      <c r="L392">
        <v>1.85</v>
      </c>
      <c r="M392">
        <v>6.26</v>
      </c>
      <c r="N392">
        <v>7</v>
      </c>
      <c r="O392">
        <v>9</v>
      </c>
      <c r="P392">
        <v>63</v>
      </c>
      <c r="Q392">
        <v>133.80000000000001</v>
      </c>
      <c r="R392">
        <v>141.55000000000001</v>
      </c>
      <c r="S392">
        <v>0.74592000000000003</v>
      </c>
      <c r="T392">
        <v>31</v>
      </c>
      <c r="U392">
        <v>5970</v>
      </c>
      <c r="V392">
        <v>37372.199999999997</v>
      </c>
      <c r="W392" s="1" t="s">
        <v>1258</v>
      </c>
      <c r="X392" s="1" t="s">
        <v>1258</v>
      </c>
      <c r="Y392">
        <v>0.36470588235294116</v>
      </c>
      <c r="Z392">
        <v>2.7871148459383752E-2</v>
      </c>
      <c r="AA392" s="1" t="s">
        <v>1259</v>
      </c>
      <c r="AB392">
        <v>0</v>
      </c>
      <c r="AC392">
        <v>1</v>
      </c>
      <c r="AD392" s="1">
        <v>10.702177554438862</v>
      </c>
      <c r="AE392">
        <v>4</v>
      </c>
      <c r="AF392">
        <f>COUNTIFS(tblStock[sku],tblSKU[[#This Row],[sku]])</f>
        <v>5</v>
      </c>
      <c r="AG392" cm="1">
        <f t="array" ref="AG392">SUM(SUMIFS(tblStock[qty_units],tblStock[sku],tblSKU[[#This Row],[sku]],tblStock[stock_type],{"Saleable","FOC"}))</f>
        <v>15973</v>
      </c>
      <c r="AH392" s="3">
        <f>SUMIFS(tblStock[value_nzd],tblStock[sku],tblSKU[[#This Row],[sku]])</f>
        <v>99990.98000000001</v>
      </c>
      <c r="AI392" s="4">
        <f>SUMIFS(tblStock[cbm],tblStock[sku],tblSKU[[#This Row],[sku]])</f>
        <v>0.94560160000000004</v>
      </c>
      <c r="AJ392" s="1">
        <f>SUMIFS(tblStock[positions],tblStock[sku],tblSKU[[#This Row],[sku]])</f>
        <v>1</v>
      </c>
      <c r="AK392" s="3">
        <f>SUMIFS(tblStock[value_nzd],tblStock[sku],tblSKU[[#This Row],[sku]],tblStock[stock_type],"Expired")</f>
        <v>0</v>
      </c>
      <c r="AL392" s="3" cm="1">
        <f t="array" ref="AL392">SUM(SUMIFS(tblStock[value_nzd],tblStock[sku],tblSKU[[#This Row],[sku]],tblStock[stock_type],{"Saleable","FOC"},tblStock[expiry_date],"&lt;"&amp;EDATE(SnapshotDate,6)))</f>
        <v>14022.4</v>
      </c>
    </row>
    <row r="393" spans="1:38">
      <c r="A393" s="1" t="s">
        <v>840</v>
      </c>
      <c r="B393" s="1" t="s">
        <v>841</v>
      </c>
      <c r="C393" s="1" t="s">
        <v>781</v>
      </c>
      <c r="D393" s="1" t="s">
        <v>37</v>
      </c>
      <c r="E393" s="1" t="s">
        <v>833</v>
      </c>
      <c r="F393" s="1" t="s">
        <v>39</v>
      </c>
      <c r="G393">
        <v>100</v>
      </c>
      <c r="H393">
        <v>34.799999999999997</v>
      </c>
      <c r="I393">
        <v>31.2</v>
      </c>
      <c r="J393">
        <v>15.4</v>
      </c>
      <c r="K393">
        <v>1.6719999999999999E-2</v>
      </c>
      <c r="L393">
        <v>4.03</v>
      </c>
      <c r="M393">
        <v>37.090000000000003</v>
      </c>
      <c r="N393">
        <v>9</v>
      </c>
      <c r="O393">
        <v>8</v>
      </c>
      <c r="P393">
        <v>72</v>
      </c>
      <c r="Q393">
        <v>138.19999999999999</v>
      </c>
      <c r="R393">
        <v>315.16000000000003</v>
      </c>
      <c r="S393">
        <v>1.20384</v>
      </c>
      <c r="T393">
        <v>17</v>
      </c>
      <c r="U393">
        <v>1150</v>
      </c>
      <c r="V393">
        <v>42653.500000000007</v>
      </c>
      <c r="W393" s="1" t="s">
        <v>1262</v>
      </c>
      <c r="X393" s="1" t="s">
        <v>1258</v>
      </c>
      <c r="Y393">
        <v>0.2</v>
      </c>
      <c r="Z393">
        <v>9.3954248366013068E-3</v>
      </c>
      <c r="AA393" s="1" t="s">
        <v>1263</v>
      </c>
      <c r="AB393">
        <v>0</v>
      </c>
      <c r="AC393">
        <v>0</v>
      </c>
      <c r="AD393" s="1">
        <v>12.486956521739131</v>
      </c>
      <c r="AE393">
        <v>4</v>
      </c>
      <c r="AF393">
        <f>COUNTIFS(tblStock[sku],tblSKU[[#This Row],[sku]])</f>
        <v>3</v>
      </c>
      <c r="AG393" cm="1">
        <f t="array" ref="AG393">SUM(SUMIFS(tblStock[qty_units],tblStock[sku],tblSKU[[#This Row],[sku]],tblStock[stock_type],{"Saleable","FOC"}))</f>
        <v>3590</v>
      </c>
      <c r="AH393" s="3">
        <f>SUMIFS(tblStock[value_nzd],tblStock[sku],tblSKU[[#This Row],[sku]])</f>
        <v>133153.10000000003</v>
      </c>
      <c r="AI393" s="4">
        <f>SUMIFS(tblStock[cbm],tblStock[sku],tblSKU[[#This Row],[sku]])</f>
        <v>0.60024799999999989</v>
      </c>
      <c r="AJ393" s="1">
        <f>SUMIFS(tblStock[positions],tblStock[sku],tblSKU[[#This Row],[sku]])</f>
        <v>2</v>
      </c>
      <c r="AK393" s="3">
        <f>SUMIFS(tblStock[value_nzd],tblStock[sku],tblSKU[[#This Row],[sku]],tblStock[stock_type],"Expired")</f>
        <v>0</v>
      </c>
      <c r="AL393" s="3" cm="1">
        <f t="array" ref="AL393">SUM(SUMIFS(tblStock[value_nzd],tblStock[sku],tblSKU[[#This Row],[sku]],tblStock[stock_type],{"Saleable","FOC"},tblStock[expiry_date],"&lt;"&amp;EDATE(SnapshotDate,6)))</f>
        <v>0</v>
      </c>
    </row>
    <row r="394" spans="1:38">
      <c r="A394" s="1" t="s">
        <v>842</v>
      </c>
      <c r="B394" s="1" t="s">
        <v>843</v>
      </c>
      <c r="C394" s="1" t="s">
        <v>67</v>
      </c>
      <c r="D394" s="1" t="s">
        <v>37</v>
      </c>
      <c r="E394" s="1" t="s">
        <v>833</v>
      </c>
      <c r="F394" s="1" t="s">
        <v>39</v>
      </c>
      <c r="G394">
        <v>200</v>
      </c>
      <c r="H394">
        <v>38.200000000000003</v>
      </c>
      <c r="I394">
        <v>23.4</v>
      </c>
      <c r="J394">
        <v>20.399999999999999</v>
      </c>
      <c r="K394">
        <v>1.8239999999999999E-2</v>
      </c>
      <c r="L394">
        <v>2.23</v>
      </c>
      <c r="M394">
        <v>17.600000000000001</v>
      </c>
      <c r="N394">
        <v>12</v>
      </c>
      <c r="O394">
        <v>6</v>
      </c>
      <c r="P394">
        <v>72</v>
      </c>
      <c r="Q394">
        <v>137.39999999999998</v>
      </c>
      <c r="R394">
        <v>185.56</v>
      </c>
      <c r="S394">
        <v>1.31328</v>
      </c>
      <c r="T394">
        <v>94</v>
      </c>
      <c r="U394">
        <v>9854</v>
      </c>
      <c r="V394">
        <v>173430.40000000002</v>
      </c>
      <c r="W394" s="1" t="s">
        <v>1264</v>
      </c>
      <c r="X394" s="1" t="s">
        <v>1264</v>
      </c>
      <c r="Y394">
        <v>1.1058823529411765</v>
      </c>
      <c r="Z394">
        <v>4.0253267973856213E-2</v>
      </c>
      <c r="AA394" s="1" t="s">
        <v>1265</v>
      </c>
      <c r="AB394">
        <v>1</v>
      </c>
      <c r="AC394">
        <v>0</v>
      </c>
      <c r="AD394" s="1">
        <v>13.52668966916988</v>
      </c>
      <c r="AE394">
        <v>12</v>
      </c>
      <c r="AF394">
        <f>COUNTIFS(tblStock[sku],tblSKU[[#This Row],[sku]])</f>
        <v>2</v>
      </c>
      <c r="AG394" cm="1">
        <f t="array" ref="AG394">SUM(SUMIFS(tblStock[qty_units],tblStock[sku],tblSKU[[#This Row],[sku]],tblStock[stock_type],{"Saleable","FOC"}))</f>
        <v>33323</v>
      </c>
      <c r="AH394" s="3">
        <f>SUMIFS(tblStock[value_nzd],tblStock[sku],tblSKU[[#This Row],[sku]])</f>
        <v>586484.80000000005</v>
      </c>
      <c r="AI394" s="4">
        <f>SUMIFS(tblStock[cbm],tblStock[sku],tblSKU[[#This Row],[sku]])</f>
        <v>3.0390576</v>
      </c>
      <c r="AJ394" s="1">
        <f>SUMIFS(tblStock[positions],tblStock[sku],tblSKU[[#This Row],[sku]])</f>
        <v>3</v>
      </c>
      <c r="AK394" s="3">
        <f>SUMIFS(tblStock[value_nzd],tblStock[sku],tblSKU[[#This Row],[sku]],tblStock[stock_type],"Expired")</f>
        <v>0</v>
      </c>
      <c r="AL394" s="3" cm="1">
        <f t="array" ref="AL394">SUM(SUMIFS(tblStock[value_nzd],tblStock[sku],tblSKU[[#This Row],[sku]],tblStock[stock_type],{"Saleable","FOC"},tblStock[expiry_date],"&lt;"&amp;EDATE(SnapshotDate,6)))</f>
        <v>558571.20000000007</v>
      </c>
    </row>
    <row r="395" spans="1:38">
      <c r="A395" s="1" t="s">
        <v>844</v>
      </c>
      <c r="B395" s="1" t="s">
        <v>845</v>
      </c>
      <c r="C395" s="1" t="s">
        <v>67</v>
      </c>
      <c r="D395" s="1" t="s">
        <v>37</v>
      </c>
      <c r="E395" s="1" t="s">
        <v>833</v>
      </c>
      <c r="F395" s="1" t="s">
        <v>39</v>
      </c>
      <c r="G395">
        <v>100</v>
      </c>
      <c r="H395">
        <v>26.4</v>
      </c>
      <c r="I395">
        <v>33.9</v>
      </c>
      <c r="J395">
        <v>15.5</v>
      </c>
      <c r="K395">
        <v>1.387E-2</v>
      </c>
      <c r="L395">
        <v>2.97</v>
      </c>
      <c r="M395">
        <v>38.26</v>
      </c>
      <c r="N395">
        <v>8</v>
      </c>
      <c r="O395">
        <v>5</v>
      </c>
      <c r="P395">
        <v>40</v>
      </c>
      <c r="Q395">
        <v>92.5</v>
      </c>
      <c r="R395">
        <v>143.80000000000001</v>
      </c>
      <c r="S395">
        <v>0.55479999999999996</v>
      </c>
      <c r="T395">
        <v>77</v>
      </c>
      <c r="U395">
        <v>4712</v>
      </c>
      <c r="V395">
        <v>180281.12</v>
      </c>
      <c r="W395" s="1" t="s">
        <v>1258</v>
      </c>
      <c r="X395" s="1" t="s">
        <v>1264</v>
      </c>
      <c r="Y395">
        <v>0.90588235294117647</v>
      </c>
      <c r="Z395">
        <v>6.9294117647058825E-2</v>
      </c>
      <c r="AA395" s="1" t="s">
        <v>1259</v>
      </c>
      <c r="AB395">
        <v>0</v>
      </c>
      <c r="AC395">
        <v>1</v>
      </c>
      <c r="AD395" s="1">
        <v>3.5993208828522922</v>
      </c>
      <c r="AE395">
        <v>12</v>
      </c>
      <c r="AF395">
        <f>COUNTIFS(tblStock[sku],tblSKU[[#This Row],[sku]])</f>
        <v>3</v>
      </c>
      <c r="AG395" cm="1">
        <f t="array" ref="AG395">SUM(SUMIFS(tblStock[qty_units],tblStock[sku],tblSKU[[#This Row],[sku]],tblStock[stock_type],{"Saleable","FOC"}))</f>
        <v>4240</v>
      </c>
      <c r="AH395" s="3">
        <f>SUMIFS(tblStock[value_nzd],tblStock[sku],tblSKU[[#This Row],[sku]])</f>
        <v>162222.39999999999</v>
      </c>
      <c r="AI395" s="4">
        <f>SUMIFS(tblStock[cbm],tblStock[sku],tblSKU[[#This Row],[sku]])</f>
        <v>0.58808800000000006</v>
      </c>
      <c r="AJ395" s="1">
        <f>SUMIFS(tblStock[positions],tblStock[sku],tblSKU[[#This Row],[sku]])</f>
        <v>1</v>
      </c>
      <c r="AK395" s="3">
        <f>SUMIFS(tblStock[value_nzd],tblStock[sku],tblSKU[[#This Row],[sku]],tblStock[stock_type],"Expired")</f>
        <v>0</v>
      </c>
      <c r="AL395" s="3" cm="1">
        <f t="array" ref="AL395">SUM(SUMIFS(tblStock[value_nzd],tblStock[sku],tblSKU[[#This Row],[sku]],tblStock[stock_type],{"Saleable","FOC"},tblStock[expiry_date],"&lt;"&amp;EDATE(SnapshotDate,6)))</f>
        <v>0</v>
      </c>
    </row>
    <row r="396" spans="1:38">
      <c r="A396" s="1" t="s">
        <v>846</v>
      </c>
      <c r="B396" s="1" t="s">
        <v>847</v>
      </c>
      <c r="C396" s="1" t="s">
        <v>781</v>
      </c>
      <c r="D396" s="1" t="s">
        <v>37</v>
      </c>
      <c r="E396" s="1" t="s">
        <v>833</v>
      </c>
      <c r="F396" s="1" t="s">
        <v>39</v>
      </c>
      <c r="G396">
        <v>200</v>
      </c>
      <c r="H396">
        <v>33.1</v>
      </c>
      <c r="I396">
        <v>25.5</v>
      </c>
      <c r="J396">
        <v>13.1</v>
      </c>
      <c r="K396">
        <v>1.106E-2</v>
      </c>
      <c r="L396">
        <v>1.35</v>
      </c>
      <c r="M396">
        <v>28.33</v>
      </c>
      <c r="N396">
        <v>12</v>
      </c>
      <c r="O396">
        <v>6</v>
      </c>
      <c r="P396">
        <v>72</v>
      </c>
      <c r="Q396">
        <v>93.6</v>
      </c>
      <c r="R396">
        <v>122.2</v>
      </c>
      <c r="S396">
        <v>0.79632000000000003</v>
      </c>
      <c r="T396">
        <v>14</v>
      </c>
      <c r="U396">
        <v>515</v>
      </c>
      <c r="V396">
        <v>14589.949999999999</v>
      </c>
      <c r="W396" s="1" t="s">
        <v>1262</v>
      </c>
      <c r="X396" s="1" t="s">
        <v>1262</v>
      </c>
      <c r="Y396">
        <v>0.16470588235294117</v>
      </c>
      <c r="Z396">
        <v>2.1037581699346409E-3</v>
      </c>
      <c r="AA396" s="1" t="s">
        <v>1263</v>
      </c>
      <c r="AB396">
        <v>0</v>
      </c>
      <c r="AC396">
        <v>0</v>
      </c>
      <c r="AD396" s="1">
        <v>5.7708737864077673</v>
      </c>
      <c r="AE396">
        <v>2</v>
      </c>
      <c r="AF396">
        <f>COUNTIFS(tblStock[sku],tblSKU[[#This Row],[sku]])</f>
        <v>1</v>
      </c>
      <c r="AG396" cm="1">
        <f t="array" ref="AG396">SUM(SUMIFS(tblStock[qty_units],tblStock[sku],tblSKU[[#This Row],[sku]],tblStock[stock_type],{"Saleable","FOC"}))</f>
        <v>743</v>
      </c>
      <c r="AH396" s="3">
        <f>SUMIFS(tblStock[value_nzd],tblStock[sku],tblSKU[[#This Row],[sku]])</f>
        <v>21049.19</v>
      </c>
      <c r="AI396" s="4">
        <f>SUMIFS(tblStock[cbm],tblStock[sku],tblSKU[[#This Row],[sku]])</f>
        <v>4.1087899999999997E-2</v>
      </c>
      <c r="AJ396" s="1">
        <f>SUMIFS(tblStock[positions],tblStock[sku],tblSKU[[#This Row],[sku]])</f>
        <v>0</v>
      </c>
      <c r="AK396" s="3">
        <f>SUMIFS(tblStock[value_nzd],tblStock[sku],tblSKU[[#This Row],[sku]],tblStock[stock_type],"Expired")</f>
        <v>0</v>
      </c>
      <c r="AL396" s="3" cm="1">
        <f t="array" ref="AL396">SUM(SUMIFS(tblStock[value_nzd],tblStock[sku],tblSKU[[#This Row],[sku]],tblStock[stock_type],{"Saleable","FOC"},tblStock[expiry_date],"&lt;"&amp;EDATE(SnapshotDate,6)))</f>
        <v>0</v>
      </c>
    </row>
    <row r="397" spans="1:38">
      <c r="A397" s="1" t="s">
        <v>848</v>
      </c>
      <c r="B397" s="1" t="s">
        <v>849</v>
      </c>
      <c r="C397" s="1" t="s">
        <v>837</v>
      </c>
      <c r="D397" s="1" t="s">
        <v>37</v>
      </c>
      <c r="E397" s="1" t="s">
        <v>833</v>
      </c>
      <c r="F397" s="1" t="s">
        <v>39</v>
      </c>
      <c r="G397">
        <v>50</v>
      </c>
      <c r="H397">
        <v>30.4</v>
      </c>
      <c r="I397">
        <v>32.700000000000003</v>
      </c>
      <c r="J397">
        <v>21.8</v>
      </c>
      <c r="K397">
        <v>2.1669999999999998E-2</v>
      </c>
      <c r="L397">
        <v>4.5199999999999996</v>
      </c>
      <c r="M397">
        <v>38.799999999999997</v>
      </c>
      <c r="N397">
        <v>9</v>
      </c>
      <c r="O397">
        <v>5</v>
      </c>
      <c r="P397">
        <v>45</v>
      </c>
      <c r="Q397">
        <v>124</v>
      </c>
      <c r="R397">
        <v>228.39999999999998</v>
      </c>
      <c r="S397">
        <v>0.97514999999999996</v>
      </c>
      <c r="T397">
        <v>33</v>
      </c>
      <c r="U397">
        <v>2090</v>
      </c>
      <c r="V397">
        <v>81092</v>
      </c>
      <c r="W397" s="1" t="s">
        <v>1258</v>
      </c>
      <c r="X397" s="1" t="s">
        <v>1258</v>
      </c>
      <c r="Y397">
        <v>0.38823529411764707</v>
      </c>
      <c r="Z397">
        <v>5.4640522875816985E-2</v>
      </c>
      <c r="AA397" s="1" t="s">
        <v>1259</v>
      </c>
      <c r="AB397">
        <v>0</v>
      </c>
      <c r="AC397">
        <v>1</v>
      </c>
      <c r="AD397" s="1">
        <v>7.2038277511961724</v>
      </c>
      <c r="AE397">
        <v>4</v>
      </c>
      <c r="AF397">
        <f>COUNTIFS(tblStock[sku],tblSKU[[#This Row],[sku]])</f>
        <v>4</v>
      </c>
      <c r="AG397" cm="1">
        <f t="array" ref="AG397">SUM(SUMIFS(tblStock[qty_units],tblStock[sku],tblSKU[[#This Row],[sku]],tblStock[stock_type],{"Saleable","FOC"}))</f>
        <v>3764</v>
      </c>
      <c r="AH397" s="3">
        <f>SUMIFS(tblStock[value_nzd],tblStock[sku],tblSKU[[#This Row],[sku]])</f>
        <v>146043.20000000001</v>
      </c>
      <c r="AI397" s="4">
        <f>SUMIFS(tblStock[cbm],tblStock[sku],tblSKU[[#This Row],[sku]])</f>
        <v>1.6313175999999998</v>
      </c>
      <c r="AJ397" s="1">
        <f>SUMIFS(tblStock[positions],tblStock[sku],tblSKU[[#This Row],[sku]])</f>
        <v>2</v>
      </c>
      <c r="AK397" s="3">
        <f>SUMIFS(tblStock[value_nzd],tblStock[sku],tblSKU[[#This Row],[sku]],tblStock[stock_type],"Expired")</f>
        <v>0</v>
      </c>
      <c r="AL397" s="3" cm="1">
        <f t="array" ref="AL397">SUM(SUMIFS(tblStock[value_nzd],tblStock[sku],tblSKU[[#This Row],[sku]],tblStock[stock_type],{"Saleable","FOC"},tblStock[expiry_date],"&lt;"&amp;EDATE(SnapshotDate,6)))</f>
        <v>0</v>
      </c>
    </row>
    <row r="398" spans="1:38">
      <c r="A398" s="1" t="s">
        <v>850</v>
      </c>
      <c r="B398" s="1" t="s">
        <v>851</v>
      </c>
      <c r="C398" s="1" t="s">
        <v>67</v>
      </c>
      <c r="D398" s="1" t="s">
        <v>37</v>
      </c>
      <c r="E398" s="1" t="s">
        <v>833</v>
      </c>
      <c r="F398" s="1" t="s">
        <v>39</v>
      </c>
      <c r="G398">
        <v>50</v>
      </c>
      <c r="H398">
        <v>41.8</v>
      </c>
      <c r="I398">
        <v>23</v>
      </c>
      <c r="J398">
        <v>12.8</v>
      </c>
      <c r="K398">
        <v>1.231E-2</v>
      </c>
      <c r="L398">
        <v>1.75</v>
      </c>
      <c r="M398">
        <v>16.940000000000001</v>
      </c>
      <c r="N398">
        <v>10</v>
      </c>
      <c r="O398">
        <v>11</v>
      </c>
      <c r="P398">
        <v>110</v>
      </c>
      <c r="Q398">
        <v>155.80000000000001</v>
      </c>
      <c r="R398">
        <v>217.5</v>
      </c>
      <c r="S398">
        <v>1.3541000000000001</v>
      </c>
      <c r="T398">
        <v>73</v>
      </c>
      <c r="U398">
        <v>2847</v>
      </c>
      <c r="V398">
        <v>48228.18</v>
      </c>
      <c r="W398" s="1" t="s">
        <v>1258</v>
      </c>
      <c r="X398" s="1" t="s">
        <v>1258</v>
      </c>
      <c r="Y398">
        <v>0.85882352941176465</v>
      </c>
      <c r="Z398">
        <v>3.0449197860962569E-2</v>
      </c>
      <c r="AA398" s="1" t="s">
        <v>1259</v>
      </c>
      <c r="AB398">
        <v>0</v>
      </c>
      <c r="AC398">
        <v>1</v>
      </c>
      <c r="AD398" s="1">
        <v>6.7242711626273266</v>
      </c>
      <c r="AE398">
        <v>4</v>
      </c>
      <c r="AF398">
        <f>COUNTIFS(tblStock[sku],tblSKU[[#This Row],[sku]])</f>
        <v>3</v>
      </c>
      <c r="AG398" cm="1">
        <f t="array" ref="AG398">SUM(SUMIFS(tblStock[qty_units],tblStock[sku],tblSKU[[#This Row],[sku]],tblStock[stock_type],{"Saleable","FOC"}))</f>
        <v>4786</v>
      </c>
      <c r="AH398" s="3">
        <f>SUMIFS(tblStock[value_nzd],tblStock[sku],tblSKU[[#This Row],[sku]])</f>
        <v>81074.84</v>
      </c>
      <c r="AI398" s="4">
        <f>SUMIFS(tblStock[cbm],tblStock[sku],tblSKU[[#This Row],[sku]])</f>
        <v>1.1783132000000001</v>
      </c>
      <c r="AJ398" s="1">
        <f>SUMIFS(tblStock[positions],tblStock[sku],tblSKU[[#This Row],[sku]])</f>
        <v>1</v>
      </c>
      <c r="AK398" s="3">
        <f>SUMIFS(tblStock[value_nzd],tblStock[sku],tblSKU[[#This Row],[sku]],tblStock[stock_type],"Expired")</f>
        <v>0</v>
      </c>
      <c r="AL398" s="3" cm="1">
        <f t="array" ref="AL398">SUM(SUMIFS(tblStock[value_nzd],tblStock[sku],tblSKU[[#This Row],[sku]],tblStock[stock_type],{"Saleable","FOC"},tblStock[expiry_date],"&lt;"&amp;EDATE(SnapshotDate,6)))</f>
        <v>3337.1800000000003</v>
      </c>
    </row>
    <row r="399" spans="1:38">
      <c r="A399" s="1" t="s">
        <v>852</v>
      </c>
      <c r="B399" s="1" t="s">
        <v>853</v>
      </c>
      <c r="C399" s="1" t="s">
        <v>67</v>
      </c>
      <c r="D399" s="1" t="s">
        <v>37</v>
      </c>
      <c r="E399" s="1" t="s">
        <v>833</v>
      </c>
      <c r="F399" s="1" t="s">
        <v>834</v>
      </c>
      <c r="G399">
        <v>50</v>
      </c>
      <c r="H399">
        <v>38.4</v>
      </c>
      <c r="I399">
        <v>22.5</v>
      </c>
      <c r="J399">
        <v>14.8</v>
      </c>
      <c r="K399">
        <v>1.2789999999999999E-2</v>
      </c>
      <c r="L399">
        <v>1.88</v>
      </c>
      <c r="M399">
        <v>7.28</v>
      </c>
      <c r="N399">
        <v>11</v>
      </c>
      <c r="O399">
        <v>4</v>
      </c>
      <c r="P399">
        <v>44</v>
      </c>
      <c r="Q399">
        <v>74.2</v>
      </c>
      <c r="R399">
        <v>107.72</v>
      </c>
      <c r="S399">
        <v>0.56275999999999993</v>
      </c>
      <c r="T399">
        <v>26</v>
      </c>
      <c r="U399">
        <v>1629</v>
      </c>
      <c r="V399">
        <v>11859.12</v>
      </c>
      <c r="W399" s="1" t="s">
        <v>1258</v>
      </c>
      <c r="X399" s="1" t="s">
        <v>1262</v>
      </c>
      <c r="Y399">
        <v>0.30588235294117649</v>
      </c>
      <c r="Z399">
        <v>4.3556149732620314E-2</v>
      </c>
      <c r="AA399" s="1" t="s">
        <v>1259</v>
      </c>
      <c r="AB399">
        <v>0</v>
      </c>
      <c r="AC399">
        <v>1</v>
      </c>
      <c r="AD399" s="1">
        <v>10.025782688766114</v>
      </c>
      <c r="AE399">
        <v>2</v>
      </c>
      <c r="AF399">
        <f>COUNTIFS(tblStock[sku],tblSKU[[#This Row],[sku]])</f>
        <v>3</v>
      </c>
      <c r="AG399" cm="1">
        <f t="array" ref="AG399">SUM(SUMIFS(tblStock[qty_units],tblStock[sku],tblSKU[[#This Row],[sku]],tblStock[stock_type],{"Saleable","FOC"}))</f>
        <v>4083</v>
      </c>
      <c r="AH399" s="3">
        <f>SUMIFS(tblStock[value_nzd],tblStock[sku],tblSKU[[#This Row],[sku]])</f>
        <v>29724.240000000002</v>
      </c>
      <c r="AI399" s="4">
        <f>SUMIFS(tblStock[cbm],tblStock[sku],tblSKU[[#This Row],[sku]])</f>
        <v>1.0444313999999999</v>
      </c>
      <c r="AJ399" s="1">
        <f>SUMIFS(tblStock[positions],tblStock[sku],tblSKU[[#This Row],[sku]])</f>
        <v>3</v>
      </c>
      <c r="AK399" s="3">
        <f>SUMIFS(tblStock[value_nzd],tblStock[sku],tblSKU[[#This Row],[sku]],tblStock[stock_type],"Expired")</f>
        <v>0</v>
      </c>
      <c r="AL399" s="3" cm="1">
        <f t="array" ref="AL399">SUM(SUMIFS(tblStock[value_nzd],tblStock[sku],tblSKU[[#This Row],[sku]],tblStock[stock_type],{"Saleable","FOC"},tblStock[expiry_date],"&lt;"&amp;EDATE(SnapshotDate,6)))</f>
        <v>0</v>
      </c>
    </row>
    <row r="400" spans="1:38">
      <c r="A400" s="1" t="s">
        <v>854</v>
      </c>
      <c r="B400" s="1" t="s">
        <v>855</v>
      </c>
      <c r="C400" s="1" t="s">
        <v>67</v>
      </c>
      <c r="D400" s="1" t="s">
        <v>37</v>
      </c>
      <c r="E400" s="1" t="s">
        <v>833</v>
      </c>
      <c r="F400" s="1" t="s">
        <v>834</v>
      </c>
      <c r="G400">
        <v>50</v>
      </c>
      <c r="H400">
        <v>41.9</v>
      </c>
      <c r="I400">
        <v>30.6</v>
      </c>
      <c r="J400">
        <v>13.8</v>
      </c>
      <c r="K400">
        <v>1.7690000000000001E-2</v>
      </c>
      <c r="L400">
        <v>3.98</v>
      </c>
      <c r="M400">
        <v>21.27</v>
      </c>
      <c r="N400">
        <v>6</v>
      </c>
      <c r="O400">
        <v>6</v>
      </c>
      <c r="P400">
        <v>36</v>
      </c>
      <c r="Q400">
        <v>97.800000000000011</v>
      </c>
      <c r="R400">
        <v>168.28</v>
      </c>
      <c r="S400">
        <v>0.63684000000000007</v>
      </c>
      <c r="T400">
        <v>73</v>
      </c>
      <c r="U400">
        <v>4465</v>
      </c>
      <c r="V400">
        <v>94970.55</v>
      </c>
      <c r="W400" s="1" t="s">
        <v>1258</v>
      </c>
      <c r="X400" s="1" t="s">
        <v>1258</v>
      </c>
      <c r="Y400">
        <v>0.85882352941176465</v>
      </c>
      <c r="Z400">
        <v>0.14591503267973857</v>
      </c>
      <c r="AA400" s="1" t="s">
        <v>1259</v>
      </c>
      <c r="AB400">
        <v>0</v>
      </c>
      <c r="AC400">
        <v>1</v>
      </c>
      <c r="AD400" s="1">
        <v>5.6277715565509521</v>
      </c>
      <c r="AE400">
        <v>4</v>
      </c>
      <c r="AF400">
        <f>COUNTIFS(tblStock[sku],tblSKU[[#This Row],[sku]])</f>
        <v>4</v>
      </c>
      <c r="AG400" cm="1">
        <f t="array" ref="AG400">SUM(SUMIFS(tblStock[qty_units],tblStock[sku],tblSKU[[#This Row],[sku]],tblStock[stock_type],{"Saleable","FOC"}))</f>
        <v>6282</v>
      </c>
      <c r="AH400" s="3">
        <f>SUMIFS(tblStock[value_nzd],tblStock[sku],tblSKU[[#This Row],[sku]])</f>
        <v>137425.47</v>
      </c>
      <c r="AI400" s="4">
        <f>SUMIFS(tblStock[cbm],tblStock[sku],tblSKU[[#This Row],[sku]])</f>
        <v>2.2859017999999995</v>
      </c>
      <c r="AJ400" s="1">
        <f>SUMIFS(tblStock[positions],tblStock[sku],tblSKU[[#This Row],[sku]])</f>
        <v>4</v>
      </c>
      <c r="AK400" s="3">
        <f>SUMIFS(tblStock[value_nzd],tblStock[sku],tblSKU[[#This Row],[sku]],tblStock[stock_type],"Expired")</f>
        <v>0</v>
      </c>
      <c r="AL400" s="3" cm="1">
        <f t="array" ref="AL400">SUM(SUMIFS(tblStock[value_nzd],tblStock[sku],tblSKU[[#This Row],[sku]],tblStock[stock_type],{"Saleable","FOC"},tblStock[expiry_date],"&lt;"&amp;EDATE(SnapshotDate,6)))</f>
        <v>0</v>
      </c>
    </row>
    <row r="401" spans="1:38">
      <c r="A401" s="1" t="s">
        <v>856</v>
      </c>
      <c r="B401" s="1" t="s">
        <v>857</v>
      </c>
      <c r="C401" s="1" t="s">
        <v>67</v>
      </c>
      <c r="D401" s="1" t="s">
        <v>37</v>
      </c>
      <c r="E401" s="1" t="s">
        <v>833</v>
      </c>
      <c r="F401" s="1" t="s">
        <v>39</v>
      </c>
      <c r="G401">
        <v>50</v>
      </c>
      <c r="H401">
        <v>40.6</v>
      </c>
      <c r="I401">
        <v>24.7</v>
      </c>
      <c r="J401">
        <v>17.2</v>
      </c>
      <c r="K401">
        <v>1.7250000000000001E-2</v>
      </c>
      <c r="L401">
        <v>4.22</v>
      </c>
      <c r="M401">
        <v>16.3</v>
      </c>
      <c r="N401">
        <v>8</v>
      </c>
      <c r="O401">
        <v>4</v>
      </c>
      <c r="P401">
        <v>32</v>
      </c>
      <c r="Q401">
        <v>83.8</v>
      </c>
      <c r="R401">
        <v>160.04</v>
      </c>
      <c r="S401">
        <v>0.55200000000000005</v>
      </c>
      <c r="T401">
        <v>35</v>
      </c>
      <c r="U401">
        <v>2059</v>
      </c>
      <c r="V401">
        <v>33561.700000000004</v>
      </c>
      <c r="W401" s="1" t="s">
        <v>1258</v>
      </c>
      <c r="X401" s="1" t="s">
        <v>1258</v>
      </c>
      <c r="Y401">
        <v>0.41176470588235292</v>
      </c>
      <c r="Z401">
        <v>7.5698529411764706E-2</v>
      </c>
      <c r="AA401" s="1" t="s">
        <v>1259</v>
      </c>
      <c r="AB401">
        <v>0</v>
      </c>
      <c r="AC401">
        <v>1</v>
      </c>
      <c r="AD401" s="1">
        <v>5.9524040796503153</v>
      </c>
      <c r="AE401">
        <v>4</v>
      </c>
      <c r="AF401">
        <f>COUNTIFS(tblStock[sku],tblSKU[[#This Row],[sku]])</f>
        <v>1</v>
      </c>
      <c r="AG401" cm="1">
        <f t="array" ref="AG401">SUM(SUMIFS(tblStock[qty_units],tblStock[sku],tblSKU[[#This Row],[sku]],tblStock[stock_type],{"Saleable","FOC"}))</f>
        <v>3064</v>
      </c>
      <c r="AH401" s="3">
        <f>SUMIFS(tblStock[value_nzd],tblStock[sku],tblSKU[[#This Row],[sku]])</f>
        <v>49943.200000000004</v>
      </c>
      <c r="AI401" s="4">
        <f>SUMIFS(tblStock[cbm],tblStock[sku],tblSKU[[#This Row],[sku]])</f>
        <v>1.05708</v>
      </c>
      <c r="AJ401" s="1">
        <f>SUMIFS(tblStock[positions],tblStock[sku],tblSKU[[#This Row],[sku]])</f>
        <v>2</v>
      </c>
      <c r="AK401" s="3">
        <f>SUMIFS(tblStock[value_nzd],tblStock[sku],tblSKU[[#This Row],[sku]],tblStock[stock_type],"Expired")</f>
        <v>0</v>
      </c>
      <c r="AL401" s="3" cm="1">
        <f t="array" ref="AL401">SUM(SUMIFS(tblStock[value_nzd],tblStock[sku],tblSKU[[#This Row],[sku]],tblStock[stock_type],{"Saleable","FOC"},tblStock[expiry_date],"&lt;"&amp;EDATE(SnapshotDate,6)))</f>
        <v>0</v>
      </c>
    </row>
    <row r="402" spans="1:38">
      <c r="A402" s="1" t="s">
        <v>858</v>
      </c>
      <c r="B402" s="1" t="s">
        <v>859</v>
      </c>
      <c r="C402" s="1" t="s">
        <v>837</v>
      </c>
      <c r="D402" s="1" t="s">
        <v>37</v>
      </c>
      <c r="E402" s="1" t="s">
        <v>833</v>
      </c>
      <c r="F402" s="1" t="s">
        <v>39</v>
      </c>
      <c r="G402">
        <v>100</v>
      </c>
      <c r="H402">
        <v>32.6</v>
      </c>
      <c r="I402">
        <v>31.1</v>
      </c>
      <c r="J402">
        <v>20.7</v>
      </c>
      <c r="K402">
        <v>2.0990000000000002E-2</v>
      </c>
      <c r="L402">
        <v>5.01</v>
      </c>
      <c r="M402">
        <v>28.12</v>
      </c>
      <c r="N402">
        <v>9</v>
      </c>
      <c r="O402">
        <v>4</v>
      </c>
      <c r="P402">
        <v>36</v>
      </c>
      <c r="Q402">
        <v>97.8</v>
      </c>
      <c r="R402">
        <v>205.35999999999999</v>
      </c>
      <c r="S402">
        <v>0.75564000000000009</v>
      </c>
      <c r="T402">
        <v>25</v>
      </c>
      <c r="U402">
        <v>2131</v>
      </c>
      <c r="V402">
        <v>59923.72</v>
      </c>
      <c r="W402" s="1" t="s">
        <v>1258</v>
      </c>
      <c r="X402" s="1" t="s">
        <v>1258</v>
      </c>
      <c r="Y402">
        <v>0.29411764705882354</v>
      </c>
      <c r="Z402">
        <v>3.4820261437908492E-2</v>
      </c>
      <c r="AA402" s="1" t="s">
        <v>1259</v>
      </c>
      <c r="AB402">
        <v>0</v>
      </c>
      <c r="AC402">
        <v>1</v>
      </c>
      <c r="AD402" s="1">
        <v>3.3693101830126699</v>
      </c>
      <c r="AE402">
        <v>4</v>
      </c>
      <c r="AF402">
        <f>COUNTIFS(tblStock[sku],tblSKU[[#This Row],[sku]])</f>
        <v>3</v>
      </c>
      <c r="AG402" cm="1">
        <f t="array" ref="AG402">SUM(SUMIFS(tblStock[qty_units],tblStock[sku],tblSKU[[#This Row],[sku]],tblStock[stock_type],{"Saleable","FOC"}))</f>
        <v>1795</v>
      </c>
      <c r="AH402" s="3">
        <f>SUMIFS(tblStock[value_nzd],tblStock[sku],tblSKU[[#This Row],[sku]])</f>
        <v>54496.560000000005</v>
      </c>
      <c r="AI402" s="4">
        <f>SUMIFS(tblStock[cbm],tblStock[sku],tblSKU[[#This Row],[sku]])</f>
        <v>0.40678620000000004</v>
      </c>
      <c r="AJ402" s="1">
        <f>SUMIFS(tblStock[positions],tblStock[sku],tblSKU[[#This Row],[sku]])</f>
        <v>1</v>
      </c>
      <c r="AK402" s="3">
        <f>SUMIFS(tblStock[value_nzd],tblStock[sku],tblSKU[[#This Row],[sku]],tblStock[stock_type],"Expired")</f>
        <v>4021.1600000000003</v>
      </c>
      <c r="AL402" s="3" cm="1">
        <f t="array" ref="AL402">SUM(SUMIFS(tblStock[value_nzd],tblStock[sku],tblSKU[[#This Row],[sku]],tblStock[stock_type],{"Saleable","FOC"},tblStock[expiry_date],"&lt;"&amp;EDATE(SnapshotDate,6)))</f>
        <v>0</v>
      </c>
    </row>
    <row r="403" spans="1:38">
      <c r="A403" s="1" t="s">
        <v>860</v>
      </c>
      <c r="B403" s="1" t="s">
        <v>861</v>
      </c>
      <c r="C403" s="1" t="s">
        <v>781</v>
      </c>
      <c r="D403" s="1" t="s">
        <v>37</v>
      </c>
      <c r="E403" s="1" t="s">
        <v>833</v>
      </c>
      <c r="F403" s="1" t="s">
        <v>39</v>
      </c>
      <c r="G403">
        <v>200</v>
      </c>
      <c r="H403">
        <v>25.7</v>
      </c>
      <c r="I403">
        <v>28.6</v>
      </c>
      <c r="J403">
        <v>18.100000000000001</v>
      </c>
      <c r="K403">
        <v>1.3299999999999999E-2</v>
      </c>
      <c r="L403">
        <v>2.4</v>
      </c>
      <c r="M403">
        <v>20.51</v>
      </c>
      <c r="N403">
        <v>12</v>
      </c>
      <c r="O403">
        <v>4</v>
      </c>
      <c r="P403">
        <v>48</v>
      </c>
      <c r="Q403">
        <v>87.4</v>
      </c>
      <c r="R403">
        <v>140.19999999999999</v>
      </c>
      <c r="S403">
        <v>0.63839999999999997</v>
      </c>
      <c r="T403">
        <v>11</v>
      </c>
      <c r="U403">
        <v>1615</v>
      </c>
      <c r="V403">
        <v>33123.65</v>
      </c>
      <c r="W403" s="1" t="s">
        <v>1262</v>
      </c>
      <c r="X403" s="1" t="s">
        <v>1258</v>
      </c>
      <c r="Y403">
        <v>0.12941176470588237</v>
      </c>
      <c r="Z403">
        <v>9.8958333333333311E-3</v>
      </c>
      <c r="AA403" s="1" t="s">
        <v>1263</v>
      </c>
      <c r="AB403">
        <v>0</v>
      </c>
      <c r="AC403">
        <v>0</v>
      </c>
      <c r="AD403" s="1">
        <v>6.5634674922600622</v>
      </c>
      <c r="AE403">
        <v>4</v>
      </c>
      <c r="AF403">
        <f>COUNTIFS(tblStock[sku],tblSKU[[#This Row],[sku]])</f>
        <v>2</v>
      </c>
      <c r="AG403" cm="1">
        <f t="array" ref="AG403">SUM(SUMIFS(tblStock[qty_units],tblStock[sku],tblSKU[[#This Row],[sku]],tblStock[stock_type],{"Saleable","FOC"}))</f>
        <v>2650</v>
      </c>
      <c r="AH403" s="3">
        <f>SUMIFS(tblStock[value_nzd],tblStock[sku],tblSKU[[#This Row],[sku]])</f>
        <v>54351.500000000007</v>
      </c>
      <c r="AI403" s="4">
        <f>SUMIFS(tblStock[cbm],tblStock[sku],tblSKU[[#This Row],[sku]])</f>
        <v>0.17622499999999997</v>
      </c>
      <c r="AJ403" s="1">
        <f>SUMIFS(tblStock[positions],tblStock[sku],tblSKU[[#This Row],[sku]])</f>
        <v>0</v>
      </c>
      <c r="AK403" s="3">
        <f>SUMIFS(tblStock[value_nzd],tblStock[sku],tblSKU[[#This Row],[sku]],tblStock[stock_type],"Expired")</f>
        <v>0</v>
      </c>
      <c r="AL403" s="3" cm="1">
        <f t="array" ref="AL403">SUM(SUMIFS(tblStock[value_nzd],tblStock[sku],tblSKU[[#This Row],[sku]],tblStock[stock_type],{"Saleable","FOC"},tblStock[expiry_date],"&lt;"&amp;EDATE(SnapshotDate,6)))</f>
        <v>0</v>
      </c>
    </row>
    <row r="404" spans="1:38">
      <c r="A404" s="1" t="s">
        <v>862</v>
      </c>
      <c r="B404" s="1" t="s">
        <v>863</v>
      </c>
      <c r="C404" s="1" t="s">
        <v>837</v>
      </c>
      <c r="D404" s="1" t="s">
        <v>37</v>
      </c>
      <c r="E404" s="1" t="s">
        <v>833</v>
      </c>
      <c r="F404" s="1" t="s">
        <v>39</v>
      </c>
      <c r="G404">
        <v>100</v>
      </c>
      <c r="H404">
        <v>30.5</v>
      </c>
      <c r="I404">
        <v>34.5</v>
      </c>
      <c r="J404">
        <v>20.6</v>
      </c>
      <c r="K404">
        <v>2.1680000000000001E-2</v>
      </c>
      <c r="L404">
        <v>4.54</v>
      </c>
      <c r="M404">
        <v>10.58</v>
      </c>
      <c r="N404">
        <v>9</v>
      </c>
      <c r="O404">
        <v>6</v>
      </c>
      <c r="P404">
        <v>54</v>
      </c>
      <c r="Q404">
        <v>138.60000000000002</v>
      </c>
      <c r="R404">
        <v>270.15999999999997</v>
      </c>
      <c r="S404">
        <v>1.17072</v>
      </c>
      <c r="T404">
        <v>7</v>
      </c>
      <c r="U404">
        <v>254</v>
      </c>
      <c r="V404">
        <v>2687.32</v>
      </c>
      <c r="W404" s="1" t="s">
        <v>1262</v>
      </c>
      <c r="X404" s="1" t="s">
        <v>1262</v>
      </c>
      <c r="Y404">
        <v>8.2352941176470587E-2</v>
      </c>
      <c r="Z404">
        <v>2.7668845315904139E-3</v>
      </c>
      <c r="AA404" s="1" t="s">
        <v>1263</v>
      </c>
      <c r="AB404">
        <v>0</v>
      </c>
      <c r="AC404">
        <v>0</v>
      </c>
      <c r="AD404" s="1">
        <v>5.1653543307086611</v>
      </c>
      <c r="AE404">
        <v>2</v>
      </c>
      <c r="AF404">
        <f>COUNTIFS(tblStock[sku],tblSKU[[#This Row],[sku]])</f>
        <v>1</v>
      </c>
      <c r="AG404" cm="1">
        <f t="array" ref="AG404">SUM(SUMIFS(tblStock[qty_units],tblStock[sku],tblSKU[[#This Row],[sku]],tblStock[stock_type],{"Saleable","FOC"}))</f>
        <v>328</v>
      </c>
      <c r="AH404" s="3">
        <f>SUMIFS(tblStock[value_nzd],tblStock[sku],tblSKU[[#This Row],[sku]])</f>
        <v>3470.2400000000002</v>
      </c>
      <c r="AI404" s="4">
        <f>SUMIFS(tblStock[cbm],tblStock[sku],tblSKU[[#This Row],[sku]])</f>
        <v>7.1110400000000004E-2</v>
      </c>
      <c r="AJ404" s="1">
        <f>SUMIFS(tblStock[positions],tblStock[sku],tblSKU[[#This Row],[sku]])</f>
        <v>0</v>
      </c>
      <c r="AK404" s="3">
        <f>SUMIFS(tblStock[value_nzd],tblStock[sku],tblSKU[[#This Row],[sku]],tblStock[stock_type],"Expired")</f>
        <v>0</v>
      </c>
      <c r="AL404" s="3" cm="1">
        <f t="array" ref="AL404">SUM(SUMIFS(tblStock[value_nzd],tblStock[sku],tblSKU[[#This Row],[sku]],tblStock[stock_type],{"Saleable","FOC"},tblStock[expiry_date],"&lt;"&amp;EDATE(SnapshotDate,6)))</f>
        <v>0</v>
      </c>
    </row>
    <row r="405" spans="1:38">
      <c r="A405" s="1" t="s">
        <v>864</v>
      </c>
      <c r="B405" s="1" t="s">
        <v>865</v>
      </c>
      <c r="C405" s="1" t="s">
        <v>67</v>
      </c>
      <c r="D405" s="1" t="s">
        <v>37</v>
      </c>
      <c r="E405" s="1" t="s">
        <v>833</v>
      </c>
      <c r="F405" s="1" t="s">
        <v>834</v>
      </c>
      <c r="G405">
        <v>50</v>
      </c>
      <c r="H405">
        <v>27.8</v>
      </c>
      <c r="I405">
        <v>26.7</v>
      </c>
      <c r="J405">
        <v>18.7</v>
      </c>
      <c r="K405">
        <v>1.388E-2</v>
      </c>
      <c r="L405">
        <v>2.2999999999999998</v>
      </c>
      <c r="M405">
        <v>29.77</v>
      </c>
      <c r="N405">
        <v>11</v>
      </c>
      <c r="O405">
        <v>5</v>
      </c>
      <c r="P405">
        <v>55</v>
      </c>
      <c r="Q405">
        <v>108.5</v>
      </c>
      <c r="R405">
        <v>151.5</v>
      </c>
      <c r="S405">
        <v>0.76339999999999997</v>
      </c>
      <c r="T405">
        <v>4</v>
      </c>
      <c r="U405">
        <v>142</v>
      </c>
      <c r="V405">
        <v>4227.34</v>
      </c>
      <c r="W405" s="1" t="s">
        <v>1262</v>
      </c>
      <c r="X405" s="1" t="s">
        <v>1262</v>
      </c>
      <c r="Y405">
        <v>4.7058823529411764E-2</v>
      </c>
      <c r="Z405">
        <v>3.0374331550802138E-3</v>
      </c>
      <c r="AA405" s="1" t="s">
        <v>1263</v>
      </c>
      <c r="AB405">
        <v>0</v>
      </c>
      <c r="AC405">
        <v>0</v>
      </c>
      <c r="AD405" s="1">
        <v>8.112676056338028</v>
      </c>
      <c r="AE405">
        <v>2</v>
      </c>
      <c r="AF405">
        <f>COUNTIFS(tblStock[sku],tblSKU[[#This Row],[sku]])</f>
        <v>2</v>
      </c>
      <c r="AG405" cm="1">
        <f t="array" ref="AG405">SUM(SUMIFS(tblStock[qty_units],tblStock[sku],tblSKU[[#This Row],[sku]],tblStock[stock_type],{"Saleable","FOC"}))</f>
        <v>288</v>
      </c>
      <c r="AH405" s="3">
        <f>SUMIFS(tblStock[value_nzd],tblStock[sku],tblSKU[[#This Row],[sku]])</f>
        <v>8811.92</v>
      </c>
      <c r="AI405" s="4">
        <f>SUMIFS(tblStock[cbm],tblStock[sku],tblSKU[[#This Row],[sku]])</f>
        <v>8.2169599999999995E-2</v>
      </c>
      <c r="AJ405" s="1">
        <f>SUMIFS(tblStock[positions],tblStock[sku],tblSKU[[#This Row],[sku]])</f>
        <v>0</v>
      </c>
      <c r="AK405" s="3">
        <f>SUMIFS(tblStock[value_nzd],tblStock[sku],tblSKU[[#This Row],[sku]],tblStock[stock_type],"Expired")</f>
        <v>0</v>
      </c>
      <c r="AL405" s="3" cm="1">
        <f t="array" ref="AL405">SUM(SUMIFS(tblStock[value_nzd],tblStock[sku],tblSKU[[#This Row],[sku]],tblStock[stock_type],{"Saleable","FOC"},tblStock[expiry_date],"&lt;"&amp;EDATE(SnapshotDate,6)))</f>
        <v>0</v>
      </c>
    </row>
    <row r="406" spans="1:38">
      <c r="A406" s="1" t="s">
        <v>866</v>
      </c>
      <c r="B406" s="1" t="s">
        <v>867</v>
      </c>
      <c r="C406" s="1" t="s">
        <v>67</v>
      </c>
      <c r="D406" s="1" t="s">
        <v>37</v>
      </c>
      <c r="E406" s="1" t="s">
        <v>833</v>
      </c>
      <c r="F406" s="1" t="s">
        <v>39</v>
      </c>
      <c r="G406">
        <v>200</v>
      </c>
      <c r="H406">
        <v>31.3</v>
      </c>
      <c r="I406">
        <v>31.8</v>
      </c>
      <c r="J406">
        <v>20.3</v>
      </c>
      <c r="K406">
        <v>2.0209999999999999E-2</v>
      </c>
      <c r="L406">
        <v>3.9</v>
      </c>
      <c r="M406">
        <v>33.68</v>
      </c>
      <c r="N406">
        <v>9</v>
      </c>
      <c r="O406">
        <v>5</v>
      </c>
      <c r="P406">
        <v>45</v>
      </c>
      <c r="Q406">
        <v>116.5</v>
      </c>
      <c r="R406">
        <v>200.5</v>
      </c>
      <c r="S406">
        <v>0.90944999999999998</v>
      </c>
      <c r="T406">
        <v>0</v>
      </c>
      <c r="U406">
        <v>0</v>
      </c>
      <c r="V406">
        <v>0</v>
      </c>
      <c r="W406" s="1" t="s">
        <v>1260</v>
      </c>
      <c r="X406" s="1" t="s">
        <v>1260</v>
      </c>
      <c r="Y406">
        <v>0</v>
      </c>
      <c r="Z406">
        <v>0</v>
      </c>
      <c r="AA406" s="1" t="s">
        <v>1261</v>
      </c>
      <c r="AB406">
        <v>0</v>
      </c>
      <c r="AC406">
        <v>0</v>
      </c>
      <c r="AD406" s="1"/>
      <c r="AE406">
        <v>1</v>
      </c>
      <c r="AF406">
        <f>COUNTIFS(tblStock[sku],tblSKU[[#This Row],[sku]])</f>
        <v>1</v>
      </c>
      <c r="AG406" cm="1">
        <f t="array" ref="AG406">SUM(SUMIFS(tblStock[qty_units],tblStock[sku],tblSKU[[#This Row],[sku]],tblStock[stock_type],{"Saleable","FOC"}))</f>
        <v>400</v>
      </c>
      <c r="AH406" s="3">
        <f>SUMIFS(tblStock[value_nzd],tblStock[sku],tblSKU[[#This Row],[sku]])</f>
        <v>13472</v>
      </c>
      <c r="AI406" s="4">
        <f>SUMIFS(tblStock[cbm],tblStock[sku],tblSKU[[#This Row],[sku]])</f>
        <v>4.0419999999999998E-2</v>
      </c>
      <c r="AJ406" s="1">
        <f>SUMIFS(tblStock[positions],tblStock[sku],tblSKU[[#This Row],[sku]])</f>
        <v>0</v>
      </c>
      <c r="AK406" s="3">
        <f>SUMIFS(tblStock[value_nzd],tblStock[sku],tblSKU[[#This Row],[sku]],tblStock[stock_type],"Expired")</f>
        <v>0</v>
      </c>
      <c r="AL406" s="3" cm="1">
        <f t="array" ref="AL406">SUM(SUMIFS(tblStock[value_nzd],tblStock[sku],tblSKU[[#This Row],[sku]],tblStock[stock_type],{"Saleable","FOC"},tblStock[expiry_date],"&lt;"&amp;EDATE(SnapshotDate,6)))</f>
        <v>0</v>
      </c>
    </row>
    <row r="407" spans="1:38">
      <c r="A407" s="1" t="s">
        <v>868</v>
      </c>
      <c r="B407" s="1" t="s">
        <v>869</v>
      </c>
      <c r="C407" s="1" t="s">
        <v>67</v>
      </c>
      <c r="D407" s="1" t="s">
        <v>37</v>
      </c>
      <c r="E407" s="1" t="s">
        <v>833</v>
      </c>
      <c r="F407" s="1" t="s">
        <v>39</v>
      </c>
      <c r="G407">
        <v>100</v>
      </c>
      <c r="H407">
        <v>29.4</v>
      </c>
      <c r="I407">
        <v>24.7</v>
      </c>
      <c r="J407">
        <v>21.5</v>
      </c>
      <c r="K407">
        <v>1.5610000000000001E-2</v>
      </c>
      <c r="L407">
        <v>3.87</v>
      </c>
      <c r="M407">
        <v>22.14</v>
      </c>
      <c r="N407">
        <v>16</v>
      </c>
      <c r="O407">
        <v>4</v>
      </c>
      <c r="P407">
        <v>64</v>
      </c>
      <c r="Q407">
        <v>101</v>
      </c>
      <c r="R407">
        <v>272.68</v>
      </c>
      <c r="S407">
        <v>0.99904000000000004</v>
      </c>
      <c r="T407">
        <v>2</v>
      </c>
      <c r="U407">
        <v>174</v>
      </c>
      <c r="V407">
        <v>3852.36</v>
      </c>
      <c r="W407" s="1" t="s">
        <v>1262</v>
      </c>
      <c r="X407" s="1" t="s">
        <v>1262</v>
      </c>
      <c r="Y407">
        <v>2.3529411764705882E-2</v>
      </c>
      <c r="Z407">
        <v>1.599264705882353E-3</v>
      </c>
      <c r="AA407" s="1" t="s">
        <v>1263</v>
      </c>
      <c r="AB407">
        <v>0</v>
      </c>
      <c r="AC407">
        <v>0</v>
      </c>
      <c r="AD407" s="1">
        <v>11.126436781609195</v>
      </c>
      <c r="AE407">
        <v>2</v>
      </c>
      <c r="AF407">
        <f>COUNTIFS(tblStock[sku],tblSKU[[#This Row],[sku]])</f>
        <v>1</v>
      </c>
      <c r="AG407" cm="1">
        <f t="array" ref="AG407">SUM(SUMIFS(tblStock[qty_units],tblStock[sku],tblSKU[[#This Row],[sku]],tblStock[stock_type],{"Saleable","FOC"}))</f>
        <v>484</v>
      </c>
      <c r="AH407" s="3">
        <f>SUMIFS(tblStock[value_nzd],tblStock[sku],tblSKU[[#This Row],[sku]])</f>
        <v>10715.76</v>
      </c>
      <c r="AI407" s="4">
        <f>SUMIFS(tblStock[cbm],tblStock[sku],tblSKU[[#This Row],[sku]])</f>
        <v>7.5552400000000006E-2</v>
      </c>
      <c r="AJ407" s="1">
        <f>SUMIFS(tblStock[positions],tblStock[sku],tblSKU[[#This Row],[sku]])</f>
        <v>0</v>
      </c>
      <c r="AK407" s="3">
        <f>SUMIFS(tblStock[value_nzd],tblStock[sku],tblSKU[[#This Row],[sku]],tblStock[stock_type],"Expired")</f>
        <v>0</v>
      </c>
      <c r="AL407" s="3" cm="1">
        <f t="array" ref="AL407">SUM(SUMIFS(tblStock[value_nzd],tblStock[sku],tblSKU[[#This Row],[sku]],tblStock[stock_type],{"Saleable","FOC"},tblStock[expiry_date],"&lt;"&amp;EDATE(SnapshotDate,6)))</f>
        <v>10715.76</v>
      </c>
    </row>
    <row r="408" spans="1:38">
      <c r="A408" s="1" t="s">
        <v>870</v>
      </c>
      <c r="B408" s="1" t="s">
        <v>871</v>
      </c>
      <c r="C408" s="1" t="s">
        <v>837</v>
      </c>
      <c r="D408" s="1" t="s">
        <v>37</v>
      </c>
      <c r="E408" s="1" t="s">
        <v>833</v>
      </c>
      <c r="F408" s="1" t="s">
        <v>39</v>
      </c>
      <c r="G408">
        <v>100</v>
      </c>
      <c r="H408">
        <v>42.1</v>
      </c>
      <c r="I408">
        <v>20.3</v>
      </c>
      <c r="J408">
        <v>20.5</v>
      </c>
      <c r="K408">
        <v>1.7520000000000001E-2</v>
      </c>
      <c r="L408">
        <v>2.67</v>
      </c>
      <c r="M408">
        <v>25.08</v>
      </c>
      <c r="N408">
        <v>10</v>
      </c>
      <c r="O408">
        <v>4</v>
      </c>
      <c r="P408">
        <v>40</v>
      </c>
      <c r="Q408">
        <v>97</v>
      </c>
      <c r="R408">
        <v>131.80000000000001</v>
      </c>
      <c r="S408">
        <v>0.70080000000000009</v>
      </c>
      <c r="T408">
        <v>28</v>
      </c>
      <c r="U408">
        <v>2098</v>
      </c>
      <c r="V408">
        <v>52617.84</v>
      </c>
      <c r="W408" s="1" t="s">
        <v>1258</v>
      </c>
      <c r="X408" s="1" t="s">
        <v>1258</v>
      </c>
      <c r="Y408">
        <v>0.32941176470588235</v>
      </c>
      <c r="Z408">
        <v>3.085294117647059E-2</v>
      </c>
      <c r="AA408" s="1" t="s">
        <v>1259</v>
      </c>
      <c r="AB408">
        <v>0</v>
      </c>
      <c r="AC408">
        <v>1</v>
      </c>
      <c r="AD408" s="1">
        <v>8.9456625357483315</v>
      </c>
      <c r="AE408">
        <v>4</v>
      </c>
      <c r="AF408">
        <f>COUNTIFS(tblStock[sku],tblSKU[[#This Row],[sku]])</f>
        <v>1</v>
      </c>
      <c r="AG408" cm="1">
        <f t="array" ref="AG408">SUM(SUMIFS(tblStock[qty_units],tblStock[sku],tblSKU[[#This Row],[sku]],tblStock[stock_type],{"Saleable","FOC"}))</f>
        <v>4692</v>
      </c>
      <c r="AH408" s="3">
        <f>SUMIFS(tblStock[value_nzd],tblStock[sku],tblSKU[[#This Row],[sku]])</f>
        <v>117675.35999999999</v>
      </c>
      <c r="AI408" s="4">
        <f>SUMIFS(tblStock[cbm],tblStock[sku],tblSKU[[#This Row],[sku]])</f>
        <v>0.82203840000000006</v>
      </c>
      <c r="AJ408" s="1">
        <f>SUMIFS(tblStock[positions],tblStock[sku],tblSKU[[#This Row],[sku]])</f>
        <v>2</v>
      </c>
      <c r="AK408" s="3">
        <f>SUMIFS(tblStock[value_nzd],tblStock[sku],tblSKU[[#This Row],[sku]],tblStock[stock_type],"Expired")</f>
        <v>0</v>
      </c>
      <c r="AL408" s="3" cm="1">
        <f t="array" ref="AL408">SUM(SUMIFS(tblStock[value_nzd],tblStock[sku],tblSKU[[#This Row],[sku]],tblStock[stock_type],{"Saleable","FOC"},tblStock[expiry_date],"&lt;"&amp;EDATE(SnapshotDate,6)))</f>
        <v>0</v>
      </c>
    </row>
    <row r="409" spans="1:38">
      <c r="A409" s="1" t="s">
        <v>872</v>
      </c>
      <c r="B409" s="1" t="s">
        <v>873</v>
      </c>
      <c r="C409" s="1" t="s">
        <v>781</v>
      </c>
      <c r="D409" s="1" t="s">
        <v>37</v>
      </c>
      <c r="E409" s="1" t="s">
        <v>833</v>
      </c>
      <c r="F409" s="1" t="s">
        <v>834</v>
      </c>
      <c r="G409">
        <v>50</v>
      </c>
      <c r="H409">
        <v>25.7</v>
      </c>
      <c r="I409">
        <v>27.7</v>
      </c>
      <c r="J409">
        <v>19.2</v>
      </c>
      <c r="K409">
        <v>1.367E-2</v>
      </c>
      <c r="L409">
        <v>2.68</v>
      </c>
      <c r="M409">
        <v>36.67</v>
      </c>
      <c r="N409">
        <v>12</v>
      </c>
      <c r="O409">
        <v>5</v>
      </c>
      <c r="P409">
        <v>60</v>
      </c>
      <c r="Q409">
        <v>111</v>
      </c>
      <c r="R409">
        <v>185.8</v>
      </c>
      <c r="S409">
        <v>0.82020000000000004</v>
      </c>
      <c r="T409">
        <v>5</v>
      </c>
      <c r="U409">
        <v>505</v>
      </c>
      <c r="V409">
        <v>18518.350000000002</v>
      </c>
      <c r="W409" s="1" t="s">
        <v>1262</v>
      </c>
      <c r="X409" s="1" t="s">
        <v>1262</v>
      </c>
      <c r="Y409">
        <v>5.8823529411764705E-2</v>
      </c>
      <c r="Z409">
        <v>9.9019607843137247E-3</v>
      </c>
      <c r="AA409" s="1" t="s">
        <v>1263</v>
      </c>
      <c r="AB409">
        <v>0</v>
      </c>
      <c r="AC409">
        <v>0</v>
      </c>
      <c r="AD409" s="1">
        <v>10.542574257425743</v>
      </c>
      <c r="AE409">
        <v>2</v>
      </c>
      <c r="AF409">
        <f>COUNTIFS(tblStock[sku],tblSKU[[#This Row],[sku]])</f>
        <v>2</v>
      </c>
      <c r="AG409" cm="1">
        <f t="array" ref="AG409">SUM(SUMIFS(tblStock[qty_units],tblStock[sku],tblSKU[[#This Row],[sku]],tblStock[stock_type],{"Saleable","FOC"}))</f>
        <v>1331</v>
      </c>
      <c r="AH409" s="3">
        <f>SUMIFS(tblStock[value_nzd],tblStock[sku],tblSKU[[#This Row],[sku]])</f>
        <v>48807.770000000004</v>
      </c>
      <c r="AI409" s="4">
        <f>SUMIFS(tblStock[cbm],tblStock[sku],tblSKU[[#This Row],[sku]])</f>
        <v>0.36389539999999998</v>
      </c>
      <c r="AJ409" s="1">
        <f>SUMIFS(tblStock[positions],tblStock[sku],tblSKU[[#This Row],[sku]])</f>
        <v>1</v>
      </c>
      <c r="AK409" s="3">
        <f>SUMIFS(tblStock[value_nzd],tblStock[sku],tblSKU[[#This Row],[sku]],tblStock[stock_type],"Expired")</f>
        <v>0</v>
      </c>
      <c r="AL409" s="3" cm="1">
        <f t="array" ref="AL409">SUM(SUMIFS(tblStock[value_nzd],tblStock[sku],tblSKU[[#This Row],[sku]],tblStock[stock_type],{"Saleable","FOC"},tblStock[expiry_date],"&lt;"&amp;EDATE(SnapshotDate,6)))</f>
        <v>0</v>
      </c>
    </row>
    <row r="410" spans="1:38">
      <c r="A410" s="1" t="s">
        <v>874</v>
      </c>
      <c r="B410" s="1" t="s">
        <v>875</v>
      </c>
      <c r="C410" s="1" t="s">
        <v>837</v>
      </c>
      <c r="D410" s="1" t="s">
        <v>37</v>
      </c>
      <c r="E410" s="1" t="s">
        <v>833</v>
      </c>
      <c r="F410" s="1" t="s">
        <v>39</v>
      </c>
      <c r="G410">
        <v>200</v>
      </c>
      <c r="H410">
        <v>37.299999999999997</v>
      </c>
      <c r="I410">
        <v>28.5</v>
      </c>
      <c r="J410">
        <v>17</v>
      </c>
      <c r="K410">
        <v>1.8069999999999999E-2</v>
      </c>
      <c r="L410">
        <v>3.7</v>
      </c>
      <c r="M410">
        <v>30.57</v>
      </c>
      <c r="N410">
        <v>9</v>
      </c>
      <c r="O410">
        <v>5</v>
      </c>
      <c r="P410">
        <v>45</v>
      </c>
      <c r="Q410">
        <v>100</v>
      </c>
      <c r="R410">
        <v>191.5</v>
      </c>
      <c r="S410">
        <v>0.81314999999999993</v>
      </c>
      <c r="T410">
        <v>15</v>
      </c>
      <c r="U410">
        <v>1308</v>
      </c>
      <c r="V410">
        <v>39985.56</v>
      </c>
      <c r="W410" s="1" t="s">
        <v>1262</v>
      </c>
      <c r="X410" s="1" t="s">
        <v>1258</v>
      </c>
      <c r="Y410">
        <v>0.17647058823529413</v>
      </c>
      <c r="Z410">
        <v>8.5490196078431367E-3</v>
      </c>
      <c r="AA410" s="1" t="s">
        <v>1263</v>
      </c>
      <c r="AB410">
        <v>0</v>
      </c>
      <c r="AC410">
        <v>0</v>
      </c>
      <c r="AD410" s="1">
        <v>4.9602446483180431</v>
      </c>
      <c r="AE410">
        <v>4</v>
      </c>
      <c r="AF410">
        <f>COUNTIFS(tblStock[sku],tblSKU[[#This Row],[sku]])</f>
        <v>2</v>
      </c>
      <c r="AG410" cm="1">
        <f t="array" ref="AG410">SUM(SUMIFS(tblStock[qty_units],tblStock[sku],tblSKU[[#This Row],[sku]],tblStock[stock_type],{"Saleable","FOC"}))</f>
        <v>1622</v>
      </c>
      <c r="AH410" s="3">
        <f>SUMIFS(tblStock[value_nzd],tblStock[sku],tblSKU[[#This Row],[sku]])</f>
        <v>49584.539999999994</v>
      </c>
      <c r="AI410" s="4">
        <f>SUMIFS(tblStock[cbm],tblStock[sku],tblSKU[[#This Row],[sku]])</f>
        <v>0.1465477</v>
      </c>
      <c r="AJ410" s="1">
        <f>SUMIFS(tblStock[positions],tblStock[sku],tblSKU[[#This Row],[sku]])</f>
        <v>0</v>
      </c>
      <c r="AK410" s="3">
        <f>SUMIFS(tblStock[value_nzd],tblStock[sku],tblSKU[[#This Row],[sku]],tblStock[stock_type],"Expired")</f>
        <v>0</v>
      </c>
      <c r="AL410" s="3" cm="1">
        <f t="array" ref="AL410">SUM(SUMIFS(tblStock[value_nzd],tblStock[sku],tblSKU[[#This Row],[sku]],tblStock[stock_type],{"Saleable","FOC"},tblStock[expiry_date],"&lt;"&amp;EDATE(SnapshotDate,6)))</f>
        <v>0</v>
      </c>
    </row>
    <row r="411" spans="1:38">
      <c r="A411" s="1" t="s">
        <v>876</v>
      </c>
      <c r="B411" s="1" t="s">
        <v>877</v>
      </c>
      <c r="C411" s="1" t="s">
        <v>67</v>
      </c>
      <c r="D411" s="1" t="s">
        <v>37</v>
      </c>
      <c r="E411" s="1" t="s">
        <v>833</v>
      </c>
      <c r="F411" s="1" t="s">
        <v>834</v>
      </c>
      <c r="G411">
        <v>50</v>
      </c>
      <c r="H411">
        <v>26.7</v>
      </c>
      <c r="I411">
        <v>34.9</v>
      </c>
      <c r="J411">
        <v>22.3</v>
      </c>
      <c r="K411">
        <v>2.078E-2</v>
      </c>
      <c r="L411">
        <v>2.92</v>
      </c>
      <c r="M411">
        <v>31.92</v>
      </c>
      <c r="N411">
        <v>9</v>
      </c>
      <c r="O411">
        <v>4</v>
      </c>
      <c r="P411">
        <v>36</v>
      </c>
      <c r="Q411">
        <v>104.2</v>
      </c>
      <c r="R411">
        <v>130.12</v>
      </c>
      <c r="S411">
        <v>0.74807999999999997</v>
      </c>
      <c r="T411">
        <v>37</v>
      </c>
      <c r="U411">
        <v>2136</v>
      </c>
      <c r="V411">
        <v>68181.12000000001</v>
      </c>
      <c r="W411" s="1" t="s">
        <v>1258</v>
      </c>
      <c r="X411" s="1" t="s">
        <v>1258</v>
      </c>
      <c r="Y411">
        <v>0.43529411764705883</v>
      </c>
      <c r="Z411">
        <v>6.9803921568627456E-2</v>
      </c>
      <c r="AA411" s="1" t="s">
        <v>1259</v>
      </c>
      <c r="AB411">
        <v>0</v>
      </c>
      <c r="AC411">
        <v>1</v>
      </c>
      <c r="AD411" s="1">
        <v>2.5786516853932584</v>
      </c>
      <c r="AE411">
        <v>4</v>
      </c>
      <c r="AF411">
        <f>COUNTIFS(tblStock[sku],tblSKU[[#This Row],[sku]])</f>
        <v>3</v>
      </c>
      <c r="AG411" cm="1">
        <f t="array" ref="AG411">SUM(SUMIFS(tblStock[qty_units],tblStock[sku],tblSKU[[#This Row],[sku]],tblStock[stock_type],{"Saleable","FOC"}))</f>
        <v>1377</v>
      </c>
      <c r="AH411" s="3">
        <f>SUMIFS(tblStock[value_nzd],tblStock[sku],tblSKU[[#This Row],[sku]])</f>
        <v>43953.84</v>
      </c>
      <c r="AI411" s="4">
        <f>SUMIFS(tblStock[cbm],tblStock[sku],tblSKU[[#This Row],[sku]])</f>
        <v>0.57228119999999993</v>
      </c>
      <c r="AJ411" s="1">
        <f>SUMIFS(tblStock[positions],tblStock[sku],tblSKU[[#This Row],[sku]])</f>
        <v>1</v>
      </c>
      <c r="AK411" s="3">
        <f>SUMIFS(tblStock[value_nzd],tblStock[sku],tblSKU[[#This Row],[sku]],tblStock[stock_type],"Expired")</f>
        <v>0</v>
      </c>
      <c r="AL411" s="3" cm="1">
        <f t="array" ref="AL411">SUM(SUMIFS(tblStock[value_nzd],tblStock[sku],tblSKU[[#This Row],[sku]],tblStock[stock_type],{"Saleable","FOC"},tblStock[expiry_date],"&lt;"&amp;EDATE(SnapshotDate,6)))</f>
        <v>0</v>
      </c>
    </row>
    <row r="412" spans="1:38">
      <c r="A412" s="1" t="s">
        <v>878</v>
      </c>
      <c r="B412" s="1" t="s">
        <v>879</v>
      </c>
      <c r="C412" s="1" t="s">
        <v>837</v>
      </c>
      <c r="D412" s="1" t="s">
        <v>37</v>
      </c>
      <c r="E412" s="1" t="s">
        <v>833</v>
      </c>
      <c r="F412" s="1" t="s">
        <v>39</v>
      </c>
      <c r="G412">
        <v>200</v>
      </c>
      <c r="H412">
        <v>30.9</v>
      </c>
      <c r="I412">
        <v>23</v>
      </c>
      <c r="J412">
        <v>16.899999999999999</v>
      </c>
      <c r="K412">
        <v>1.201E-2</v>
      </c>
      <c r="L412">
        <v>2.6</v>
      </c>
      <c r="M412">
        <v>20.65</v>
      </c>
      <c r="N412">
        <v>15</v>
      </c>
      <c r="O412">
        <v>6</v>
      </c>
      <c r="P412">
        <v>90</v>
      </c>
      <c r="Q412">
        <v>116.39999999999999</v>
      </c>
      <c r="R412">
        <v>259</v>
      </c>
      <c r="S412">
        <v>1.0809</v>
      </c>
      <c r="T412">
        <v>0</v>
      </c>
      <c r="U412">
        <v>0</v>
      </c>
      <c r="V412">
        <v>0</v>
      </c>
      <c r="W412" s="1" t="s">
        <v>1260</v>
      </c>
      <c r="X412" s="1" t="s">
        <v>1260</v>
      </c>
      <c r="Y412">
        <v>0</v>
      </c>
      <c r="Z412">
        <v>0</v>
      </c>
      <c r="AA412" s="1" t="s">
        <v>1261</v>
      </c>
      <c r="AB412">
        <v>0</v>
      </c>
      <c r="AC412">
        <v>0</v>
      </c>
      <c r="AD412" s="1"/>
      <c r="AE412">
        <v>1</v>
      </c>
      <c r="AF412">
        <f>COUNTIFS(tblStock[sku],tblSKU[[#This Row],[sku]])</f>
        <v>1</v>
      </c>
      <c r="AG412" cm="1">
        <f t="array" ref="AG412">SUM(SUMIFS(tblStock[qty_units],tblStock[sku],tblSKU[[#This Row],[sku]],tblStock[stock_type],{"Saleable","FOC"}))</f>
        <v>400</v>
      </c>
      <c r="AH412" s="3">
        <f>SUMIFS(tblStock[value_nzd],tblStock[sku],tblSKU[[#This Row],[sku]])</f>
        <v>8260</v>
      </c>
      <c r="AI412" s="4">
        <f>SUMIFS(tblStock[cbm],tblStock[sku],tblSKU[[#This Row],[sku]])</f>
        <v>2.402E-2</v>
      </c>
      <c r="AJ412" s="1">
        <f>SUMIFS(tblStock[positions],tblStock[sku],tblSKU[[#This Row],[sku]])</f>
        <v>0</v>
      </c>
      <c r="AK412" s="3">
        <f>SUMIFS(tblStock[value_nzd],tblStock[sku],tblSKU[[#This Row],[sku]],tblStock[stock_type],"Expired")</f>
        <v>0</v>
      </c>
      <c r="AL412" s="3" cm="1">
        <f t="array" ref="AL412">SUM(SUMIFS(tblStock[value_nzd],tblStock[sku],tblSKU[[#This Row],[sku]],tblStock[stock_type],{"Saleable","FOC"},tblStock[expiry_date],"&lt;"&amp;EDATE(SnapshotDate,6)))</f>
        <v>0</v>
      </c>
    </row>
    <row r="413" spans="1:38">
      <c r="A413" s="1" t="s">
        <v>880</v>
      </c>
      <c r="B413" s="1" t="s">
        <v>881</v>
      </c>
      <c r="C413" s="1" t="s">
        <v>781</v>
      </c>
      <c r="D413" s="1" t="s">
        <v>37</v>
      </c>
      <c r="E413" s="1" t="s">
        <v>833</v>
      </c>
      <c r="F413" s="1" t="s">
        <v>39</v>
      </c>
      <c r="G413">
        <v>100</v>
      </c>
      <c r="H413">
        <v>33.799999999999997</v>
      </c>
      <c r="I413">
        <v>30.2</v>
      </c>
      <c r="J413">
        <v>21.3</v>
      </c>
      <c r="K413">
        <v>2.1739999999999999E-2</v>
      </c>
      <c r="L413">
        <v>5.33</v>
      </c>
      <c r="M413">
        <v>11.01</v>
      </c>
      <c r="N413">
        <v>9</v>
      </c>
      <c r="O413">
        <v>5</v>
      </c>
      <c r="P413">
        <v>45</v>
      </c>
      <c r="Q413">
        <v>121.5</v>
      </c>
      <c r="R413">
        <v>264.85000000000002</v>
      </c>
      <c r="S413">
        <v>0.97829999999999995</v>
      </c>
      <c r="T413">
        <v>19</v>
      </c>
      <c r="U413">
        <v>1630</v>
      </c>
      <c r="V413">
        <v>17946.3</v>
      </c>
      <c r="W413" s="1" t="s">
        <v>1262</v>
      </c>
      <c r="X413" s="1" t="s">
        <v>1262</v>
      </c>
      <c r="Y413">
        <v>0.22352941176470589</v>
      </c>
      <c r="Z413">
        <v>2.1307189542483659E-2</v>
      </c>
      <c r="AA413" s="1" t="s">
        <v>1263</v>
      </c>
      <c r="AB413">
        <v>0</v>
      </c>
      <c r="AC413">
        <v>0</v>
      </c>
      <c r="AD413" s="1">
        <v>6.5398773006134974</v>
      </c>
      <c r="AE413">
        <v>2</v>
      </c>
      <c r="AF413">
        <f>COUNTIFS(tblStock[sku],tblSKU[[#This Row],[sku]])</f>
        <v>1</v>
      </c>
      <c r="AG413" cm="1">
        <f t="array" ref="AG413">SUM(SUMIFS(tblStock[qty_units],tblStock[sku],tblSKU[[#This Row],[sku]],tblStock[stock_type],{"Saleable","FOC"}))</f>
        <v>2665</v>
      </c>
      <c r="AH413" s="3">
        <f>SUMIFS(tblStock[value_nzd],tblStock[sku],tblSKU[[#This Row],[sku]])</f>
        <v>29341.649999999998</v>
      </c>
      <c r="AI413" s="4">
        <f>SUMIFS(tblStock[cbm],tblStock[sku],tblSKU[[#This Row],[sku]])</f>
        <v>0.57937099999999997</v>
      </c>
      <c r="AJ413" s="1">
        <f>SUMIFS(tblStock[positions],tblStock[sku],tblSKU[[#This Row],[sku]])</f>
        <v>1</v>
      </c>
      <c r="AK413" s="3">
        <f>SUMIFS(tblStock[value_nzd],tblStock[sku],tblSKU[[#This Row],[sku]],tblStock[stock_type],"Expired")</f>
        <v>0</v>
      </c>
      <c r="AL413" s="3" cm="1">
        <f t="array" ref="AL413">SUM(SUMIFS(tblStock[value_nzd],tblStock[sku],tblSKU[[#This Row],[sku]],tblStock[stock_type],{"Saleable","FOC"},tblStock[expiry_date],"&lt;"&amp;EDATE(SnapshotDate,6)))</f>
        <v>0</v>
      </c>
    </row>
    <row r="414" spans="1:38">
      <c r="A414" s="1" t="s">
        <v>882</v>
      </c>
      <c r="B414" s="1" t="s">
        <v>883</v>
      </c>
      <c r="C414" s="1" t="s">
        <v>837</v>
      </c>
      <c r="D414" s="1" t="s">
        <v>37</v>
      </c>
      <c r="E414" s="1" t="s">
        <v>833</v>
      </c>
      <c r="F414" s="1" t="s">
        <v>39</v>
      </c>
      <c r="G414">
        <v>100</v>
      </c>
      <c r="H414">
        <v>27.4</v>
      </c>
      <c r="I414">
        <v>30</v>
      </c>
      <c r="J414">
        <v>15.1</v>
      </c>
      <c r="K414">
        <v>1.2409999999999999E-2</v>
      </c>
      <c r="L414">
        <v>2.73</v>
      </c>
      <c r="M414">
        <v>19.72</v>
      </c>
      <c r="N414">
        <v>12</v>
      </c>
      <c r="O414">
        <v>8</v>
      </c>
      <c r="P414">
        <v>96</v>
      </c>
      <c r="Q414">
        <v>135.80000000000001</v>
      </c>
      <c r="R414">
        <v>287.08</v>
      </c>
      <c r="S414">
        <v>1.19136</v>
      </c>
      <c r="T414">
        <v>428</v>
      </c>
      <c r="U414">
        <v>25371</v>
      </c>
      <c r="V414">
        <v>500316.12</v>
      </c>
      <c r="W414" s="1" t="s">
        <v>1264</v>
      </c>
      <c r="X414" s="1" t="s">
        <v>1264</v>
      </c>
      <c r="Y414">
        <v>5.0352941176470587</v>
      </c>
      <c r="Z414">
        <v>0.15545955882352941</v>
      </c>
      <c r="AA414" s="1" t="s">
        <v>1265</v>
      </c>
      <c r="AB414">
        <v>1</v>
      </c>
      <c r="AC414">
        <v>0</v>
      </c>
      <c r="AD414" s="1">
        <v>5.504710102085058</v>
      </c>
      <c r="AE414">
        <v>12</v>
      </c>
      <c r="AF414">
        <f>COUNTIFS(tblStock[sku],tblSKU[[#This Row],[sku]])</f>
        <v>2</v>
      </c>
      <c r="AG414" cm="1">
        <f t="array" ref="AG414">SUM(SUMIFS(tblStock[qty_units],tblStock[sku],tblSKU[[#This Row],[sku]],tblStock[stock_type],{"Saleable","FOC"}))</f>
        <v>34915</v>
      </c>
      <c r="AH414" s="3">
        <f>SUMIFS(tblStock[value_nzd],tblStock[sku],tblSKU[[#This Row],[sku]])</f>
        <v>688523.79999999993</v>
      </c>
      <c r="AI414" s="4">
        <f>SUMIFS(tblStock[cbm],tblStock[sku],tblSKU[[#This Row],[sku]])</f>
        <v>4.3329514999999992</v>
      </c>
      <c r="AJ414" s="1">
        <f>SUMIFS(tblStock[positions],tblStock[sku],tblSKU[[#This Row],[sku]])</f>
        <v>4</v>
      </c>
      <c r="AK414" s="3">
        <f>SUMIFS(tblStock[value_nzd],tblStock[sku],tblSKU[[#This Row],[sku]],tblStock[stock_type],"Expired")</f>
        <v>0</v>
      </c>
      <c r="AL414" s="3" cm="1">
        <f t="array" ref="AL414">SUM(SUMIFS(tblStock[value_nzd],tblStock[sku],tblSKU[[#This Row],[sku]],tblStock[stock_type],{"Saleable","FOC"},tblStock[expiry_date],"&lt;"&amp;EDATE(SnapshotDate,6)))</f>
        <v>0</v>
      </c>
    </row>
    <row r="415" spans="1:38">
      <c r="A415" s="1" t="s">
        <v>884</v>
      </c>
      <c r="B415" s="1" t="s">
        <v>885</v>
      </c>
      <c r="C415" s="1" t="s">
        <v>837</v>
      </c>
      <c r="D415" s="1" t="s">
        <v>37</v>
      </c>
      <c r="E415" s="1" t="s">
        <v>833</v>
      </c>
      <c r="F415" s="1" t="s">
        <v>39</v>
      </c>
      <c r="G415">
        <v>200</v>
      </c>
      <c r="H415">
        <v>38.4</v>
      </c>
      <c r="I415">
        <v>20.7</v>
      </c>
      <c r="J415">
        <v>18.8</v>
      </c>
      <c r="K415">
        <v>1.494E-2</v>
      </c>
      <c r="L415">
        <v>2.61</v>
      </c>
      <c r="M415">
        <v>12.49</v>
      </c>
      <c r="N415">
        <v>12</v>
      </c>
      <c r="O415">
        <v>5</v>
      </c>
      <c r="P415">
        <v>60</v>
      </c>
      <c r="Q415">
        <v>109</v>
      </c>
      <c r="R415">
        <v>181.6</v>
      </c>
      <c r="S415">
        <v>0.89639999999999997</v>
      </c>
      <c r="T415">
        <v>21</v>
      </c>
      <c r="U415">
        <v>522</v>
      </c>
      <c r="V415">
        <v>6519.78</v>
      </c>
      <c r="W415" s="1" t="s">
        <v>1262</v>
      </c>
      <c r="X415" s="1" t="s">
        <v>1262</v>
      </c>
      <c r="Y415">
        <v>0.24705882352941178</v>
      </c>
      <c r="Z415">
        <v>2.5588235294117649E-3</v>
      </c>
      <c r="AA415" s="1" t="s">
        <v>1263</v>
      </c>
      <c r="AB415">
        <v>0</v>
      </c>
      <c r="AC415">
        <v>0</v>
      </c>
      <c r="AD415" s="1">
        <v>19.072796934865899</v>
      </c>
      <c r="AE415">
        <v>2</v>
      </c>
      <c r="AF415">
        <f>COUNTIFS(tblStock[sku],tblSKU[[#This Row],[sku]])</f>
        <v>2</v>
      </c>
      <c r="AG415" cm="1">
        <f t="array" ref="AG415">SUM(SUMIFS(tblStock[qty_units],tblStock[sku],tblSKU[[#This Row],[sku]],tblStock[stock_type],{"Saleable","FOC"}))</f>
        <v>2489</v>
      </c>
      <c r="AH415" s="3">
        <f>SUMIFS(tblStock[value_nzd],tblStock[sku],tblSKU[[#This Row],[sku]])</f>
        <v>31087.61</v>
      </c>
      <c r="AI415" s="4">
        <f>SUMIFS(tblStock[cbm],tblStock[sku],tblSKU[[#This Row],[sku]])</f>
        <v>0.18592829999999999</v>
      </c>
      <c r="AJ415" s="1">
        <f>SUMIFS(tblStock[positions],tblStock[sku],tblSKU[[#This Row],[sku]])</f>
        <v>0</v>
      </c>
      <c r="AK415" s="3">
        <f>SUMIFS(tblStock[value_nzd],tblStock[sku],tblSKU[[#This Row],[sku]],tblStock[stock_type],"Expired")</f>
        <v>0</v>
      </c>
      <c r="AL415" s="3" cm="1">
        <f t="array" ref="AL415">SUM(SUMIFS(tblStock[value_nzd],tblStock[sku],tblSKU[[#This Row],[sku]],tblStock[stock_type],{"Saleable","FOC"},tblStock[expiry_date],"&lt;"&amp;EDATE(SnapshotDate,6)))</f>
        <v>0</v>
      </c>
    </row>
    <row r="416" spans="1:38">
      <c r="A416" s="1" t="s">
        <v>886</v>
      </c>
      <c r="B416" s="1" t="s">
        <v>887</v>
      </c>
      <c r="C416" s="1" t="s">
        <v>67</v>
      </c>
      <c r="D416" s="1" t="s">
        <v>37</v>
      </c>
      <c r="E416" s="1" t="s">
        <v>833</v>
      </c>
      <c r="F416" s="1" t="s">
        <v>39</v>
      </c>
      <c r="G416">
        <v>100</v>
      </c>
      <c r="H416">
        <v>34.200000000000003</v>
      </c>
      <c r="I416">
        <v>31.7</v>
      </c>
      <c r="J416">
        <v>21.3</v>
      </c>
      <c r="K416">
        <v>2.3089999999999999E-2</v>
      </c>
      <c r="L416">
        <v>3.99</v>
      </c>
      <c r="M416">
        <v>38.6</v>
      </c>
      <c r="N416">
        <v>9</v>
      </c>
      <c r="O416">
        <v>6</v>
      </c>
      <c r="P416">
        <v>54</v>
      </c>
      <c r="Q416">
        <v>142.80000000000001</v>
      </c>
      <c r="R416">
        <v>240.46</v>
      </c>
      <c r="S416">
        <v>1.2468599999999999</v>
      </c>
      <c r="T416">
        <v>4</v>
      </c>
      <c r="U416">
        <v>630</v>
      </c>
      <c r="V416">
        <v>24318</v>
      </c>
      <c r="W416" s="1" t="s">
        <v>1262</v>
      </c>
      <c r="X416" s="1" t="s">
        <v>1262</v>
      </c>
      <c r="Y416">
        <v>4.7058823529411764E-2</v>
      </c>
      <c r="Z416">
        <v>6.8627450980392147E-3</v>
      </c>
      <c r="AA416" s="1" t="s">
        <v>1263</v>
      </c>
      <c r="AB416">
        <v>0</v>
      </c>
      <c r="AC416">
        <v>0</v>
      </c>
      <c r="AD416" s="1">
        <v>3.0476190476190474</v>
      </c>
      <c r="AE416">
        <v>2</v>
      </c>
      <c r="AF416">
        <f>COUNTIFS(tblStock[sku],tblSKU[[#This Row],[sku]])</f>
        <v>1</v>
      </c>
      <c r="AG416" cm="1">
        <f t="array" ref="AG416">SUM(SUMIFS(tblStock[qty_units],tblStock[sku],tblSKU[[#This Row],[sku]],tblStock[stock_type],{"Saleable","FOC"}))</f>
        <v>480</v>
      </c>
      <c r="AH416" s="3">
        <f>SUMIFS(tblStock[value_nzd],tblStock[sku],tblSKU[[#This Row],[sku]])</f>
        <v>18528</v>
      </c>
      <c r="AI416" s="4">
        <f>SUMIFS(tblStock[cbm],tblStock[sku],tblSKU[[#This Row],[sku]])</f>
        <v>0.110832</v>
      </c>
      <c r="AJ416" s="1">
        <f>SUMIFS(tblStock[positions],tblStock[sku],tblSKU[[#This Row],[sku]])</f>
        <v>0</v>
      </c>
      <c r="AK416" s="3">
        <f>SUMIFS(tblStock[value_nzd],tblStock[sku],tblSKU[[#This Row],[sku]],tblStock[stock_type],"Expired")</f>
        <v>0</v>
      </c>
      <c r="AL416" s="3" cm="1">
        <f t="array" ref="AL416">SUM(SUMIFS(tblStock[value_nzd],tblStock[sku],tblSKU[[#This Row],[sku]],tblStock[stock_type],{"Saleable","FOC"},tblStock[expiry_date],"&lt;"&amp;EDATE(SnapshotDate,6)))</f>
        <v>0</v>
      </c>
    </row>
    <row r="417" spans="1:38">
      <c r="A417" s="1" t="s">
        <v>888</v>
      </c>
      <c r="B417" s="1" t="s">
        <v>889</v>
      </c>
      <c r="C417" s="1" t="s">
        <v>67</v>
      </c>
      <c r="D417" s="1" t="s">
        <v>37</v>
      </c>
      <c r="E417" s="1" t="s">
        <v>833</v>
      </c>
      <c r="F417" s="1" t="s">
        <v>39</v>
      </c>
      <c r="G417">
        <v>100</v>
      </c>
      <c r="H417">
        <v>41.2</v>
      </c>
      <c r="I417">
        <v>23.9</v>
      </c>
      <c r="J417">
        <v>20.3</v>
      </c>
      <c r="K417">
        <v>1.9990000000000001E-2</v>
      </c>
      <c r="L417">
        <v>3.93</v>
      </c>
      <c r="M417">
        <v>18.23</v>
      </c>
      <c r="N417">
        <v>8</v>
      </c>
      <c r="O417">
        <v>6</v>
      </c>
      <c r="P417">
        <v>48</v>
      </c>
      <c r="Q417">
        <v>136.80000000000001</v>
      </c>
      <c r="R417">
        <v>213.64000000000001</v>
      </c>
      <c r="S417">
        <v>0.95952000000000004</v>
      </c>
      <c r="T417">
        <v>11</v>
      </c>
      <c r="U417">
        <v>723</v>
      </c>
      <c r="V417">
        <v>13180.29</v>
      </c>
      <c r="W417" s="1" t="s">
        <v>1262</v>
      </c>
      <c r="X417" s="1" t="s">
        <v>1262</v>
      </c>
      <c r="Y417">
        <v>0.12941176470588237</v>
      </c>
      <c r="Z417">
        <v>8.8602941176470582E-3</v>
      </c>
      <c r="AA417" s="1" t="s">
        <v>1263</v>
      </c>
      <c r="AB417">
        <v>0</v>
      </c>
      <c r="AC417">
        <v>0</v>
      </c>
      <c r="AD417" s="1">
        <v>6.4232365145228218</v>
      </c>
      <c r="AE417">
        <v>2</v>
      </c>
      <c r="AF417">
        <f>COUNTIFS(tblStock[sku],tblSKU[[#This Row],[sku]])</f>
        <v>2</v>
      </c>
      <c r="AG417" cm="1">
        <f t="array" ref="AG417">SUM(SUMIFS(tblStock[qty_units],tblStock[sku],tblSKU[[#This Row],[sku]],tblStock[stock_type],{"Saleable","FOC"}))</f>
        <v>1161</v>
      </c>
      <c r="AH417" s="3">
        <f>SUMIFS(tblStock[value_nzd],tblStock[sku],tblSKU[[#This Row],[sku]])</f>
        <v>21584.32</v>
      </c>
      <c r="AI417" s="4">
        <f>SUMIFS(tblStock[cbm],tblStock[sku],tblSKU[[#This Row],[sku]])</f>
        <v>0.23668160000000002</v>
      </c>
      <c r="AJ417" s="1">
        <f>SUMIFS(tblStock[positions],tblStock[sku],tblSKU[[#This Row],[sku]])</f>
        <v>0</v>
      </c>
      <c r="AK417" s="3">
        <f>SUMIFS(tblStock[value_nzd],tblStock[sku],tblSKU[[#This Row],[sku]],tblStock[stock_type],"Expired")</f>
        <v>0</v>
      </c>
      <c r="AL417" s="3" cm="1">
        <f t="array" ref="AL417">SUM(SUMIFS(tblStock[value_nzd],tblStock[sku],tblSKU[[#This Row],[sku]],tblStock[stock_type],{"Saleable","FOC"},tblStock[expiry_date],"&lt;"&amp;EDATE(SnapshotDate,6)))</f>
        <v>0</v>
      </c>
    </row>
    <row r="418" spans="1:38">
      <c r="A418" s="1" t="s">
        <v>890</v>
      </c>
      <c r="B418" s="1" t="s">
        <v>891</v>
      </c>
      <c r="C418" s="1" t="s">
        <v>67</v>
      </c>
      <c r="D418" s="1" t="s">
        <v>37</v>
      </c>
      <c r="E418" s="1" t="s">
        <v>833</v>
      </c>
      <c r="F418" s="1" t="s">
        <v>39</v>
      </c>
      <c r="G418">
        <v>200</v>
      </c>
      <c r="H418">
        <v>34.9</v>
      </c>
      <c r="I418">
        <v>27.8</v>
      </c>
      <c r="J418">
        <v>13.7</v>
      </c>
      <c r="K418">
        <v>1.329E-2</v>
      </c>
      <c r="L418">
        <v>3.21</v>
      </c>
      <c r="M418">
        <v>4.2699999999999996</v>
      </c>
      <c r="N418">
        <v>9</v>
      </c>
      <c r="O418">
        <v>5</v>
      </c>
      <c r="P418">
        <v>45</v>
      </c>
      <c r="Q418">
        <v>83.5</v>
      </c>
      <c r="R418">
        <v>169.45</v>
      </c>
      <c r="S418">
        <v>0.59804999999999997</v>
      </c>
      <c r="T418">
        <v>4</v>
      </c>
      <c r="U418">
        <v>41</v>
      </c>
      <c r="V418">
        <v>175.07</v>
      </c>
      <c r="W418" s="1" t="s">
        <v>1262</v>
      </c>
      <c r="X418" s="1" t="s">
        <v>1262</v>
      </c>
      <c r="Y418">
        <v>4.7058823529411764E-2</v>
      </c>
      <c r="Z418">
        <v>2.6797385620915031E-4</v>
      </c>
      <c r="AA418" s="1" t="s">
        <v>1263</v>
      </c>
      <c r="AB418">
        <v>0</v>
      </c>
      <c r="AC418">
        <v>0</v>
      </c>
      <c r="AD418" s="1">
        <v>1.6585365853658536</v>
      </c>
      <c r="AE418">
        <v>2</v>
      </c>
      <c r="AF418">
        <f>COUNTIFS(tblStock[sku],tblSKU[[#This Row],[sku]])</f>
        <v>3</v>
      </c>
      <c r="AG418" cm="1">
        <f t="array" ref="AG418">SUM(SUMIFS(tblStock[qty_units],tblStock[sku],tblSKU[[#This Row],[sku]],tblStock[stock_type],{"Saleable","FOC"}))</f>
        <v>17</v>
      </c>
      <c r="AH418" s="3">
        <f>SUMIFS(tblStock[value_nzd],tblStock[sku],tblSKU[[#This Row],[sku]])</f>
        <v>76.859999999999985</v>
      </c>
      <c r="AI418" s="4">
        <f>SUMIFS(tblStock[cbm],tblStock[sku],tblSKU[[#This Row],[sku]])</f>
        <v>1.1960999999999999E-3</v>
      </c>
      <c r="AJ418" s="1">
        <f>SUMIFS(tblStock[positions],tblStock[sku],tblSKU[[#This Row],[sku]])</f>
        <v>0</v>
      </c>
      <c r="AK418" s="3">
        <f>SUMIFS(tblStock[value_nzd],tblStock[sku],tblSKU[[#This Row],[sku]],tblStock[stock_type],"Expired")</f>
        <v>0</v>
      </c>
      <c r="AL418" s="3" cm="1">
        <f t="array" ref="AL418">SUM(SUMIFS(tblStock[value_nzd],tblStock[sku],tblSKU[[#This Row],[sku]],tblStock[stock_type],{"Saleable","FOC"},tblStock[expiry_date],"&lt;"&amp;EDATE(SnapshotDate,6)))</f>
        <v>0</v>
      </c>
    </row>
    <row r="419" spans="1:38">
      <c r="A419" s="1" t="s">
        <v>892</v>
      </c>
      <c r="B419" s="1" t="s">
        <v>893</v>
      </c>
      <c r="C419" s="1" t="s">
        <v>67</v>
      </c>
      <c r="D419" s="1" t="s">
        <v>37</v>
      </c>
      <c r="E419" s="1" t="s">
        <v>833</v>
      </c>
      <c r="F419" s="1" t="s">
        <v>834</v>
      </c>
      <c r="G419">
        <v>100</v>
      </c>
      <c r="H419">
        <v>43.4</v>
      </c>
      <c r="I419">
        <v>22.1</v>
      </c>
      <c r="J419">
        <v>21.5</v>
      </c>
      <c r="K419">
        <v>2.0619999999999999E-2</v>
      </c>
      <c r="L419">
        <v>3.02</v>
      </c>
      <c r="M419">
        <v>4.8499999999999996</v>
      </c>
      <c r="N419">
        <v>8</v>
      </c>
      <c r="O419">
        <v>3</v>
      </c>
      <c r="P419">
        <v>24</v>
      </c>
      <c r="Q419">
        <v>79.5</v>
      </c>
      <c r="R419">
        <v>97.48</v>
      </c>
      <c r="S419">
        <v>0.49487999999999999</v>
      </c>
      <c r="T419">
        <v>34</v>
      </c>
      <c r="U419">
        <v>3175</v>
      </c>
      <c r="V419">
        <v>15398.749999999998</v>
      </c>
      <c r="W419" s="1" t="s">
        <v>1258</v>
      </c>
      <c r="X419" s="1" t="s">
        <v>1262</v>
      </c>
      <c r="Y419">
        <v>0.4</v>
      </c>
      <c r="Z419">
        <v>7.7818627450980393E-2</v>
      </c>
      <c r="AA419" s="1" t="s">
        <v>1259</v>
      </c>
      <c r="AB419">
        <v>0</v>
      </c>
      <c r="AC419">
        <v>1</v>
      </c>
      <c r="AD419" s="1">
        <v>8.1423622047244102</v>
      </c>
      <c r="AE419">
        <v>2</v>
      </c>
      <c r="AF419">
        <f>COUNTIFS(tblStock[sku],tblSKU[[#This Row],[sku]])</f>
        <v>1</v>
      </c>
      <c r="AG419" cm="1">
        <f t="array" ref="AG419">SUM(SUMIFS(tblStock[qty_units],tblStock[sku],tblSKU[[#This Row],[sku]],tblStock[stock_type],{"Saleable","FOC"}))</f>
        <v>6463</v>
      </c>
      <c r="AH419" s="3">
        <f>SUMIFS(tblStock[value_nzd],tblStock[sku],tblSKU[[#This Row],[sku]])</f>
        <v>31345.55</v>
      </c>
      <c r="AI419" s="4">
        <f>SUMIFS(tblStock[cbm],tblStock[sku],tblSKU[[#This Row],[sku]])</f>
        <v>1.3326705999999999</v>
      </c>
      <c r="AJ419" s="1">
        <f>SUMIFS(tblStock[positions],tblStock[sku],tblSKU[[#This Row],[sku]])</f>
        <v>3</v>
      </c>
      <c r="AK419" s="3">
        <f>SUMIFS(tblStock[value_nzd],tblStock[sku],tblSKU[[#This Row],[sku]],tblStock[stock_type],"Expired")</f>
        <v>0</v>
      </c>
      <c r="AL419" s="3" cm="1">
        <f t="array" ref="AL419">SUM(SUMIFS(tblStock[value_nzd],tblStock[sku],tblSKU[[#This Row],[sku]],tblStock[stock_type],{"Saleable","FOC"},tblStock[expiry_date],"&lt;"&amp;EDATE(SnapshotDate,6)))</f>
        <v>0</v>
      </c>
    </row>
    <row r="420" spans="1:38">
      <c r="A420" s="1" t="s">
        <v>894</v>
      </c>
      <c r="B420" s="1" t="s">
        <v>895</v>
      </c>
      <c r="C420" s="1" t="s">
        <v>781</v>
      </c>
      <c r="D420" s="1" t="s">
        <v>37</v>
      </c>
      <c r="E420" s="1" t="s">
        <v>833</v>
      </c>
      <c r="F420" s="1" t="s">
        <v>834</v>
      </c>
      <c r="G420">
        <v>100</v>
      </c>
      <c r="H420">
        <v>36.299999999999997</v>
      </c>
      <c r="I420">
        <v>31.3</v>
      </c>
      <c r="J420">
        <v>22.7</v>
      </c>
      <c r="K420">
        <v>2.579E-2</v>
      </c>
      <c r="L420">
        <v>3.22</v>
      </c>
      <c r="M420">
        <v>16.12</v>
      </c>
      <c r="N420">
        <v>9</v>
      </c>
      <c r="O420">
        <v>4</v>
      </c>
      <c r="P420">
        <v>36</v>
      </c>
      <c r="Q420">
        <v>105.8</v>
      </c>
      <c r="R420">
        <v>140.92000000000002</v>
      </c>
      <c r="S420">
        <v>0.92844000000000004</v>
      </c>
      <c r="T420">
        <v>542</v>
      </c>
      <c r="U420">
        <v>33340</v>
      </c>
      <c r="V420">
        <v>537440.80000000005</v>
      </c>
      <c r="W420" s="1" t="s">
        <v>1264</v>
      </c>
      <c r="X420" s="1" t="s">
        <v>1264</v>
      </c>
      <c r="Y420">
        <v>6.3764705882352946</v>
      </c>
      <c r="Z420">
        <v>0.54477124183006531</v>
      </c>
      <c r="AA420" s="1" t="s">
        <v>1265</v>
      </c>
      <c r="AB420">
        <v>1</v>
      </c>
      <c r="AC420">
        <v>0</v>
      </c>
      <c r="AD420" s="1">
        <v>3.3556088782243552</v>
      </c>
      <c r="AE420">
        <v>12</v>
      </c>
      <c r="AF420">
        <f>COUNTIFS(tblStock[sku],tblSKU[[#This Row],[sku]])</f>
        <v>3</v>
      </c>
      <c r="AG420" cm="1">
        <f t="array" ref="AG420">SUM(SUMIFS(tblStock[qty_units],tblStock[sku],tblSKU[[#This Row],[sku]],tblStock[stock_type],{"Saleable","FOC"}))</f>
        <v>27969</v>
      </c>
      <c r="AH420" s="3">
        <f>SUMIFS(tblStock[value_nzd],tblStock[sku],tblSKU[[#This Row],[sku]])</f>
        <v>486920.72000000003</v>
      </c>
      <c r="AI420" s="4">
        <f>SUMIFS(tblStock[cbm],tblStock[sku],tblSKU[[#This Row],[sku]])</f>
        <v>7.7901273999999994</v>
      </c>
      <c r="AJ420" s="1">
        <f>SUMIFS(tblStock[positions],tblStock[sku],tblSKU[[#This Row],[sku]])</f>
        <v>8</v>
      </c>
      <c r="AK420" s="3">
        <f>SUMIFS(tblStock[value_nzd],tblStock[sku],tblSKU[[#This Row],[sku]],tblStock[stock_type],"Expired")</f>
        <v>36060.44</v>
      </c>
      <c r="AL420" s="3" cm="1">
        <f t="array" ref="AL420">SUM(SUMIFS(tblStock[value_nzd],tblStock[sku],tblSKU[[#This Row],[sku]],tblStock[stock_type],{"Saleable","FOC"},tblStock[expiry_date],"&lt;"&amp;EDATE(SnapshotDate,6)))</f>
        <v>0</v>
      </c>
    </row>
    <row r="421" spans="1:38">
      <c r="A421" s="1" t="s">
        <v>896</v>
      </c>
      <c r="B421" s="1" t="s">
        <v>897</v>
      </c>
      <c r="C421" s="1" t="s">
        <v>67</v>
      </c>
      <c r="D421" s="1" t="s">
        <v>37</v>
      </c>
      <c r="E421" s="1" t="s">
        <v>833</v>
      </c>
      <c r="F421" s="1" t="s">
        <v>39</v>
      </c>
      <c r="G421">
        <v>200</v>
      </c>
      <c r="H421">
        <v>27.2</v>
      </c>
      <c r="I421">
        <v>30.8</v>
      </c>
      <c r="J421">
        <v>18.2</v>
      </c>
      <c r="K421">
        <v>1.525E-2</v>
      </c>
      <c r="L421">
        <v>3.57</v>
      </c>
      <c r="M421">
        <v>20.48</v>
      </c>
      <c r="N421">
        <v>12</v>
      </c>
      <c r="O421">
        <v>3</v>
      </c>
      <c r="P421">
        <v>36</v>
      </c>
      <c r="Q421">
        <v>69.599999999999994</v>
      </c>
      <c r="R421">
        <v>153.51999999999998</v>
      </c>
      <c r="S421">
        <v>0.54899999999999993</v>
      </c>
      <c r="T421">
        <v>492</v>
      </c>
      <c r="U421">
        <v>45447</v>
      </c>
      <c r="V421">
        <v>930754.56000000006</v>
      </c>
      <c r="W421" s="1" t="s">
        <v>1264</v>
      </c>
      <c r="X421" s="1" t="s">
        <v>1264</v>
      </c>
      <c r="Y421">
        <v>5.7882352941176469</v>
      </c>
      <c r="Z421">
        <v>0.37129901960784317</v>
      </c>
      <c r="AA421" s="1" t="s">
        <v>1265</v>
      </c>
      <c r="AB421">
        <v>1</v>
      </c>
      <c r="AC421">
        <v>0</v>
      </c>
      <c r="AD421" s="1">
        <v>4.9204567958281071</v>
      </c>
      <c r="AE421">
        <v>12</v>
      </c>
      <c r="AF421">
        <f>COUNTIFS(tblStock[sku],tblSKU[[#This Row],[sku]])</f>
        <v>3</v>
      </c>
      <c r="AG421" cm="1">
        <f t="array" ref="AG421">SUM(SUMIFS(tblStock[qty_units],tblStock[sku],tblSKU[[#This Row],[sku]],tblStock[stock_type],{"Saleable","FOC"}))</f>
        <v>55905</v>
      </c>
      <c r="AH421" s="3">
        <f>SUMIFS(tblStock[value_nzd],tblStock[sku],tblSKU[[#This Row],[sku]])</f>
        <v>1144934.4000000001</v>
      </c>
      <c r="AI421" s="4">
        <f>SUMIFS(tblStock[cbm],tblStock[sku],tblSKU[[#This Row],[sku]])</f>
        <v>4.2627562499999998</v>
      </c>
      <c r="AJ421" s="1">
        <f>SUMIFS(tblStock[positions],tblStock[sku],tblSKU[[#This Row],[sku]])</f>
        <v>8</v>
      </c>
      <c r="AK421" s="3">
        <f>SUMIFS(tblStock[value_nzd],tblStock[sku],tblSKU[[#This Row],[sku]],tblStock[stock_type],"Expired")</f>
        <v>0</v>
      </c>
      <c r="AL421" s="3" cm="1">
        <f t="array" ref="AL421">SUM(SUMIFS(tblStock[value_nzd],tblStock[sku],tblSKU[[#This Row],[sku]],tblStock[stock_type],{"Saleable","FOC"},tblStock[expiry_date],"&lt;"&amp;EDATE(SnapshotDate,6)))</f>
        <v>0</v>
      </c>
    </row>
    <row r="422" spans="1:38">
      <c r="A422" s="1" t="s">
        <v>898</v>
      </c>
      <c r="B422" s="1" t="s">
        <v>899</v>
      </c>
      <c r="C422" s="1" t="s">
        <v>837</v>
      </c>
      <c r="D422" s="1" t="s">
        <v>37</v>
      </c>
      <c r="E422" s="1" t="s">
        <v>833</v>
      </c>
      <c r="F422" s="1" t="s">
        <v>834</v>
      </c>
      <c r="G422">
        <v>100</v>
      </c>
      <c r="H422">
        <v>25.2</v>
      </c>
      <c r="I422">
        <v>22.7</v>
      </c>
      <c r="J422">
        <v>19.8</v>
      </c>
      <c r="K422">
        <v>1.133E-2</v>
      </c>
      <c r="L422">
        <v>1.53</v>
      </c>
      <c r="M422">
        <v>19.309999999999999</v>
      </c>
      <c r="N422">
        <v>16</v>
      </c>
      <c r="O422">
        <v>3</v>
      </c>
      <c r="P422">
        <v>48</v>
      </c>
      <c r="Q422">
        <v>74.400000000000006</v>
      </c>
      <c r="R422">
        <v>98.44</v>
      </c>
      <c r="S422">
        <v>0.54383999999999999</v>
      </c>
      <c r="T422">
        <v>3</v>
      </c>
      <c r="U422">
        <v>103</v>
      </c>
      <c r="V422">
        <v>1988.9299999999998</v>
      </c>
      <c r="W422" s="1" t="s">
        <v>1262</v>
      </c>
      <c r="X422" s="1" t="s">
        <v>1262</v>
      </c>
      <c r="Y422">
        <v>3.5294117647058823E-2</v>
      </c>
      <c r="Z422">
        <v>1.2622549019607845E-3</v>
      </c>
      <c r="AA422" s="1" t="s">
        <v>1263</v>
      </c>
      <c r="AB422">
        <v>0</v>
      </c>
      <c r="AC422">
        <v>0</v>
      </c>
      <c r="AD422" s="1">
        <v>4.8543689320388346</v>
      </c>
      <c r="AE422">
        <v>2</v>
      </c>
      <c r="AF422">
        <f>COUNTIFS(tblStock[sku],tblSKU[[#This Row],[sku]])</f>
        <v>1</v>
      </c>
      <c r="AG422" cm="1">
        <f t="array" ref="AG422">SUM(SUMIFS(tblStock[qty_units],tblStock[sku],tblSKU[[#This Row],[sku]],tblStock[stock_type],{"Saleable","FOC"}))</f>
        <v>125</v>
      </c>
      <c r="AH422" s="3">
        <f>SUMIFS(tblStock[value_nzd],tblStock[sku],tblSKU[[#This Row],[sku]])</f>
        <v>2413.75</v>
      </c>
      <c r="AI422" s="4">
        <f>SUMIFS(tblStock[cbm],tblStock[sku],tblSKU[[#This Row],[sku]])</f>
        <v>1.41625E-2</v>
      </c>
      <c r="AJ422" s="1">
        <f>SUMIFS(tblStock[positions],tblStock[sku],tblSKU[[#This Row],[sku]])</f>
        <v>0</v>
      </c>
      <c r="AK422" s="3">
        <f>SUMIFS(tblStock[value_nzd],tblStock[sku],tblSKU[[#This Row],[sku]],tblStock[stock_type],"Expired")</f>
        <v>0</v>
      </c>
      <c r="AL422" s="3" cm="1">
        <f t="array" ref="AL422">SUM(SUMIFS(tblStock[value_nzd],tblStock[sku],tblSKU[[#This Row],[sku]],tblStock[stock_type],{"Saleable","FOC"},tblStock[expiry_date],"&lt;"&amp;EDATE(SnapshotDate,6)))</f>
        <v>0</v>
      </c>
    </row>
    <row r="423" spans="1:38">
      <c r="A423" s="1" t="s">
        <v>900</v>
      </c>
      <c r="B423" s="1" t="s">
        <v>901</v>
      </c>
      <c r="C423" s="1" t="s">
        <v>67</v>
      </c>
      <c r="D423" s="1" t="s">
        <v>37</v>
      </c>
      <c r="E423" s="1" t="s">
        <v>833</v>
      </c>
      <c r="F423" s="1" t="s">
        <v>39</v>
      </c>
      <c r="G423">
        <v>50</v>
      </c>
      <c r="H423">
        <v>26.6</v>
      </c>
      <c r="I423">
        <v>29.7</v>
      </c>
      <c r="J423">
        <v>23</v>
      </c>
      <c r="K423">
        <v>1.8169999999999999E-2</v>
      </c>
      <c r="L423">
        <v>4.38</v>
      </c>
      <c r="M423">
        <v>37.9</v>
      </c>
      <c r="N423">
        <v>12</v>
      </c>
      <c r="O423">
        <v>3</v>
      </c>
      <c r="P423">
        <v>36</v>
      </c>
      <c r="Q423">
        <v>84</v>
      </c>
      <c r="R423">
        <v>182.68</v>
      </c>
      <c r="S423">
        <v>0.65411999999999992</v>
      </c>
      <c r="T423">
        <v>10</v>
      </c>
      <c r="U423">
        <v>317</v>
      </c>
      <c r="V423">
        <v>12014.3</v>
      </c>
      <c r="W423" s="1" t="s">
        <v>1262</v>
      </c>
      <c r="X423" s="1" t="s">
        <v>1262</v>
      </c>
      <c r="Y423">
        <v>0.11764705882352941</v>
      </c>
      <c r="Z423">
        <v>1.0359477124183007E-2</v>
      </c>
      <c r="AA423" s="1" t="s">
        <v>1263</v>
      </c>
      <c r="AB423">
        <v>0</v>
      </c>
      <c r="AC423">
        <v>0</v>
      </c>
      <c r="AD423" s="1">
        <v>17.665615141955836</v>
      </c>
      <c r="AE423">
        <v>2</v>
      </c>
      <c r="AF423">
        <f>COUNTIFS(tblStock[sku],tblSKU[[#This Row],[sku]])</f>
        <v>3</v>
      </c>
      <c r="AG423" cm="1">
        <f t="array" ref="AG423">SUM(SUMIFS(tblStock[qty_units],tblStock[sku],tblSKU[[#This Row],[sku]],tblStock[stock_type],{"Saleable","FOC"}))</f>
        <v>1400</v>
      </c>
      <c r="AH423" s="3">
        <f>SUMIFS(tblStock[value_nzd],tblStock[sku],tblSKU[[#This Row],[sku]])</f>
        <v>53060</v>
      </c>
      <c r="AI423" s="4">
        <f>SUMIFS(tblStock[cbm],tblStock[sku],tblSKU[[#This Row],[sku]])</f>
        <v>0.50875999999999999</v>
      </c>
      <c r="AJ423" s="1">
        <f>SUMIFS(tblStock[positions],tblStock[sku],tblSKU[[#This Row],[sku]])</f>
        <v>1</v>
      </c>
      <c r="AK423" s="3">
        <f>SUMIFS(tblStock[value_nzd],tblStock[sku],tblSKU[[#This Row],[sku]],tblStock[stock_type],"Expired")</f>
        <v>0</v>
      </c>
      <c r="AL423" s="3" cm="1">
        <f t="array" ref="AL423">SUM(SUMIFS(tblStock[value_nzd],tblStock[sku],tblSKU[[#This Row],[sku]],tblStock[stock_type],{"Saleable","FOC"},tblStock[expiry_date],"&lt;"&amp;EDATE(SnapshotDate,6)))</f>
        <v>0</v>
      </c>
    </row>
    <row r="424" spans="1:38">
      <c r="A424" s="1" t="s">
        <v>902</v>
      </c>
      <c r="B424" s="1" t="s">
        <v>903</v>
      </c>
      <c r="C424" s="1" t="s">
        <v>837</v>
      </c>
      <c r="D424" s="1" t="s">
        <v>37</v>
      </c>
      <c r="E424" s="1" t="s">
        <v>833</v>
      </c>
      <c r="F424" s="1" t="s">
        <v>39</v>
      </c>
      <c r="G424">
        <v>200</v>
      </c>
      <c r="H424">
        <v>31.9</v>
      </c>
      <c r="I424">
        <v>31.2</v>
      </c>
      <c r="J424">
        <v>14.6</v>
      </c>
      <c r="K424">
        <v>1.453E-2</v>
      </c>
      <c r="L424">
        <v>2.2599999999999998</v>
      </c>
      <c r="M424">
        <v>21.71</v>
      </c>
      <c r="N424">
        <v>8</v>
      </c>
      <c r="O424">
        <v>8</v>
      </c>
      <c r="P424">
        <v>64</v>
      </c>
      <c r="Q424">
        <v>131.80000000000001</v>
      </c>
      <c r="R424">
        <v>169.64</v>
      </c>
      <c r="S424">
        <v>0.92991999999999997</v>
      </c>
      <c r="T424">
        <v>68</v>
      </c>
      <c r="U424">
        <v>9779</v>
      </c>
      <c r="V424">
        <v>212302.09</v>
      </c>
      <c r="W424" s="1" t="s">
        <v>1258</v>
      </c>
      <c r="X424" s="1" t="s">
        <v>1264</v>
      </c>
      <c r="Y424">
        <v>0.8</v>
      </c>
      <c r="Z424">
        <v>4.4940257352941174E-2</v>
      </c>
      <c r="AA424" s="1" t="s">
        <v>1259</v>
      </c>
      <c r="AB424">
        <v>0</v>
      </c>
      <c r="AC424">
        <v>1</v>
      </c>
      <c r="AD424" s="1">
        <v>1.8014111872379588</v>
      </c>
      <c r="AE424">
        <v>12</v>
      </c>
      <c r="AF424">
        <f>COUNTIFS(tblStock[sku],tblSKU[[#This Row],[sku]])</f>
        <v>2</v>
      </c>
      <c r="AG424" cm="1">
        <f t="array" ref="AG424">SUM(SUMIFS(tblStock[qty_units],tblStock[sku],tblSKU[[#This Row],[sku]],tblStock[stock_type],{"Saleable","FOC"}))</f>
        <v>4404</v>
      </c>
      <c r="AH424" s="3">
        <f>SUMIFS(tblStock[value_nzd],tblStock[sku],tblSKU[[#This Row],[sku]])</f>
        <v>95610.84</v>
      </c>
      <c r="AI424" s="4">
        <f>SUMIFS(tblStock[cbm],tblStock[sku],tblSKU[[#This Row],[sku]])</f>
        <v>0.31995059999999997</v>
      </c>
      <c r="AJ424" s="1">
        <f>SUMIFS(tblStock[positions],tblStock[sku],tblSKU[[#This Row],[sku]])</f>
        <v>0</v>
      </c>
      <c r="AK424" s="3">
        <f>SUMIFS(tblStock[value_nzd],tblStock[sku],tblSKU[[#This Row],[sku]],tblStock[stock_type],"Expired")</f>
        <v>0</v>
      </c>
      <c r="AL424" s="3" cm="1">
        <f t="array" ref="AL424">SUM(SUMIFS(tblStock[value_nzd],tblStock[sku],tblSKU[[#This Row],[sku]],tblStock[stock_type],{"Saleable","FOC"},tblStock[expiry_date],"&lt;"&amp;EDATE(SnapshotDate,6)))</f>
        <v>0</v>
      </c>
    </row>
    <row r="425" spans="1:38">
      <c r="A425" s="1" t="s">
        <v>904</v>
      </c>
      <c r="B425" s="1" t="s">
        <v>905</v>
      </c>
      <c r="C425" s="1" t="s">
        <v>67</v>
      </c>
      <c r="D425" s="1" t="s">
        <v>37</v>
      </c>
      <c r="E425" s="1" t="s">
        <v>833</v>
      </c>
      <c r="F425" s="1" t="s">
        <v>39</v>
      </c>
      <c r="G425">
        <v>200</v>
      </c>
      <c r="H425">
        <v>37.700000000000003</v>
      </c>
      <c r="I425">
        <v>32.6</v>
      </c>
      <c r="J425">
        <v>18</v>
      </c>
      <c r="K425">
        <v>2.2120000000000001E-2</v>
      </c>
      <c r="L425">
        <v>3.69</v>
      </c>
      <c r="M425">
        <v>21.38</v>
      </c>
      <c r="N425">
        <v>9</v>
      </c>
      <c r="O425">
        <v>5</v>
      </c>
      <c r="P425">
        <v>45</v>
      </c>
      <c r="Q425">
        <v>105</v>
      </c>
      <c r="R425">
        <v>191.05</v>
      </c>
      <c r="S425">
        <v>0.99540000000000006</v>
      </c>
      <c r="T425">
        <v>15</v>
      </c>
      <c r="U425">
        <v>1700</v>
      </c>
      <c r="V425">
        <v>36346</v>
      </c>
      <c r="W425" s="1" t="s">
        <v>1262</v>
      </c>
      <c r="X425" s="1" t="s">
        <v>1258</v>
      </c>
      <c r="Y425">
        <v>0.17647058823529413</v>
      </c>
      <c r="Z425">
        <v>1.1111111111111112E-2</v>
      </c>
      <c r="AA425" s="1" t="s">
        <v>1263</v>
      </c>
      <c r="AB425">
        <v>0</v>
      </c>
      <c r="AC425">
        <v>0</v>
      </c>
      <c r="AD425" s="1">
        <v>1.6588235294117648</v>
      </c>
      <c r="AE425">
        <v>4</v>
      </c>
      <c r="AF425">
        <f>COUNTIFS(tblStock[sku],tblSKU[[#This Row],[sku]])</f>
        <v>1</v>
      </c>
      <c r="AG425" cm="1">
        <f t="array" ref="AG425">SUM(SUMIFS(tblStock[qty_units],tblStock[sku],tblSKU[[#This Row],[sku]],tblStock[stock_type],{"Saleable","FOC"}))</f>
        <v>705</v>
      </c>
      <c r="AH425" s="3">
        <f>SUMIFS(tblStock[value_nzd],tblStock[sku],tblSKU[[#This Row],[sku]])</f>
        <v>15072.9</v>
      </c>
      <c r="AI425" s="4">
        <f>SUMIFS(tblStock[cbm],tblStock[sku],tblSKU[[#This Row],[sku]])</f>
        <v>7.7973000000000001E-2</v>
      </c>
      <c r="AJ425" s="1">
        <f>SUMIFS(tblStock[positions],tblStock[sku],tblSKU[[#This Row],[sku]])</f>
        <v>0</v>
      </c>
      <c r="AK425" s="3">
        <f>SUMIFS(tblStock[value_nzd],tblStock[sku],tblSKU[[#This Row],[sku]],tblStock[stock_type],"Expired")</f>
        <v>0</v>
      </c>
      <c r="AL425" s="3" cm="1">
        <f t="array" ref="AL425">SUM(SUMIFS(tblStock[value_nzd],tblStock[sku],tblSKU[[#This Row],[sku]],tblStock[stock_type],{"Saleable","FOC"},tblStock[expiry_date],"&lt;"&amp;EDATE(SnapshotDate,6)))</f>
        <v>0</v>
      </c>
    </row>
    <row r="426" spans="1:38">
      <c r="A426" s="1" t="s">
        <v>906</v>
      </c>
      <c r="B426" s="1" t="s">
        <v>907</v>
      </c>
      <c r="C426" s="1" t="s">
        <v>67</v>
      </c>
      <c r="D426" s="1" t="s">
        <v>37</v>
      </c>
      <c r="E426" s="1" t="s">
        <v>833</v>
      </c>
      <c r="F426" s="1" t="s">
        <v>39</v>
      </c>
      <c r="G426">
        <v>200</v>
      </c>
      <c r="H426">
        <v>33.5</v>
      </c>
      <c r="I426">
        <v>28.4</v>
      </c>
      <c r="J426">
        <v>24.8</v>
      </c>
      <c r="K426">
        <v>2.359E-2</v>
      </c>
      <c r="L426">
        <v>3.2</v>
      </c>
      <c r="M426">
        <v>12.76</v>
      </c>
      <c r="N426">
        <v>9</v>
      </c>
      <c r="O426">
        <v>2</v>
      </c>
      <c r="P426">
        <v>18</v>
      </c>
      <c r="Q426">
        <v>64.599999999999994</v>
      </c>
      <c r="R426">
        <v>82.6</v>
      </c>
      <c r="S426">
        <v>0.42462</v>
      </c>
      <c r="T426">
        <v>553</v>
      </c>
      <c r="U426">
        <v>50604</v>
      </c>
      <c r="V426">
        <v>645707.04</v>
      </c>
      <c r="W426" s="1" t="s">
        <v>1264</v>
      </c>
      <c r="X426" s="1" t="s">
        <v>1264</v>
      </c>
      <c r="Y426">
        <v>6.5058823529411764</v>
      </c>
      <c r="Z426">
        <v>0.82686274509803925</v>
      </c>
      <c r="AA426" s="1" t="s">
        <v>1265</v>
      </c>
      <c r="AB426">
        <v>1</v>
      </c>
      <c r="AC426">
        <v>0</v>
      </c>
      <c r="AD426" s="1">
        <v>3.0801517666587621</v>
      </c>
      <c r="AE426">
        <v>12</v>
      </c>
      <c r="AF426">
        <f>COUNTIFS(tblStock[sku],tblSKU[[#This Row],[sku]])</f>
        <v>1</v>
      </c>
      <c r="AG426" cm="1">
        <f t="array" ref="AG426">SUM(SUMIFS(tblStock[qty_units],tblStock[sku],tblSKU[[#This Row],[sku]],tblStock[stock_type],{"Saleable","FOC"}))</f>
        <v>38967</v>
      </c>
      <c r="AH426" s="3">
        <f>SUMIFS(tblStock[value_nzd],tblStock[sku],tblSKU[[#This Row],[sku]])</f>
        <v>497218.92</v>
      </c>
      <c r="AI426" s="4">
        <f>SUMIFS(tblStock[cbm],tblStock[sku],tblSKU[[#This Row],[sku]])</f>
        <v>4.5961576500000003</v>
      </c>
      <c r="AJ426" s="1">
        <f>SUMIFS(tblStock[positions],tblStock[sku],tblSKU[[#This Row],[sku]])</f>
        <v>11</v>
      </c>
      <c r="AK426" s="3">
        <f>SUMIFS(tblStock[value_nzd],tblStock[sku],tblSKU[[#This Row],[sku]],tblStock[stock_type],"Expired")</f>
        <v>0</v>
      </c>
      <c r="AL426" s="3" cm="1">
        <f t="array" ref="AL426">SUM(SUMIFS(tblStock[value_nzd],tblStock[sku],tblSKU[[#This Row],[sku]],tblStock[stock_type],{"Saleable","FOC"},tblStock[expiry_date],"&lt;"&amp;EDATE(SnapshotDate,6)))</f>
        <v>0</v>
      </c>
    </row>
    <row r="427" spans="1:38">
      <c r="A427" s="1" t="s">
        <v>908</v>
      </c>
      <c r="B427" s="1" t="s">
        <v>909</v>
      </c>
      <c r="C427" s="1" t="s">
        <v>837</v>
      </c>
      <c r="D427" s="1" t="s">
        <v>37</v>
      </c>
      <c r="E427" s="1" t="s">
        <v>833</v>
      </c>
      <c r="F427" s="1" t="s">
        <v>39</v>
      </c>
      <c r="G427">
        <v>50</v>
      </c>
      <c r="H427">
        <v>43.9</v>
      </c>
      <c r="I427">
        <v>32.799999999999997</v>
      </c>
      <c r="J427">
        <v>12</v>
      </c>
      <c r="K427">
        <v>1.728E-2</v>
      </c>
      <c r="L427">
        <v>3.26</v>
      </c>
      <c r="M427">
        <v>16.89</v>
      </c>
      <c r="N427">
        <v>4</v>
      </c>
      <c r="O427">
        <v>9</v>
      </c>
      <c r="P427">
        <v>36</v>
      </c>
      <c r="Q427">
        <v>123</v>
      </c>
      <c r="R427">
        <v>142.35999999999999</v>
      </c>
      <c r="S427">
        <v>0.62207999999999997</v>
      </c>
      <c r="T427">
        <v>2</v>
      </c>
      <c r="U427">
        <v>16</v>
      </c>
      <c r="V427">
        <v>270.24</v>
      </c>
      <c r="W427" s="1" t="s">
        <v>1262</v>
      </c>
      <c r="X427" s="1" t="s">
        <v>1262</v>
      </c>
      <c r="Y427">
        <v>2.3529411764705882E-2</v>
      </c>
      <c r="Z427">
        <v>5.228758169934641E-4</v>
      </c>
      <c r="AA427" s="1" t="s">
        <v>1263</v>
      </c>
      <c r="AB427">
        <v>0</v>
      </c>
      <c r="AC427">
        <v>0</v>
      </c>
      <c r="AD427" s="1">
        <v>5.25</v>
      </c>
      <c r="AE427">
        <v>2</v>
      </c>
      <c r="AF427">
        <f>COUNTIFS(tblStock[sku],tblSKU[[#This Row],[sku]])</f>
        <v>4</v>
      </c>
      <c r="AG427" cm="1">
        <f t="array" ref="AG427">SUM(SUMIFS(tblStock[qty_units],tblStock[sku],tblSKU[[#This Row],[sku]],tblStock[stock_type],{"Saleable","FOC"}))</f>
        <v>21</v>
      </c>
      <c r="AH427" s="3">
        <f>SUMIFS(tblStock[value_nzd],tblStock[sku],tblSKU[[#This Row],[sku]])</f>
        <v>371.58</v>
      </c>
      <c r="AI427" s="4">
        <f>SUMIFS(tblStock[cbm],tblStock[sku],tblSKU[[#This Row],[sku]])</f>
        <v>7.6031999999999992E-3</v>
      </c>
      <c r="AJ427" s="1">
        <f>SUMIFS(tblStock[positions],tblStock[sku],tblSKU[[#This Row],[sku]])</f>
        <v>0</v>
      </c>
      <c r="AK427" s="3">
        <f>SUMIFS(tblStock[value_nzd],tblStock[sku],tblSKU[[#This Row],[sku]],tblStock[stock_type],"Expired")</f>
        <v>0</v>
      </c>
      <c r="AL427" s="3" cm="1">
        <f t="array" ref="AL427">SUM(SUMIFS(tblStock[value_nzd],tblStock[sku],tblSKU[[#This Row],[sku]],tblStock[stock_type],{"Saleable","FOC"},tblStock[expiry_date],"&lt;"&amp;EDATE(SnapshotDate,6)))</f>
        <v>0</v>
      </c>
    </row>
    <row r="428" spans="1:38">
      <c r="A428" s="1" t="s">
        <v>910</v>
      </c>
      <c r="B428" s="1" t="s">
        <v>911</v>
      </c>
      <c r="C428" s="1" t="s">
        <v>837</v>
      </c>
      <c r="D428" s="1" t="s">
        <v>37</v>
      </c>
      <c r="E428" s="1" t="s">
        <v>833</v>
      </c>
      <c r="F428" s="1" t="s">
        <v>834</v>
      </c>
      <c r="G428">
        <v>200</v>
      </c>
      <c r="H428">
        <v>41.4</v>
      </c>
      <c r="I428">
        <v>27.5</v>
      </c>
      <c r="J428">
        <v>21.7</v>
      </c>
      <c r="K428">
        <v>2.4709999999999999E-2</v>
      </c>
      <c r="L428">
        <v>5.0599999999999996</v>
      </c>
      <c r="M428">
        <v>16.57</v>
      </c>
      <c r="N428">
        <v>8</v>
      </c>
      <c r="O428">
        <v>4</v>
      </c>
      <c r="P428">
        <v>32</v>
      </c>
      <c r="Q428">
        <v>101.8</v>
      </c>
      <c r="R428">
        <v>186.92</v>
      </c>
      <c r="S428">
        <v>0.79071999999999998</v>
      </c>
      <c r="T428">
        <v>80</v>
      </c>
      <c r="U428">
        <v>6212</v>
      </c>
      <c r="V428">
        <v>102932.84</v>
      </c>
      <c r="W428" s="1" t="s">
        <v>1264</v>
      </c>
      <c r="X428" s="1" t="s">
        <v>1264</v>
      </c>
      <c r="Y428">
        <v>0.94117647058823528</v>
      </c>
      <c r="Z428">
        <v>5.7095588235294113E-2</v>
      </c>
      <c r="AA428" s="1" t="s">
        <v>1265</v>
      </c>
      <c r="AB428">
        <v>1</v>
      </c>
      <c r="AC428">
        <v>0</v>
      </c>
      <c r="AD428" s="1">
        <v>6.4732775273663874</v>
      </c>
      <c r="AE428">
        <v>12</v>
      </c>
      <c r="AF428">
        <f>COUNTIFS(tblStock[sku],tblSKU[[#This Row],[sku]])</f>
        <v>1</v>
      </c>
      <c r="AG428" cm="1">
        <f t="array" ref="AG428">SUM(SUMIFS(tblStock[qty_units],tblStock[sku],tblSKU[[#This Row],[sku]],tblStock[stock_type],{"Saleable","FOC"}))</f>
        <v>10053</v>
      </c>
      <c r="AH428" s="3">
        <f>SUMIFS(tblStock[value_nzd],tblStock[sku],tblSKU[[#This Row],[sku]])</f>
        <v>166578.21</v>
      </c>
      <c r="AI428" s="4">
        <f>SUMIFS(tblStock[cbm],tblStock[sku],tblSKU[[#This Row],[sku]])</f>
        <v>1.24204815</v>
      </c>
      <c r="AJ428" s="1">
        <f>SUMIFS(tblStock[positions],tblStock[sku],tblSKU[[#This Row],[sku]])</f>
        <v>2</v>
      </c>
      <c r="AK428" s="3">
        <f>SUMIFS(tblStock[value_nzd],tblStock[sku],tblSKU[[#This Row],[sku]],tblStock[stock_type],"Expired")</f>
        <v>0</v>
      </c>
      <c r="AL428" s="3" cm="1">
        <f t="array" ref="AL428">SUM(SUMIFS(tblStock[value_nzd],tblStock[sku],tblSKU[[#This Row],[sku]],tblStock[stock_type],{"Saleable","FOC"},tblStock[expiry_date],"&lt;"&amp;EDATE(SnapshotDate,6)))</f>
        <v>0</v>
      </c>
    </row>
    <row r="429" spans="1:38">
      <c r="A429" s="1" t="s">
        <v>912</v>
      </c>
      <c r="B429" s="1" t="s">
        <v>913</v>
      </c>
      <c r="C429" s="1" t="s">
        <v>67</v>
      </c>
      <c r="D429" s="1" t="s">
        <v>37</v>
      </c>
      <c r="E429" s="1" t="s">
        <v>833</v>
      </c>
      <c r="F429" s="1" t="s">
        <v>39</v>
      </c>
      <c r="G429">
        <v>200</v>
      </c>
      <c r="H429">
        <v>35.4</v>
      </c>
      <c r="I429">
        <v>21.9</v>
      </c>
      <c r="J429">
        <v>22.2</v>
      </c>
      <c r="K429">
        <v>1.721E-2</v>
      </c>
      <c r="L429">
        <v>3.01</v>
      </c>
      <c r="M429">
        <v>19.11</v>
      </c>
      <c r="N429">
        <v>12</v>
      </c>
      <c r="O429">
        <v>4</v>
      </c>
      <c r="P429">
        <v>48</v>
      </c>
      <c r="Q429">
        <v>103.8</v>
      </c>
      <c r="R429">
        <v>169.48</v>
      </c>
      <c r="S429">
        <v>0.82607999999999993</v>
      </c>
      <c r="T429">
        <v>15</v>
      </c>
      <c r="U429">
        <v>1860</v>
      </c>
      <c r="V429">
        <v>35544.6</v>
      </c>
      <c r="W429" s="1" t="s">
        <v>1262</v>
      </c>
      <c r="X429" s="1" t="s">
        <v>1258</v>
      </c>
      <c r="Y429">
        <v>0.17647058823529413</v>
      </c>
      <c r="Z429">
        <v>1.1397058823529413E-2</v>
      </c>
      <c r="AA429" s="1" t="s">
        <v>1263</v>
      </c>
      <c r="AB429">
        <v>0</v>
      </c>
      <c r="AC429">
        <v>0</v>
      </c>
      <c r="AD429" s="1">
        <v>11.389247311827956</v>
      </c>
      <c r="AE429">
        <v>4</v>
      </c>
      <c r="AF429">
        <f>COUNTIFS(tblStock[sku],tblSKU[[#This Row],[sku]])</f>
        <v>5</v>
      </c>
      <c r="AG429" cm="1">
        <f t="array" ref="AG429">SUM(SUMIFS(tblStock[qty_units],tblStock[sku],tblSKU[[#This Row],[sku]],tblStock[stock_type],{"Saleable","FOC"}))</f>
        <v>5296</v>
      </c>
      <c r="AH429" s="3">
        <f>SUMIFS(tblStock[value_nzd],tblStock[sku],tblSKU[[#This Row],[sku]])</f>
        <v>101206.56</v>
      </c>
      <c r="AI429" s="4">
        <f>SUMIFS(tblStock[cbm],tblStock[sku],tblSKU[[#This Row],[sku]])</f>
        <v>0.45572079999999998</v>
      </c>
      <c r="AJ429" s="1">
        <f>SUMIFS(tblStock[positions],tblStock[sku],tblSKU[[#This Row],[sku]])</f>
        <v>0</v>
      </c>
      <c r="AK429" s="3">
        <f>SUMIFS(tblStock[value_nzd],tblStock[sku],tblSKU[[#This Row],[sku]],tblStock[stock_type],"Expired")</f>
        <v>0</v>
      </c>
      <c r="AL429" s="3" cm="1">
        <f t="array" ref="AL429">SUM(SUMIFS(tblStock[value_nzd],tblStock[sku],tblSKU[[#This Row],[sku]],tblStock[stock_type],{"Saleable","FOC"},tblStock[expiry_date],"&lt;"&amp;EDATE(SnapshotDate,6)))</f>
        <v>45844.89</v>
      </c>
    </row>
    <row r="430" spans="1:38">
      <c r="A430" s="1" t="s">
        <v>914</v>
      </c>
      <c r="B430" s="1" t="s">
        <v>915</v>
      </c>
      <c r="C430" s="1" t="s">
        <v>837</v>
      </c>
      <c r="D430" s="1" t="s">
        <v>37</v>
      </c>
      <c r="E430" s="1" t="s">
        <v>916</v>
      </c>
      <c r="F430" s="1" t="s">
        <v>834</v>
      </c>
      <c r="G430">
        <v>20</v>
      </c>
      <c r="H430">
        <v>29.9</v>
      </c>
      <c r="I430">
        <v>19.899999999999999</v>
      </c>
      <c r="J430">
        <v>17.899999999999999</v>
      </c>
      <c r="K430">
        <v>1.065E-2</v>
      </c>
      <c r="L430">
        <v>2.61</v>
      </c>
      <c r="M430">
        <v>82.81</v>
      </c>
      <c r="N430">
        <v>20</v>
      </c>
      <c r="O430">
        <v>7</v>
      </c>
      <c r="P430">
        <v>140</v>
      </c>
      <c r="Q430">
        <v>140.29999999999998</v>
      </c>
      <c r="R430">
        <v>390.4</v>
      </c>
      <c r="S430">
        <v>1.4909999999999999</v>
      </c>
      <c r="T430">
        <v>7</v>
      </c>
      <c r="U430">
        <v>262</v>
      </c>
      <c r="V430">
        <v>21696.22</v>
      </c>
      <c r="W430" s="1" t="s">
        <v>1262</v>
      </c>
      <c r="X430" s="1" t="s">
        <v>1262</v>
      </c>
      <c r="Y430">
        <v>8.2352941176470587E-2</v>
      </c>
      <c r="Z430">
        <v>5.5042016806722688E-3</v>
      </c>
      <c r="AA430" s="1" t="s">
        <v>1263</v>
      </c>
      <c r="AB430">
        <v>0</v>
      </c>
      <c r="AC430">
        <v>0</v>
      </c>
      <c r="AD430" s="1">
        <v>4.9312977099236646</v>
      </c>
      <c r="AE430">
        <v>2</v>
      </c>
      <c r="AF430">
        <f>COUNTIFS(tblStock[sku],tblSKU[[#This Row],[sku]])</f>
        <v>3</v>
      </c>
      <c r="AG430" cm="1">
        <f t="array" ref="AG430">SUM(SUMIFS(tblStock[qty_units],tblStock[sku],tblSKU[[#This Row],[sku]],tblStock[stock_type],{"Saleable","FOC"}))</f>
        <v>323</v>
      </c>
      <c r="AH430" s="3">
        <f>SUMIFS(tblStock[value_nzd],tblStock[sku],tblSKU[[#This Row],[sku]])</f>
        <v>26747.63</v>
      </c>
      <c r="AI430" s="4">
        <f>SUMIFS(tblStock[cbm],tblStock[sku],tblSKU[[#This Row],[sku]])</f>
        <v>0.1719975</v>
      </c>
      <c r="AJ430" s="1">
        <f>SUMIFS(tblStock[positions],tblStock[sku],tblSKU[[#This Row],[sku]])</f>
        <v>0</v>
      </c>
      <c r="AK430" s="3">
        <f>SUMIFS(tblStock[value_nzd],tblStock[sku],tblSKU[[#This Row],[sku]],tblStock[stock_type],"Expired")</f>
        <v>0</v>
      </c>
      <c r="AL430" s="3" cm="1">
        <f t="array" ref="AL430">SUM(SUMIFS(tblStock[value_nzd],tblStock[sku],tblSKU[[#This Row],[sku]],tblStock[stock_type],{"Saleable","FOC"},tblStock[expiry_date],"&lt;"&amp;EDATE(SnapshotDate,6)))</f>
        <v>0</v>
      </c>
    </row>
    <row r="431" spans="1:38">
      <c r="A431" s="1" t="s">
        <v>917</v>
      </c>
      <c r="B431" s="1" t="s">
        <v>918</v>
      </c>
      <c r="C431" s="1" t="s">
        <v>837</v>
      </c>
      <c r="D431" s="1" t="s">
        <v>37</v>
      </c>
      <c r="E431" s="1" t="s">
        <v>916</v>
      </c>
      <c r="F431" s="1" t="s">
        <v>834</v>
      </c>
      <c r="G431">
        <v>20</v>
      </c>
      <c r="H431">
        <v>36.1</v>
      </c>
      <c r="I431">
        <v>16.3</v>
      </c>
      <c r="J431">
        <v>18.3</v>
      </c>
      <c r="K431">
        <v>1.077E-2</v>
      </c>
      <c r="L431">
        <v>2.33</v>
      </c>
      <c r="M431">
        <v>49.27</v>
      </c>
      <c r="N431">
        <v>18</v>
      </c>
      <c r="O431">
        <v>6</v>
      </c>
      <c r="P431">
        <v>108</v>
      </c>
      <c r="Q431">
        <v>124.80000000000001</v>
      </c>
      <c r="R431">
        <v>276.64</v>
      </c>
      <c r="S431">
        <v>1.16316</v>
      </c>
      <c r="T431">
        <v>0</v>
      </c>
      <c r="U431">
        <v>0</v>
      </c>
      <c r="V431">
        <v>0</v>
      </c>
      <c r="W431" s="1" t="s">
        <v>1260</v>
      </c>
      <c r="X431" s="1" t="s">
        <v>1260</v>
      </c>
      <c r="Y431">
        <v>0</v>
      </c>
      <c r="Z431">
        <v>0</v>
      </c>
      <c r="AA431" s="1" t="s">
        <v>1261</v>
      </c>
      <c r="AB431">
        <v>0</v>
      </c>
      <c r="AC431">
        <v>0</v>
      </c>
      <c r="AD431" s="1"/>
      <c r="AE431">
        <v>1</v>
      </c>
      <c r="AF431">
        <f>COUNTIFS(tblStock[sku],tblSKU[[#This Row],[sku]])</f>
        <v>1</v>
      </c>
      <c r="AG431" cm="1">
        <f t="array" ref="AG431">SUM(SUMIFS(tblStock[qty_units],tblStock[sku],tblSKU[[#This Row],[sku]],tblStock[stock_type],{"Saleable","FOC"}))</f>
        <v>20</v>
      </c>
      <c r="AH431" s="3">
        <f>SUMIFS(tblStock[value_nzd],tblStock[sku],tblSKU[[#This Row],[sku]])</f>
        <v>985.40000000000009</v>
      </c>
      <c r="AI431" s="4">
        <f>SUMIFS(tblStock[cbm],tblStock[sku],tblSKU[[#This Row],[sku]])</f>
        <v>1.077E-2</v>
      </c>
      <c r="AJ431" s="1">
        <f>SUMIFS(tblStock[positions],tblStock[sku],tblSKU[[#This Row],[sku]])</f>
        <v>0</v>
      </c>
      <c r="AK431" s="3">
        <f>SUMIFS(tblStock[value_nzd],tblStock[sku],tblSKU[[#This Row],[sku]],tblStock[stock_type],"Expired")</f>
        <v>0</v>
      </c>
      <c r="AL431" s="3" cm="1">
        <f t="array" ref="AL431">SUM(SUMIFS(tblStock[value_nzd],tblStock[sku],tblSKU[[#This Row],[sku]],tblStock[stock_type],{"Saleable","FOC"},tblStock[expiry_date],"&lt;"&amp;EDATE(SnapshotDate,6)))</f>
        <v>0</v>
      </c>
    </row>
    <row r="432" spans="1:38">
      <c r="A432" s="1" t="s">
        <v>919</v>
      </c>
      <c r="B432" s="1" t="s">
        <v>920</v>
      </c>
      <c r="C432" s="1" t="s">
        <v>837</v>
      </c>
      <c r="D432" s="1" t="s">
        <v>37</v>
      </c>
      <c r="E432" s="1" t="s">
        <v>916</v>
      </c>
      <c r="F432" s="1" t="s">
        <v>834</v>
      </c>
      <c r="G432">
        <v>50</v>
      </c>
      <c r="H432">
        <v>27.7</v>
      </c>
      <c r="I432">
        <v>27.3</v>
      </c>
      <c r="J432">
        <v>19.3</v>
      </c>
      <c r="K432">
        <v>1.4590000000000001E-2</v>
      </c>
      <c r="L432">
        <v>2.85</v>
      </c>
      <c r="M432">
        <v>38.68</v>
      </c>
      <c r="N432">
        <v>11</v>
      </c>
      <c r="O432">
        <v>3</v>
      </c>
      <c r="P432">
        <v>33</v>
      </c>
      <c r="Q432">
        <v>72.900000000000006</v>
      </c>
      <c r="R432">
        <v>119.05</v>
      </c>
      <c r="S432">
        <v>0.48147000000000001</v>
      </c>
      <c r="T432">
        <v>27</v>
      </c>
      <c r="U432">
        <v>2365</v>
      </c>
      <c r="V432">
        <v>91478.2</v>
      </c>
      <c r="W432" s="1" t="s">
        <v>1258</v>
      </c>
      <c r="X432" s="1" t="s">
        <v>1258</v>
      </c>
      <c r="Y432">
        <v>0.31764705882352939</v>
      </c>
      <c r="Z432">
        <v>8.431372549019607E-2</v>
      </c>
      <c r="AA432" s="1" t="s">
        <v>1259</v>
      </c>
      <c r="AB432">
        <v>0</v>
      </c>
      <c r="AC432">
        <v>1</v>
      </c>
      <c r="AD432" s="1">
        <v>6.1073995771670191</v>
      </c>
      <c r="AE432">
        <v>4</v>
      </c>
      <c r="AF432">
        <f>COUNTIFS(tblStock[sku],tblSKU[[#This Row],[sku]])</f>
        <v>1</v>
      </c>
      <c r="AG432" cm="1">
        <f t="array" ref="AG432">SUM(SUMIFS(tblStock[qty_units],tblStock[sku],tblSKU[[#This Row],[sku]],tblStock[stock_type],{"Saleable","FOC"}))</f>
        <v>3611</v>
      </c>
      <c r="AH432" s="3">
        <f>SUMIFS(tblStock[value_nzd],tblStock[sku],tblSKU[[#This Row],[sku]])</f>
        <v>139673.48000000001</v>
      </c>
      <c r="AI432" s="4">
        <f>SUMIFS(tblStock[cbm],tblStock[sku],tblSKU[[#This Row],[sku]])</f>
        <v>1.0536898000000001</v>
      </c>
      <c r="AJ432" s="1">
        <f>SUMIFS(tblStock[positions],tblStock[sku],tblSKU[[#This Row],[sku]])</f>
        <v>3</v>
      </c>
      <c r="AK432" s="3">
        <f>SUMIFS(tblStock[value_nzd],tblStock[sku],tblSKU[[#This Row],[sku]],tblStock[stock_type],"Expired")</f>
        <v>0</v>
      </c>
      <c r="AL432" s="3" cm="1">
        <f t="array" ref="AL432">SUM(SUMIFS(tblStock[value_nzd],tblStock[sku],tblSKU[[#This Row],[sku]],tblStock[stock_type],{"Saleable","FOC"},tblStock[expiry_date],"&lt;"&amp;EDATE(SnapshotDate,6)))</f>
        <v>0</v>
      </c>
    </row>
    <row r="433" spans="1:38">
      <c r="A433" s="1" t="s">
        <v>921</v>
      </c>
      <c r="B433" s="1" t="s">
        <v>922</v>
      </c>
      <c r="C433" s="1" t="s">
        <v>837</v>
      </c>
      <c r="D433" s="1" t="s">
        <v>37</v>
      </c>
      <c r="E433" s="1" t="s">
        <v>916</v>
      </c>
      <c r="F433" s="1" t="s">
        <v>834</v>
      </c>
      <c r="G433">
        <v>50</v>
      </c>
      <c r="H433">
        <v>39.5</v>
      </c>
      <c r="I433">
        <v>20.5</v>
      </c>
      <c r="J433">
        <v>21.9</v>
      </c>
      <c r="K433">
        <v>1.7729999999999999E-2</v>
      </c>
      <c r="L433">
        <v>3.21</v>
      </c>
      <c r="M433">
        <v>74.459999999999994</v>
      </c>
      <c r="N433">
        <v>12</v>
      </c>
      <c r="O433">
        <v>5</v>
      </c>
      <c r="P433">
        <v>60</v>
      </c>
      <c r="Q433">
        <v>124.5</v>
      </c>
      <c r="R433">
        <v>217.6</v>
      </c>
      <c r="S433">
        <v>1.0637999999999999</v>
      </c>
      <c r="T433">
        <v>65</v>
      </c>
      <c r="U433">
        <v>2829</v>
      </c>
      <c r="V433">
        <v>210647.34</v>
      </c>
      <c r="W433" s="1" t="s">
        <v>1258</v>
      </c>
      <c r="X433" s="1" t="s">
        <v>1264</v>
      </c>
      <c r="Y433">
        <v>0.76470588235294112</v>
      </c>
      <c r="Z433">
        <v>5.5470588235294119E-2</v>
      </c>
      <c r="AA433" s="1" t="s">
        <v>1259</v>
      </c>
      <c r="AB433">
        <v>0</v>
      </c>
      <c r="AC433">
        <v>1</v>
      </c>
      <c r="AD433" s="1">
        <v>3.2661717921527043</v>
      </c>
      <c r="AE433">
        <v>12</v>
      </c>
      <c r="AF433">
        <f>COUNTIFS(tblStock[sku],tblSKU[[#This Row],[sku]])</f>
        <v>1</v>
      </c>
      <c r="AG433" cm="1">
        <f t="array" ref="AG433">SUM(SUMIFS(tblStock[qty_units],tblStock[sku],tblSKU[[#This Row],[sku]],tblStock[stock_type],{"Saleable","FOC"}))</f>
        <v>2310</v>
      </c>
      <c r="AH433" s="3">
        <f>SUMIFS(tblStock[value_nzd],tblStock[sku],tblSKU[[#This Row],[sku]])</f>
        <v>172002.59999999998</v>
      </c>
      <c r="AI433" s="4">
        <f>SUMIFS(tblStock[cbm],tblStock[sku],tblSKU[[#This Row],[sku]])</f>
        <v>0.81912600000000002</v>
      </c>
      <c r="AJ433" s="1">
        <f>SUMIFS(tblStock[positions],tblStock[sku],tblSKU[[#This Row],[sku]])</f>
        <v>1</v>
      </c>
      <c r="AK433" s="3">
        <f>SUMIFS(tblStock[value_nzd],tblStock[sku],tblSKU[[#This Row],[sku]],tblStock[stock_type],"Expired")</f>
        <v>0</v>
      </c>
      <c r="AL433" s="3" cm="1">
        <f t="array" ref="AL433">SUM(SUMIFS(tblStock[value_nzd],tblStock[sku],tblSKU[[#This Row],[sku]],tblStock[stock_type],{"Saleable","FOC"},tblStock[expiry_date],"&lt;"&amp;EDATE(SnapshotDate,6)))</f>
        <v>172002.59999999998</v>
      </c>
    </row>
    <row r="434" spans="1:38">
      <c r="A434" s="1" t="s">
        <v>923</v>
      </c>
      <c r="B434" s="1" t="s">
        <v>924</v>
      </c>
      <c r="C434" s="1" t="s">
        <v>837</v>
      </c>
      <c r="D434" s="1" t="s">
        <v>37</v>
      </c>
      <c r="E434" s="1" t="s">
        <v>916</v>
      </c>
      <c r="F434" s="1" t="s">
        <v>834</v>
      </c>
      <c r="G434">
        <v>50</v>
      </c>
      <c r="H434">
        <v>24.9</v>
      </c>
      <c r="I434">
        <v>29.7</v>
      </c>
      <c r="J434">
        <v>23.8</v>
      </c>
      <c r="K434">
        <v>1.7600000000000001E-2</v>
      </c>
      <c r="L434">
        <v>4.26</v>
      </c>
      <c r="M434">
        <v>106.56</v>
      </c>
      <c r="N434">
        <v>16</v>
      </c>
      <c r="O434">
        <v>4</v>
      </c>
      <c r="P434">
        <v>64</v>
      </c>
      <c r="Q434">
        <v>110.2</v>
      </c>
      <c r="R434">
        <v>297.64</v>
      </c>
      <c r="S434">
        <v>1.1264000000000001</v>
      </c>
      <c r="T434">
        <v>64</v>
      </c>
      <c r="U434">
        <v>2553</v>
      </c>
      <c r="V434">
        <v>272047.68</v>
      </c>
      <c r="W434" s="1" t="s">
        <v>1258</v>
      </c>
      <c r="X434" s="1" t="s">
        <v>1264</v>
      </c>
      <c r="Y434">
        <v>0.75294117647058822</v>
      </c>
      <c r="Z434">
        <v>4.6930147058823535E-2</v>
      </c>
      <c r="AA434" s="1" t="s">
        <v>1259</v>
      </c>
      <c r="AB434">
        <v>0</v>
      </c>
      <c r="AC434">
        <v>1</v>
      </c>
      <c r="AD434" s="1">
        <v>7.6929103016059539</v>
      </c>
      <c r="AE434">
        <v>12</v>
      </c>
      <c r="AF434">
        <f>COUNTIFS(tblStock[sku],tblSKU[[#This Row],[sku]])</f>
        <v>4</v>
      </c>
      <c r="AG434" cm="1">
        <f t="array" ref="AG434">SUM(SUMIFS(tblStock[qty_units],tblStock[sku],tblSKU[[#This Row],[sku]],tblStock[stock_type],{"Saleable","FOC"}))</f>
        <v>4910</v>
      </c>
      <c r="AH434" s="3">
        <f>SUMIFS(tblStock[value_nzd],tblStock[sku],tblSKU[[#This Row],[sku]])</f>
        <v>523209.60000000003</v>
      </c>
      <c r="AI434" s="4">
        <f>SUMIFS(tblStock[cbm],tblStock[sku],tblSKU[[#This Row],[sku]])</f>
        <v>1.7283200000000001</v>
      </c>
      <c r="AJ434" s="1">
        <f>SUMIFS(tblStock[positions],tblStock[sku],tblSKU[[#This Row],[sku]])</f>
        <v>3</v>
      </c>
      <c r="AK434" s="3">
        <f>SUMIFS(tblStock[value_nzd],tblStock[sku],tblSKU[[#This Row],[sku]],tblStock[stock_type],"Expired")</f>
        <v>0</v>
      </c>
      <c r="AL434" s="3" cm="1">
        <f t="array" ref="AL434">SUM(SUMIFS(tblStock[value_nzd],tblStock[sku],tblSKU[[#This Row],[sku]],tblStock[stock_type],{"Saleable","FOC"},tblStock[expiry_date],"&lt;"&amp;EDATE(SnapshotDate,6)))</f>
        <v>0</v>
      </c>
    </row>
    <row r="435" spans="1:38">
      <c r="A435" s="1" t="s">
        <v>925</v>
      </c>
      <c r="B435" s="1" t="s">
        <v>926</v>
      </c>
      <c r="C435" s="1" t="s">
        <v>837</v>
      </c>
      <c r="D435" s="1" t="s">
        <v>37</v>
      </c>
      <c r="E435" s="1" t="s">
        <v>916</v>
      </c>
      <c r="F435" s="1" t="s">
        <v>834</v>
      </c>
      <c r="G435">
        <v>10</v>
      </c>
      <c r="H435">
        <v>32.9</v>
      </c>
      <c r="I435">
        <v>27.6</v>
      </c>
      <c r="J435">
        <v>22.5</v>
      </c>
      <c r="K435">
        <v>2.043E-2</v>
      </c>
      <c r="L435">
        <v>3.24</v>
      </c>
      <c r="M435">
        <v>29.68</v>
      </c>
      <c r="N435">
        <v>12</v>
      </c>
      <c r="O435">
        <v>5</v>
      </c>
      <c r="P435">
        <v>60</v>
      </c>
      <c r="Q435">
        <v>127.5</v>
      </c>
      <c r="R435">
        <v>219.4</v>
      </c>
      <c r="S435">
        <v>1.2258</v>
      </c>
      <c r="T435">
        <v>60</v>
      </c>
      <c r="U435">
        <v>1737</v>
      </c>
      <c r="V435">
        <v>51554.159999999996</v>
      </c>
      <c r="W435" s="1" t="s">
        <v>1258</v>
      </c>
      <c r="X435" s="1" t="s">
        <v>1258</v>
      </c>
      <c r="Y435">
        <v>0.70588235294117652</v>
      </c>
      <c r="Z435">
        <v>0.17029411764705882</v>
      </c>
      <c r="AA435" s="1" t="s">
        <v>1259</v>
      </c>
      <c r="AB435">
        <v>0</v>
      </c>
      <c r="AC435">
        <v>1</v>
      </c>
      <c r="AD435" s="1">
        <v>2.9545192861255036</v>
      </c>
      <c r="AE435">
        <v>4</v>
      </c>
      <c r="AF435">
        <f>COUNTIFS(tblStock[sku],tblSKU[[#This Row],[sku]])</f>
        <v>2</v>
      </c>
      <c r="AG435" cm="1">
        <f t="array" ref="AG435">SUM(SUMIFS(tblStock[qty_units],tblStock[sku],tblSKU[[#This Row],[sku]],tblStock[stock_type],{"Saleable","FOC"}))</f>
        <v>1283</v>
      </c>
      <c r="AH435" s="3">
        <f>SUMIFS(tblStock[value_nzd],tblStock[sku],tblSKU[[#This Row],[sku]])</f>
        <v>38079.440000000002</v>
      </c>
      <c r="AI435" s="4">
        <f>SUMIFS(tblStock[cbm],tblStock[sku],tblSKU[[#This Row],[sku]])</f>
        <v>2.6211690000000001</v>
      </c>
      <c r="AJ435" s="1">
        <f>SUMIFS(tblStock[positions],tblStock[sku],tblSKU[[#This Row],[sku]])</f>
        <v>3</v>
      </c>
      <c r="AK435" s="3">
        <f>SUMIFS(tblStock[value_nzd],tblStock[sku],tblSKU[[#This Row],[sku]],tblStock[stock_type],"Expired")</f>
        <v>0</v>
      </c>
      <c r="AL435" s="3" cm="1">
        <f t="array" ref="AL435">SUM(SUMIFS(tblStock[value_nzd],tblStock[sku],tblSKU[[#This Row],[sku]],tblStock[stock_type],{"Saleable","FOC"},tblStock[expiry_date],"&lt;"&amp;EDATE(SnapshotDate,6)))</f>
        <v>0</v>
      </c>
    </row>
    <row r="436" spans="1:38">
      <c r="A436" s="1" t="s">
        <v>927</v>
      </c>
      <c r="B436" s="1" t="s">
        <v>928</v>
      </c>
      <c r="C436" s="1" t="s">
        <v>837</v>
      </c>
      <c r="D436" s="1" t="s">
        <v>37</v>
      </c>
      <c r="E436" s="1" t="s">
        <v>916</v>
      </c>
      <c r="F436" s="1" t="s">
        <v>834</v>
      </c>
      <c r="G436">
        <v>10</v>
      </c>
      <c r="H436">
        <v>39.299999999999997</v>
      </c>
      <c r="I436">
        <v>27.7</v>
      </c>
      <c r="J436">
        <v>23.5</v>
      </c>
      <c r="K436">
        <v>2.5579999999999999E-2</v>
      </c>
      <c r="L436">
        <v>4.87</v>
      </c>
      <c r="M436">
        <v>63.35</v>
      </c>
      <c r="N436">
        <v>9</v>
      </c>
      <c r="O436">
        <v>2</v>
      </c>
      <c r="P436">
        <v>18</v>
      </c>
      <c r="Q436">
        <v>62</v>
      </c>
      <c r="R436">
        <v>112.66</v>
      </c>
      <c r="S436">
        <v>0.46043999999999996</v>
      </c>
      <c r="T436">
        <v>26</v>
      </c>
      <c r="U436">
        <v>996</v>
      </c>
      <c r="V436">
        <v>63096.6</v>
      </c>
      <c r="W436" s="1" t="s">
        <v>1258</v>
      </c>
      <c r="X436" s="1" t="s">
        <v>1258</v>
      </c>
      <c r="Y436">
        <v>0.30588235294117649</v>
      </c>
      <c r="Z436">
        <v>0.32549019607843133</v>
      </c>
      <c r="AA436" s="1" t="s">
        <v>1259</v>
      </c>
      <c r="AB436">
        <v>0</v>
      </c>
      <c r="AC436">
        <v>1</v>
      </c>
      <c r="AD436" s="1">
        <v>12.317269076305221</v>
      </c>
      <c r="AE436">
        <v>4</v>
      </c>
      <c r="AF436">
        <f>COUNTIFS(tblStock[sku],tblSKU[[#This Row],[sku]])</f>
        <v>1</v>
      </c>
      <c r="AG436" cm="1">
        <f t="array" ref="AG436">SUM(SUMIFS(tblStock[qty_units],tblStock[sku],tblSKU[[#This Row],[sku]],tblStock[stock_type],{"Saleable","FOC"}))</f>
        <v>3067</v>
      </c>
      <c r="AH436" s="3">
        <f>SUMIFS(tblStock[value_nzd],tblStock[sku],tblSKU[[#This Row],[sku]])</f>
        <v>194294.45</v>
      </c>
      <c r="AI436" s="4">
        <f>SUMIFS(tblStock[cbm],tblStock[sku],tblSKU[[#This Row],[sku]])</f>
        <v>7.8453859999999995</v>
      </c>
      <c r="AJ436" s="1">
        <f>SUMIFS(tblStock[positions],tblStock[sku],tblSKU[[#This Row],[sku]])</f>
        <v>18</v>
      </c>
      <c r="AK436" s="3">
        <f>SUMIFS(tblStock[value_nzd],tblStock[sku],tblSKU[[#This Row],[sku]],tblStock[stock_type],"Expired")</f>
        <v>0</v>
      </c>
      <c r="AL436" s="3" cm="1">
        <f t="array" ref="AL436">SUM(SUMIFS(tblStock[value_nzd],tblStock[sku],tblSKU[[#This Row],[sku]],tblStock[stock_type],{"Saleable","FOC"},tblStock[expiry_date],"&lt;"&amp;EDATE(SnapshotDate,6)))</f>
        <v>194294.45</v>
      </c>
    </row>
    <row r="437" spans="1:38">
      <c r="A437" s="1" t="s">
        <v>929</v>
      </c>
      <c r="B437" s="1" t="s">
        <v>930</v>
      </c>
      <c r="C437" s="1" t="s">
        <v>837</v>
      </c>
      <c r="D437" s="1" t="s">
        <v>37</v>
      </c>
      <c r="E437" s="1" t="s">
        <v>916</v>
      </c>
      <c r="F437" s="1" t="s">
        <v>834</v>
      </c>
      <c r="G437">
        <v>50</v>
      </c>
      <c r="H437">
        <v>36.6</v>
      </c>
      <c r="I437">
        <v>23.3</v>
      </c>
      <c r="J437">
        <v>18.899999999999999</v>
      </c>
      <c r="K437">
        <v>1.6119999999999999E-2</v>
      </c>
      <c r="L437">
        <v>4.8099999999999996</v>
      </c>
      <c r="M437">
        <v>69.13</v>
      </c>
      <c r="N437">
        <v>10</v>
      </c>
      <c r="O437">
        <v>5</v>
      </c>
      <c r="P437">
        <v>50</v>
      </c>
      <c r="Q437">
        <v>109.5</v>
      </c>
      <c r="R437">
        <v>265.5</v>
      </c>
      <c r="S437">
        <v>0.80599999999999994</v>
      </c>
      <c r="T437">
        <v>21</v>
      </c>
      <c r="U437">
        <v>1017</v>
      </c>
      <c r="V437">
        <v>70305.209999999992</v>
      </c>
      <c r="W437" s="1" t="s">
        <v>1262</v>
      </c>
      <c r="X437" s="1" t="s">
        <v>1258</v>
      </c>
      <c r="Y437">
        <v>0.24705882352941178</v>
      </c>
      <c r="Z437">
        <v>2.3929411764705883E-2</v>
      </c>
      <c r="AA437" s="1" t="s">
        <v>1263</v>
      </c>
      <c r="AB437">
        <v>0</v>
      </c>
      <c r="AC437">
        <v>0</v>
      </c>
      <c r="AD437" s="1">
        <v>8.8692232055063922</v>
      </c>
      <c r="AE437">
        <v>4</v>
      </c>
      <c r="AF437">
        <f>COUNTIFS(tblStock[sku],tblSKU[[#This Row],[sku]])</f>
        <v>3</v>
      </c>
      <c r="AG437" cm="1">
        <f t="array" ref="AG437">SUM(SUMIFS(tblStock[qty_units],tblStock[sku],tblSKU[[#This Row],[sku]],tblStock[stock_type],{"Saleable","FOC"}))</f>
        <v>2255</v>
      </c>
      <c r="AH437" s="3">
        <f>SUMIFS(tblStock[value_nzd],tblStock[sku],tblSKU[[#This Row],[sku]])</f>
        <v>155888.14999999997</v>
      </c>
      <c r="AI437" s="4">
        <f>SUMIFS(tblStock[cbm],tblStock[sku],tblSKU[[#This Row],[sku]])</f>
        <v>0.72701199999999988</v>
      </c>
      <c r="AJ437" s="1">
        <f>SUMIFS(tblStock[positions],tblStock[sku],tblSKU[[#This Row],[sku]])</f>
        <v>1</v>
      </c>
      <c r="AK437" s="3">
        <f>SUMIFS(tblStock[value_nzd],tblStock[sku],tblSKU[[#This Row],[sku]],tblStock[stock_type],"Expired")</f>
        <v>0</v>
      </c>
      <c r="AL437" s="3" cm="1">
        <f t="array" ref="AL437">SUM(SUMIFS(tblStock[value_nzd],tblStock[sku],tblSKU[[#This Row],[sku]],tblStock[stock_type],{"Saleable","FOC"},tblStock[expiry_date],"&lt;"&amp;EDATE(SnapshotDate,6)))</f>
        <v>0</v>
      </c>
    </row>
    <row r="438" spans="1:38">
      <c r="A438" s="1" t="s">
        <v>931</v>
      </c>
      <c r="B438" s="1" t="s">
        <v>932</v>
      </c>
      <c r="C438" s="1" t="s">
        <v>837</v>
      </c>
      <c r="D438" s="1" t="s">
        <v>37</v>
      </c>
      <c r="E438" s="1" t="s">
        <v>916</v>
      </c>
      <c r="F438" s="1" t="s">
        <v>834</v>
      </c>
      <c r="G438">
        <v>50</v>
      </c>
      <c r="H438">
        <v>33.1</v>
      </c>
      <c r="I438">
        <v>26.9</v>
      </c>
      <c r="J438">
        <v>13.1</v>
      </c>
      <c r="K438">
        <v>1.166E-2</v>
      </c>
      <c r="L438">
        <v>3.41</v>
      </c>
      <c r="M438">
        <v>66.05</v>
      </c>
      <c r="N438">
        <v>12</v>
      </c>
      <c r="O438">
        <v>5</v>
      </c>
      <c r="P438">
        <v>60</v>
      </c>
      <c r="Q438">
        <v>80.5</v>
      </c>
      <c r="R438">
        <v>229.60000000000002</v>
      </c>
      <c r="S438">
        <v>0.6996</v>
      </c>
      <c r="T438">
        <v>156</v>
      </c>
      <c r="U438">
        <v>5995</v>
      </c>
      <c r="V438">
        <v>395969.75</v>
      </c>
      <c r="W438" s="1" t="s">
        <v>1264</v>
      </c>
      <c r="X438" s="1" t="s">
        <v>1264</v>
      </c>
      <c r="Y438">
        <v>1.8352941176470587</v>
      </c>
      <c r="Z438">
        <v>0.11754901960784313</v>
      </c>
      <c r="AA438" s="1" t="s">
        <v>1265</v>
      </c>
      <c r="AB438">
        <v>1</v>
      </c>
      <c r="AC438">
        <v>0</v>
      </c>
      <c r="AD438" s="1">
        <v>8.539783152627189</v>
      </c>
      <c r="AE438">
        <v>12</v>
      </c>
      <c r="AF438">
        <f>COUNTIFS(tblStock[sku],tblSKU[[#This Row],[sku]])</f>
        <v>4</v>
      </c>
      <c r="AG438" cm="1">
        <f t="array" ref="AG438">SUM(SUMIFS(tblStock[qty_units],tblStock[sku],tblSKU[[#This Row],[sku]],tblStock[stock_type],{"Saleable","FOC"}))</f>
        <v>12799</v>
      </c>
      <c r="AH438" s="3">
        <f>SUMIFS(tblStock[value_nzd],tblStock[sku],tblSKU[[#This Row],[sku]])</f>
        <v>845373.95</v>
      </c>
      <c r="AI438" s="4">
        <f>SUMIFS(tblStock[cbm],tblStock[sku],tblSKU[[#This Row],[sku]])</f>
        <v>2.9847267999999998</v>
      </c>
      <c r="AJ438" s="1">
        <f>SUMIFS(tblStock[positions],tblStock[sku],tblSKU[[#This Row],[sku]])</f>
        <v>5</v>
      </c>
      <c r="AK438" s="3">
        <f>SUMIFS(tblStock[value_nzd],tblStock[sku],tblSKU[[#This Row],[sku]],tblStock[stock_type],"Expired")</f>
        <v>0</v>
      </c>
      <c r="AL438" s="3" cm="1">
        <f t="array" ref="AL438">SUM(SUMIFS(tblStock[value_nzd],tblStock[sku],tblSKU[[#This Row],[sku]],tblStock[stock_type],{"Saleable","FOC"},tblStock[expiry_date],"&lt;"&amp;EDATE(SnapshotDate,6)))</f>
        <v>0</v>
      </c>
    </row>
    <row r="439" spans="1:38">
      <c r="A439" s="1" t="s">
        <v>933</v>
      </c>
      <c r="B439" s="1" t="s">
        <v>934</v>
      </c>
      <c r="C439" s="1" t="s">
        <v>837</v>
      </c>
      <c r="D439" s="1" t="s">
        <v>37</v>
      </c>
      <c r="E439" s="1" t="s">
        <v>916</v>
      </c>
      <c r="F439" s="1" t="s">
        <v>834</v>
      </c>
      <c r="G439">
        <v>10</v>
      </c>
      <c r="H439">
        <v>29.7</v>
      </c>
      <c r="I439">
        <v>16.100000000000001</v>
      </c>
      <c r="J439">
        <v>23.3</v>
      </c>
      <c r="K439">
        <v>1.1140000000000001E-2</v>
      </c>
      <c r="L439">
        <v>2.39</v>
      </c>
      <c r="M439">
        <v>81.540000000000006</v>
      </c>
      <c r="N439">
        <v>24</v>
      </c>
      <c r="O439">
        <v>6</v>
      </c>
      <c r="P439">
        <v>144</v>
      </c>
      <c r="Q439">
        <v>154.80000000000001</v>
      </c>
      <c r="R439">
        <v>369.16</v>
      </c>
      <c r="S439">
        <v>1.60416</v>
      </c>
      <c r="T439">
        <v>3</v>
      </c>
      <c r="U439">
        <v>80</v>
      </c>
      <c r="V439">
        <v>6523.2000000000007</v>
      </c>
      <c r="W439" s="1" t="s">
        <v>1262</v>
      </c>
      <c r="X439" s="1" t="s">
        <v>1262</v>
      </c>
      <c r="Y439">
        <v>3.5294117647058823E-2</v>
      </c>
      <c r="Z439">
        <v>3.2679738562091504E-3</v>
      </c>
      <c r="AA439" s="1" t="s">
        <v>1263</v>
      </c>
      <c r="AB439">
        <v>0</v>
      </c>
      <c r="AC439">
        <v>0</v>
      </c>
      <c r="AD439" s="1">
        <v>2.0499999999999998</v>
      </c>
      <c r="AE439">
        <v>2</v>
      </c>
      <c r="AF439">
        <f>COUNTIFS(tblStock[sku],tblSKU[[#This Row],[sku]])</f>
        <v>3</v>
      </c>
      <c r="AG439" cm="1">
        <f t="array" ref="AG439">SUM(SUMIFS(tblStock[qty_units],tblStock[sku],tblSKU[[#This Row],[sku]],tblStock[stock_type],{"Saleable","FOC"}))</f>
        <v>41</v>
      </c>
      <c r="AH439" s="3">
        <f>SUMIFS(tblStock[value_nzd],tblStock[sku],tblSKU[[#This Row],[sku]])</f>
        <v>3424.6800000000003</v>
      </c>
      <c r="AI439" s="4">
        <f>SUMIFS(tblStock[cbm],tblStock[sku],tblSKU[[#This Row],[sku]])</f>
        <v>4.6788000000000003E-2</v>
      </c>
      <c r="AJ439" s="1">
        <f>SUMIFS(tblStock[positions],tblStock[sku],tblSKU[[#This Row],[sku]])</f>
        <v>0</v>
      </c>
      <c r="AK439" s="3">
        <f>SUMIFS(tblStock[value_nzd],tblStock[sku],tblSKU[[#This Row],[sku]],tblStock[stock_type],"Expired")</f>
        <v>0</v>
      </c>
      <c r="AL439" s="3" cm="1">
        <f t="array" ref="AL439">SUM(SUMIFS(tblStock[value_nzd],tblStock[sku],tblSKU[[#This Row],[sku]],tblStock[stock_type],{"Saleable","FOC"},tblStock[expiry_date],"&lt;"&amp;EDATE(SnapshotDate,6)))</f>
        <v>1223.1000000000001</v>
      </c>
    </row>
    <row r="440" spans="1:38">
      <c r="A440" s="1" t="s">
        <v>935</v>
      </c>
      <c r="B440" s="1" t="s">
        <v>936</v>
      </c>
      <c r="C440" s="1" t="s">
        <v>837</v>
      </c>
      <c r="D440" s="1" t="s">
        <v>37</v>
      </c>
      <c r="E440" s="1" t="s">
        <v>916</v>
      </c>
      <c r="F440" s="1" t="s">
        <v>834</v>
      </c>
      <c r="G440">
        <v>20</v>
      </c>
      <c r="H440">
        <v>29.9</v>
      </c>
      <c r="I440">
        <v>19.2</v>
      </c>
      <c r="J440">
        <v>11.9</v>
      </c>
      <c r="K440">
        <v>6.8300000000000001E-3</v>
      </c>
      <c r="L440">
        <v>1.77</v>
      </c>
      <c r="M440">
        <v>30.94</v>
      </c>
      <c r="N440">
        <v>19</v>
      </c>
      <c r="O440">
        <v>7</v>
      </c>
      <c r="P440">
        <v>133</v>
      </c>
      <c r="Q440">
        <v>98.3</v>
      </c>
      <c r="R440">
        <v>260.40999999999997</v>
      </c>
      <c r="S440">
        <v>0.90839000000000003</v>
      </c>
      <c r="T440">
        <v>113</v>
      </c>
      <c r="U440">
        <v>4643</v>
      </c>
      <c r="V440">
        <v>143654.42000000001</v>
      </c>
      <c r="W440" s="1" t="s">
        <v>1264</v>
      </c>
      <c r="X440" s="1" t="s">
        <v>1264</v>
      </c>
      <c r="Y440">
        <v>1.3294117647058823</v>
      </c>
      <c r="Z440">
        <v>0.10267580716497125</v>
      </c>
      <c r="AA440" s="1" t="s">
        <v>1265</v>
      </c>
      <c r="AB440">
        <v>1</v>
      </c>
      <c r="AC440">
        <v>0</v>
      </c>
      <c r="AD440" s="1">
        <v>8.4471247038552661</v>
      </c>
      <c r="AE440">
        <v>12</v>
      </c>
      <c r="AF440">
        <f>COUNTIFS(tblStock[sku],tblSKU[[#This Row],[sku]])</f>
        <v>3</v>
      </c>
      <c r="AG440" cm="1">
        <f t="array" ref="AG440">SUM(SUMIFS(tblStock[qty_units],tblStock[sku],tblSKU[[#This Row],[sku]],tblStock[stock_type],{"Saleable","FOC"}))</f>
        <v>9805</v>
      </c>
      <c r="AH440" s="3">
        <f>SUMIFS(tblStock[value_nzd],tblStock[sku],tblSKU[[#This Row],[sku]])</f>
        <v>312463.06</v>
      </c>
      <c r="AI440" s="4">
        <f>SUMIFS(tblStock[cbm],tblStock[sku],tblSKU[[#This Row],[sku]])</f>
        <v>3.4488085000000002</v>
      </c>
      <c r="AJ440" s="1">
        <f>SUMIFS(tblStock[positions],tblStock[sku],tblSKU[[#This Row],[sku]])</f>
        <v>4</v>
      </c>
      <c r="AK440" s="3">
        <f>SUMIFS(tblStock[value_nzd],tblStock[sku],tblSKU[[#This Row],[sku]],tblStock[stock_type],"Expired")</f>
        <v>0</v>
      </c>
      <c r="AL440" s="3" cm="1">
        <f t="array" ref="AL440">SUM(SUMIFS(tblStock[value_nzd],tblStock[sku],tblSKU[[#This Row],[sku]],tblStock[stock_type],{"Saleable","FOC"},tblStock[expiry_date],"&lt;"&amp;EDATE(SnapshotDate,6)))</f>
        <v>144489.80000000002</v>
      </c>
    </row>
    <row r="441" spans="1:38">
      <c r="A441" s="1" t="s">
        <v>937</v>
      </c>
      <c r="B441" s="1" t="s">
        <v>938</v>
      </c>
      <c r="C441" s="1" t="s">
        <v>837</v>
      </c>
      <c r="D441" s="1" t="s">
        <v>37</v>
      </c>
      <c r="E441" s="1" t="s">
        <v>916</v>
      </c>
      <c r="F441" s="1" t="s">
        <v>834</v>
      </c>
      <c r="G441">
        <v>10</v>
      </c>
      <c r="H441">
        <v>31.2</v>
      </c>
      <c r="I441">
        <v>26.6</v>
      </c>
      <c r="J441">
        <v>10.6</v>
      </c>
      <c r="K441">
        <v>8.8000000000000005E-3</v>
      </c>
      <c r="L441">
        <v>2.12</v>
      </c>
      <c r="M441">
        <v>83.05</v>
      </c>
      <c r="N441">
        <v>12</v>
      </c>
      <c r="O441">
        <v>12</v>
      </c>
      <c r="P441">
        <v>144</v>
      </c>
      <c r="Q441">
        <v>142.19999999999999</v>
      </c>
      <c r="R441">
        <v>330.28000000000003</v>
      </c>
      <c r="S441">
        <v>1.2672000000000001</v>
      </c>
      <c r="T441">
        <v>23</v>
      </c>
      <c r="U441">
        <v>1093</v>
      </c>
      <c r="V441">
        <v>90773.65</v>
      </c>
      <c r="W441" s="1" t="s">
        <v>1262</v>
      </c>
      <c r="X441" s="1" t="s">
        <v>1258</v>
      </c>
      <c r="Y441">
        <v>0.27058823529411763</v>
      </c>
      <c r="Z441">
        <v>4.4648692810457517E-2</v>
      </c>
      <c r="AA441" s="1" t="s">
        <v>1263</v>
      </c>
      <c r="AB441">
        <v>0</v>
      </c>
      <c r="AC441">
        <v>0</v>
      </c>
      <c r="AD441" s="1">
        <v>3.809698078682525</v>
      </c>
      <c r="AE441">
        <v>4</v>
      </c>
      <c r="AF441">
        <f>COUNTIFS(tblStock[sku],tblSKU[[#This Row],[sku]])</f>
        <v>1</v>
      </c>
      <c r="AG441" cm="1">
        <f t="array" ref="AG441">SUM(SUMIFS(tblStock[qty_units],tblStock[sku],tblSKU[[#This Row],[sku]],tblStock[stock_type],{"Saleable","FOC"}))</f>
        <v>1041</v>
      </c>
      <c r="AH441" s="3">
        <f>SUMIFS(tblStock[value_nzd],tblStock[sku],tblSKU[[#This Row],[sku]])</f>
        <v>86455.05</v>
      </c>
      <c r="AI441" s="4">
        <f>SUMIFS(tblStock[cbm],tblStock[sku],tblSKU[[#This Row],[sku]])</f>
        <v>0.91608000000000001</v>
      </c>
      <c r="AJ441" s="1">
        <f>SUMIFS(tblStock[positions],tblStock[sku],tblSKU[[#This Row],[sku]])</f>
        <v>1</v>
      </c>
      <c r="AK441" s="3">
        <f>SUMIFS(tblStock[value_nzd],tblStock[sku],tblSKU[[#This Row],[sku]],tblStock[stock_type],"Expired")</f>
        <v>0</v>
      </c>
      <c r="AL441" s="3" cm="1">
        <f t="array" ref="AL441">SUM(SUMIFS(tblStock[value_nzd],tblStock[sku],tblSKU[[#This Row],[sku]],tblStock[stock_type],{"Saleable","FOC"},tblStock[expiry_date],"&lt;"&amp;EDATE(SnapshotDate,6)))</f>
        <v>0</v>
      </c>
    </row>
    <row r="442" spans="1:38">
      <c r="A442" s="1" t="s">
        <v>939</v>
      </c>
      <c r="B442" s="1" t="s">
        <v>940</v>
      </c>
      <c r="C442" s="1" t="s">
        <v>837</v>
      </c>
      <c r="D442" s="1" t="s">
        <v>37</v>
      </c>
      <c r="E442" s="1" t="s">
        <v>916</v>
      </c>
      <c r="F442" s="1" t="s">
        <v>834</v>
      </c>
      <c r="G442">
        <v>50</v>
      </c>
      <c r="H442">
        <v>22.3</v>
      </c>
      <c r="I442">
        <v>28.1</v>
      </c>
      <c r="J442">
        <v>16</v>
      </c>
      <c r="K442">
        <v>1.0030000000000001E-2</v>
      </c>
      <c r="L442">
        <v>1.92</v>
      </c>
      <c r="M442">
        <v>105.59</v>
      </c>
      <c r="N442">
        <v>16</v>
      </c>
      <c r="O442">
        <v>8</v>
      </c>
      <c r="P442">
        <v>128</v>
      </c>
      <c r="Q442">
        <v>143</v>
      </c>
      <c r="R442">
        <v>270.76</v>
      </c>
      <c r="S442">
        <v>1.2838400000000001</v>
      </c>
      <c r="T442">
        <v>2</v>
      </c>
      <c r="U442">
        <v>97</v>
      </c>
      <c r="V442">
        <v>10242.23</v>
      </c>
      <c r="W442" s="1" t="s">
        <v>1262</v>
      </c>
      <c r="X442" s="1" t="s">
        <v>1262</v>
      </c>
      <c r="Y442">
        <v>2.3529411764705882E-2</v>
      </c>
      <c r="Z442">
        <v>8.9154411764705874E-4</v>
      </c>
      <c r="AA442" s="1" t="s">
        <v>1263</v>
      </c>
      <c r="AB442">
        <v>0</v>
      </c>
      <c r="AC442">
        <v>0</v>
      </c>
      <c r="AD442" s="1">
        <v>13.731958762886597</v>
      </c>
      <c r="AE442">
        <v>2</v>
      </c>
      <c r="AF442">
        <f>COUNTIFS(tblStock[sku],tblSKU[[#This Row],[sku]])</f>
        <v>3</v>
      </c>
      <c r="AG442" cm="1">
        <f t="array" ref="AG442">SUM(SUMIFS(tblStock[qty_units],tblStock[sku],tblSKU[[#This Row],[sku]],tblStock[stock_type],{"Saleable","FOC"}))</f>
        <v>333</v>
      </c>
      <c r="AH442" s="3">
        <f>SUMIFS(tblStock[value_nzd],tblStock[sku],tblSKU[[#This Row],[sku]])</f>
        <v>35795.01</v>
      </c>
      <c r="AI442" s="4">
        <f>SUMIFS(tblStock[cbm],tblStock[sku],tblSKU[[#This Row],[sku]])</f>
        <v>6.8003400000000006E-2</v>
      </c>
      <c r="AJ442" s="1">
        <f>SUMIFS(tblStock[positions],tblStock[sku],tblSKU[[#This Row],[sku]])</f>
        <v>0</v>
      </c>
      <c r="AK442" s="3">
        <f>SUMIFS(tblStock[value_nzd],tblStock[sku],tblSKU[[#This Row],[sku]],tblStock[stock_type],"Expired")</f>
        <v>0</v>
      </c>
      <c r="AL442" s="3" cm="1">
        <f t="array" ref="AL442">SUM(SUMIFS(tblStock[value_nzd],tblStock[sku],tblSKU[[#This Row],[sku]],tblStock[stock_type],{"Saleable","FOC"},tblStock[expiry_date],"&lt;"&amp;EDATE(SnapshotDate,6)))</f>
        <v>12142.85</v>
      </c>
    </row>
    <row r="443" spans="1:38">
      <c r="A443" s="1" t="s">
        <v>941</v>
      </c>
      <c r="B443" s="1" t="s">
        <v>942</v>
      </c>
      <c r="C443" s="1" t="s">
        <v>837</v>
      </c>
      <c r="D443" s="1" t="s">
        <v>37</v>
      </c>
      <c r="E443" s="1" t="s">
        <v>916</v>
      </c>
      <c r="F443" s="1" t="s">
        <v>834</v>
      </c>
      <c r="G443">
        <v>50</v>
      </c>
      <c r="H443">
        <v>24.3</v>
      </c>
      <c r="I443">
        <v>28.9</v>
      </c>
      <c r="J443">
        <v>14.6</v>
      </c>
      <c r="K443">
        <v>1.025E-2</v>
      </c>
      <c r="L443">
        <v>2.71</v>
      </c>
      <c r="M443">
        <v>49.97</v>
      </c>
      <c r="N443">
        <v>14</v>
      </c>
      <c r="O443">
        <v>10</v>
      </c>
      <c r="P443">
        <v>140</v>
      </c>
      <c r="Q443">
        <v>161</v>
      </c>
      <c r="R443">
        <v>404.4</v>
      </c>
      <c r="S443">
        <v>1.4350000000000001</v>
      </c>
      <c r="T443">
        <v>22</v>
      </c>
      <c r="U443">
        <v>1618</v>
      </c>
      <c r="V443">
        <v>80851.459999999992</v>
      </c>
      <c r="W443" s="1" t="s">
        <v>1262</v>
      </c>
      <c r="X443" s="1" t="s">
        <v>1258</v>
      </c>
      <c r="Y443">
        <v>0.25882352941176473</v>
      </c>
      <c r="Z443">
        <v>1.3596638655462186E-2</v>
      </c>
      <c r="AA443" s="1" t="s">
        <v>1263</v>
      </c>
      <c r="AB443">
        <v>0</v>
      </c>
      <c r="AC443">
        <v>0</v>
      </c>
      <c r="AD443" s="1">
        <v>10.907292954264523</v>
      </c>
      <c r="AE443">
        <v>4</v>
      </c>
      <c r="AF443">
        <f>COUNTIFS(tblStock[sku],tblSKU[[#This Row],[sku]])</f>
        <v>1</v>
      </c>
      <c r="AG443" cm="1">
        <f t="array" ref="AG443">SUM(SUMIFS(tblStock[qty_units],tblStock[sku],tblSKU[[#This Row],[sku]],tblStock[stock_type],{"Saleable","FOC"}))</f>
        <v>4412</v>
      </c>
      <c r="AH443" s="3">
        <f>SUMIFS(tblStock[value_nzd],tblStock[sku],tblSKU[[#This Row],[sku]])</f>
        <v>220467.63999999998</v>
      </c>
      <c r="AI443" s="4">
        <f>SUMIFS(tblStock[cbm],tblStock[sku],tblSKU[[#This Row],[sku]])</f>
        <v>0.90445999999999993</v>
      </c>
      <c r="AJ443" s="1">
        <f>SUMIFS(tblStock[positions],tblStock[sku],tblSKU[[#This Row],[sku]])</f>
        <v>1</v>
      </c>
      <c r="AK443" s="3">
        <f>SUMIFS(tblStock[value_nzd],tblStock[sku],tblSKU[[#This Row],[sku]],tblStock[stock_type],"Expired")</f>
        <v>0</v>
      </c>
      <c r="AL443" s="3" cm="1">
        <f t="array" ref="AL443">SUM(SUMIFS(tblStock[value_nzd],tblStock[sku],tblSKU[[#This Row],[sku]],tblStock[stock_type],{"Saleable","FOC"},tblStock[expiry_date],"&lt;"&amp;EDATE(SnapshotDate,6)))</f>
        <v>220467.63999999998</v>
      </c>
    </row>
    <row r="444" spans="1:38">
      <c r="A444" s="1" t="s">
        <v>943</v>
      </c>
      <c r="B444" s="1" t="s">
        <v>944</v>
      </c>
      <c r="C444" s="1" t="s">
        <v>837</v>
      </c>
      <c r="D444" s="1" t="s">
        <v>37</v>
      </c>
      <c r="E444" s="1" t="s">
        <v>916</v>
      </c>
      <c r="F444" s="1" t="s">
        <v>834</v>
      </c>
      <c r="G444">
        <v>20</v>
      </c>
      <c r="H444">
        <v>21.4</v>
      </c>
      <c r="I444">
        <v>20.7</v>
      </c>
      <c r="J444">
        <v>18.2</v>
      </c>
      <c r="K444">
        <v>8.0599999999999995E-3</v>
      </c>
      <c r="L444">
        <v>1.92</v>
      </c>
      <c r="M444">
        <v>78.459999999999994</v>
      </c>
      <c r="N444">
        <v>19</v>
      </c>
      <c r="O444">
        <v>6</v>
      </c>
      <c r="P444">
        <v>114</v>
      </c>
      <c r="Q444">
        <v>124.19999999999999</v>
      </c>
      <c r="R444">
        <v>243.88</v>
      </c>
      <c r="S444">
        <v>0.91883999999999999</v>
      </c>
      <c r="T444">
        <v>1</v>
      </c>
      <c r="U444">
        <v>54</v>
      </c>
      <c r="V444">
        <v>4236.8399999999992</v>
      </c>
      <c r="W444" s="1" t="s">
        <v>1262</v>
      </c>
      <c r="X444" s="1" t="s">
        <v>1262</v>
      </c>
      <c r="Y444">
        <v>1.1764705882352941E-2</v>
      </c>
      <c r="Z444">
        <v>1.3931888544891642E-3</v>
      </c>
      <c r="AA444" s="1" t="s">
        <v>1263</v>
      </c>
      <c r="AB444">
        <v>0</v>
      </c>
      <c r="AC444">
        <v>0</v>
      </c>
      <c r="AD444" s="1">
        <v>14.074074074074074</v>
      </c>
      <c r="AE444">
        <v>2</v>
      </c>
      <c r="AF444">
        <f>COUNTIFS(tblStock[sku],tblSKU[[#This Row],[sku]])</f>
        <v>2</v>
      </c>
      <c r="AG444" cm="1">
        <f t="array" ref="AG444">SUM(SUMIFS(tblStock[qty_units],tblStock[sku],tblSKU[[#This Row],[sku]],tblStock[stock_type],{"Saleable","FOC"}))</f>
        <v>190</v>
      </c>
      <c r="AH444" s="3">
        <f>SUMIFS(tblStock[value_nzd],tblStock[sku],tblSKU[[#This Row],[sku]])</f>
        <v>15142.779999999999</v>
      </c>
      <c r="AI444" s="4">
        <f>SUMIFS(tblStock[cbm],tblStock[sku],tblSKU[[#This Row],[sku]])</f>
        <v>7.7779000000000001E-2</v>
      </c>
      <c r="AJ444" s="1">
        <f>SUMIFS(tblStock[positions],tblStock[sku],tblSKU[[#This Row],[sku]])</f>
        <v>0</v>
      </c>
      <c r="AK444" s="3">
        <f>SUMIFS(tblStock[value_nzd],tblStock[sku],tblSKU[[#This Row],[sku]],tblStock[stock_type],"Expired")</f>
        <v>0</v>
      </c>
      <c r="AL444" s="3" cm="1">
        <f t="array" ref="AL444">SUM(SUMIFS(tblStock[value_nzd],tblStock[sku],tblSKU[[#This Row],[sku]],tblStock[stock_type],{"Saleable","FOC"},tblStock[expiry_date],"&lt;"&amp;EDATE(SnapshotDate,6)))</f>
        <v>0</v>
      </c>
    </row>
    <row r="445" spans="1:38">
      <c r="A445" s="1" t="s">
        <v>945</v>
      </c>
      <c r="B445" s="1" t="s">
        <v>946</v>
      </c>
      <c r="C445" s="1" t="s">
        <v>837</v>
      </c>
      <c r="D445" s="1" t="s">
        <v>37</v>
      </c>
      <c r="E445" s="1" t="s">
        <v>916</v>
      </c>
      <c r="F445" s="1" t="s">
        <v>834</v>
      </c>
      <c r="G445">
        <v>10</v>
      </c>
      <c r="H445">
        <v>34.299999999999997</v>
      </c>
      <c r="I445">
        <v>19.5</v>
      </c>
      <c r="J445">
        <v>18.2</v>
      </c>
      <c r="K445">
        <v>1.217E-2</v>
      </c>
      <c r="L445">
        <v>1.95</v>
      </c>
      <c r="M445">
        <v>84.83</v>
      </c>
      <c r="N445">
        <v>14</v>
      </c>
      <c r="O445">
        <v>6</v>
      </c>
      <c r="P445">
        <v>84</v>
      </c>
      <c r="Q445">
        <v>124.19999999999999</v>
      </c>
      <c r="R445">
        <v>188.79999999999998</v>
      </c>
      <c r="S445">
        <v>1.0222800000000001</v>
      </c>
      <c r="T445">
        <v>61</v>
      </c>
      <c r="U445">
        <v>2044</v>
      </c>
      <c r="V445">
        <v>173392.52</v>
      </c>
      <c r="W445" s="1" t="s">
        <v>1258</v>
      </c>
      <c r="X445" s="1" t="s">
        <v>1264</v>
      </c>
      <c r="Y445">
        <v>0.71764705882352942</v>
      </c>
      <c r="Z445">
        <v>0.14313725490196078</v>
      </c>
      <c r="AA445" s="1" t="s">
        <v>1259</v>
      </c>
      <c r="AB445">
        <v>0</v>
      </c>
      <c r="AC445">
        <v>1</v>
      </c>
      <c r="AD445" s="1">
        <v>6.3209393346379645</v>
      </c>
      <c r="AE445">
        <v>12</v>
      </c>
      <c r="AF445">
        <f>COUNTIFS(tblStock[sku],tblSKU[[#This Row],[sku]])</f>
        <v>2</v>
      </c>
      <c r="AG445" cm="1">
        <f t="array" ref="AG445">SUM(SUMIFS(tblStock[qty_units],tblStock[sku],tblSKU[[#This Row],[sku]],tblStock[stock_type],{"Saleable","FOC"}))</f>
        <v>3230</v>
      </c>
      <c r="AH445" s="3">
        <f>SUMIFS(tblStock[value_nzd],tblStock[sku],tblSKU[[#This Row],[sku]])</f>
        <v>274000.89999999997</v>
      </c>
      <c r="AI445" s="4">
        <f>SUMIFS(tblStock[cbm],tblStock[sku],tblSKU[[#This Row],[sku]])</f>
        <v>3.9309099999999999</v>
      </c>
      <c r="AJ445" s="1">
        <f>SUMIFS(tblStock[positions],tblStock[sku],tblSKU[[#This Row],[sku]])</f>
        <v>5</v>
      </c>
      <c r="AK445" s="3">
        <f>SUMIFS(tblStock[value_nzd],tblStock[sku],tblSKU[[#This Row],[sku]],tblStock[stock_type],"Expired")</f>
        <v>0</v>
      </c>
      <c r="AL445" s="3" cm="1">
        <f t="array" ref="AL445">SUM(SUMIFS(tblStock[value_nzd],tblStock[sku],tblSKU[[#This Row],[sku]],tblStock[stock_type],{"Saleable","FOC"},tblStock[expiry_date],"&lt;"&amp;EDATE(SnapshotDate,6)))</f>
        <v>0</v>
      </c>
    </row>
    <row r="446" spans="1:38">
      <c r="A446" s="1" t="s">
        <v>947</v>
      </c>
      <c r="B446" s="1" t="s">
        <v>948</v>
      </c>
      <c r="C446" s="1" t="s">
        <v>837</v>
      </c>
      <c r="D446" s="1" t="s">
        <v>37</v>
      </c>
      <c r="E446" s="1" t="s">
        <v>916</v>
      </c>
      <c r="F446" s="1" t="s">
        <v>834</v>
      </c>
      <c r="G446">
        <v>50</v>
      </c>
      <c r="H446">
        <v>23.8</v>
      </c>
      <c r="I446">
        <v>20.9</v>
      </c>
      <c r="J446">
        <v>16.899999999999999</v>
      </c>
      <c r="K446">
        <v>8.4100000000000008E-3</v>
      </c>
      <c r="L446">
        <v>1.38</v>
      </c>
      <c r="M446">
        <v>46.14</v>
      </c>
      <c r="N446">
        <v>20</v>
      </c>
      <c r="O446">
        <v>8</v>
      </c>
      <c r="P446">
        <v>160</v>
      </c>
      <c r="Q446">
        <v>150.19999999999999</v>
      </c>
      <c r="R446">
        <v>245.79999999999998</v>
      </c>
      <c r="S446">
        <v>1.3456000000000001</v>
      </c>
      <c r="T446">
        <v>13</v>
      </c>
      <c r="U446">
        <v>544</v>
      </c>
      <c r="V446">
        <v>25100.16</v>
      </c>
      <c r="W446" s="1" t="s">
        <v>1262</v>
      </c>
      <c r="X446" s="1" t="s">
        <v>1262</v>
      </c>
      <c r="Y446">
        <v>0.15294117647058825</v>
      </c>
      <c r="Z446">
        <v>4.0000000000000001E-3</v>
      </c>
      <c r="AA446" s="1" t="s">
        <v>1263</v>
      </c>
      <c r="AB446">
        <v>0</v>
      </c>
      <c r="AC446">
        <v>0</v>
      </c>
      <c r="AD446" s="1">
        <v>9.1985294117647065</v>
      </c>
      <c r="AE446">
        <v>2</v>
      </c>
      <c r="AF446">
        <f>COUNTIFS(tblStock[sku],tblSKU[[#This Row],[sku]])</f>
        <v>3</v>
      </c>
      <c r="AG446" cm="1">
        <f t="array" ref="AG446">SUM(SUMIFS(tblStock[qty_units],tblStock[sku],tblSKU[[#This Row],[sku]],tblStock[stock_type],{"Saleable","FOC"}))</f>
        <v>1251</v>
      </c>
      <c r="AH446" s="3">
        <f>SUMIFS(tblStock[value_nzd],tblStock[sku],tblSKU[[#This Row],[sku]])</f>
        <v>57721.140000000007</v>
      </c>
      <c r="AI446" s="4">
        <f>SUMIFS(tblStock[cbm],tblStock[sku],tblSKU[[#This Row],[sku]])</f>
        <v>0.21041820000000003</v>
      </c>
      <c r="AJ446" s="1">
        <f>SUMIFS(tblStock[positions],tblStock[sku],tblSKU[[#This Row],[sku]])</f>
        <v>0</v>
      </c>
      <c r="AK446" s="3">
        <f>SUMIFS(tblStock[value_nzd],tblStock[sku],tblSKU[[#This Row],[sku]],tblStock[stock_type],"Expired")</f>
        <v>0</v>
      </c>
      <c r="AL446" s="3" cm="1">
        <f t="array" ref="AL446">SUM(SUMIFS(tblStock[value_nzd],tblStock[sku],tblSKU[[#This Row],[sku]],tblStock[stock_type],{"Saleable","FOC"},tblStock[expiry_date],"&lt;"&amp;EDATE(SnapshotDate,6)))</f>
        <v>0</v>
      </c>
    </row>
    <row r="447" spans="1:38">
      <c r="A447" s="1" t="s">
        <v>949</v>
      </c>
      <c r="B447" s="1" t="s">
        <v>950</v>
      </c>
      <c r="C447" s="1" t="s">
        <v>837</v>
      </c>
      <c r="D447" s="1" t="s">
        <v>37</v>
      </c>
      <c r="E447" s="1" t="s">
        <v>916</v>
      </c>
      <c r="F447" s="1" t="s">
        <v>834</v>
      </c>
      <c r="G447">
        <v>20</v>
      </c>
      <c r="H447">
        <v>34.4</v>
      </c>
      <c r="I447">
        <v>19.600000000000001</v>
      </c>
      <c r="J447">
        <v>18.2</v>
      </c>
      <c r="K447">
        <v>1.227E-2</v>
      </c>
      <c r="L447">
        <v>2.92</v>
      </c>
      <c r="M447">
        <v>21.35</v>
      </c>
      <c r="N447">
        <v>15</v>
      </c>
      <c r="O447">
        <v>4</v>
      </c>
      <c r="P447">
        <v>60</v>
      </c>
      <c r="Q447">
        <v>87.8</v>
      </c>
      <c r="R447">
        <v>200.2</v>
      </c>
      <c r="S447">
        <v>0.73619999999999997</v>
      </c>
      <c r="T447">
        <v>5</v>
      </c>
      <c r="U447">
        <v>105</v>
      </c>
      <c r="V447">
        <v>2241.75</v>
      </c>
      <c r="W447" s="1" t="s">
        <v>1262</v>
      </c>
      <c r="X447" s="1" t="s">
        <v>1262</v>
      </c>
      <c r="Y447">
        <v>5.8823529411764705E-2</v>
      </c>
      <c r="Z447">
        <v>5.1470588235294117E-3</v>
      </c>
      <c r="AA447" s="1" t="s">
        <v>1263</v>
      </c>
      <c r="AB447">
        <v>0</v>
      </c>
      <c r="AC447">
        <v>0</v>
      </c>
      <c r="AD447" s="1">
        <v>11.961904761904762</v>
      </c>
      <c r="AE447">
        <v>2</v>
      </c>
      <c r="AF447">
        <f>COUNTIFS(tblStock[sku],tblSKU[[#This Row],[sku]])</f>
        <v>2</v>
      </c>
      <c r="AG447" cm="1">
        <f t="array" ref="AG447">SUM(SUMIFS(tblStock[qty_units],tblStock[sku],tblSKU[[#This Row],[sku]],tblStock[stock_type],{"Saleable","FOC"}))</f>
        <v>314</v>
      </c>
      <c r="AH447" s="3">
        <f>SUMIFS(tblStock[value_nzd],tblStock[sku],tblSKU[[#This Row],[sku]])</f>
        <v>6703.9000000000005</v>
      </c>
      <c r="AI447" s="4">
        <f>SUMIFS(tblStock[cbm],tblStock[sku],tblSKU[[#This Row],[sku]])</f>
        <v>0.192639</v>
      </c>
      <c r="AJ447" s="1">
        <f>SUMIFS(tblStock[positions],tblStock[sku],tblSKU[[#This Row],[sku]])</f>
        <v>0</v>
      </c>
      <c r="AK447" s="3">
        <f>SUMIFS(tblStock[value_nzd],tblStock[sku],tblSKU[[#This Row],[sku]],tblStock[stock_type],"Expired")</f>
        <v>0</v>
      </c>
      <c r="AL447" s="3" cm="1">
        <f t="array" ref="AL447">SUM(SUMIFS(tblStock[value_nzd],tblStock[sku],tblSKU[[#This Row],[sku]],tblStock[stock_type],{"Saleable","FOC"},tblStock[expiry_date],"&lt;"&amp;EDATE(SnapshotDate,6)))</f>
        <v>768.6</v>
      </c>
    </row>
    <row r="448" spans="1:38">
      <c r="A448" s="1" t="s">
        <v>951</v>
      </c>
      <c r="B448" s="1" t="s">
        <v>952</v>
      </c>
      <c r="C448" s="1" t="s">
        <v>837</v>
      </c>
      <c r="D448" s="1" t="s">
        <v>37</v>
      </c>
      <c r="E448" s="1" t="s">
        <v>916</v>
      </c>
      <c r="F448" s="1" t="s">
        <v>834</v>
      </c>
      <c r="G448">
        <v>50</v>
      </c>
      <c r="H448">
        <v>31</v>
      </c>
      <c r="I448">
        <v>29.4</v>
      </c>
      <c r="J448">
        <v>23.3</v>
      </c>
      <c r="K448">
        <v>2.1239999999999998E-2</v>
      </c>
      <c r="L448">
        <v>3.73</v>
      </c>
      <c r="M448">
        <v>104.28</v>
      </c>
      <c r="N448">
        <v>11</v>
      </c>
      <c r="O448">
        <v>5</v>
      </c>
      <c r="P448">
        <v>55</v>
      </c>
      <c r="Q448">
        <v>131.5</v>
      </c>
      <c r="R448">
        <v>230.15</v>
      </c>
      <c r="S448">
        <v>1.1681999999999999</v>
      </c>
      <c r="T448">
        <v>0</v>
      </c>
      <c r="U448">
        <v>0</v>
      </c>
      <c r="V448">
        <v>0</v>
      </c>
      <c r="W448" s="1" t="s">
        <v>1260</v>
      </c>
      <c r="X448" s="1" t="s">
        <v>1260</v>
      </c>
      <c r="Y448">
        <v>0</v>
      </c>
      <c r="Z448">
        <v>0</v>
      </c>
      <c r="AA448" s="1" t="s">
        <v>1261</v>
      </c>
      <c r="AB448">
        <v>0</v>
      </c>
      <c r="AC448">
        <v>0</v>
      </c>
      <c r="AD448" s="1"/>
      <c r="AE448">
        <v>1</v>
      </c>
      <c r="AF448">
        <f>COUNTIFS(tblStock[sku],tblSKU[[#This Row],[sku]])</f>
        <v>2</v>
      </c>
      <c r="AG448" cm="1">
        <f t="array" ref="AG448">SUM(SUMIFS(tblStock[qty_units],tblStock[sku],tblSKU[[#This Row],[sku]],tblStock[stock_type],{"Saleable","FOC"}))</f>
        <v>149</v>
      </c>
      <c r="AH448" s="3">
        <f>SUMIFS(tblStock[value_nzd],tblStock[sku],tblSKU[[#This Row],[sku]])</f>
        <v>15537.720000000001</v>
      </c>
      <c r="AI448" s="4">
        <f>SUMIFS(tblStock[cbm],tblStock[sku],tblSKU[[#This Row],[sku]])</f>
        <v>6.3295199999999996E-2</v>
      </c>
      <c r="AJ448" s="1">
        <f>SUMIFS(tblStock[positions],tblStock[sku],tblSKU[[#This Row],[sku]])</f>
        <v>0</v>
      </c>
      <c r="AK448" s="3">
        <f>SUMIFS(tblStock[value_nzd],tblStock[sku],tblSKU[[#This Row],[sku]],tblStock[stock_type],"Expired")</f>
        <v>0</v>
      </c>
      <c r="AL448" s="3" cm="1">
        <f t="array" ref="AL448">SUM(SUMIFS(tblStock[value_nzd],tblStock[sku],tblSKU[[#This Row],[sku]],tblStock[stock_type],{"Saleable","FOC"},tblStock[expiry_date],"&lt;"&amp;EDATE(SnapshotDate,6)))</f>
        <v>0</v>
      </c>
    </row>
    <row r="449" spans="1:38">
      <c r="A449" s="1" t="s">
        <v>953</v>
      </c>
      <c r="B449" s="1" t="s">
        <v>954</v>
      </c>
      <c r="C449" s="1" t="s">
        <v>48</v>
      </c>
      <c r="D449" s="1" t="s">
        <v>37</v>
      </c>
      <c r="E449" s="1" t="s">
        <v>955</v>
      </c>
      <c r="F449" s="1" t="s">
        <v>39</v>
      </c>
      <c r="G449">
        <v>72</v>
      </c>
      <c r="H449">
        <v>41.8</v>
      </c>
      <c r="I449">
        <v>35</v>
      </c>
      <c r="J449">
        <v>24</v>
      </c>
      <c r="K449">
        <v>3.5110000000000002E-2</v>
      </c>
      <c r="L449">
        <v>10.94</v>
      </c>
      <c r="M449">
        <v>13.63</v>
      </c>
      <c r="N449">
        <v>6</v>
      </c>
      <c r="O449">
        <v>3</v>
      </c>
      <c r="P449">
        <v>18</v>
      </c>
      <c r="Q449">
        <v>87</v>
      </c>
      <c r="R449">
        <v>221.92</v>
      </c>
      <c r="S449">
        <v>0.63197999999999999</v>
      </c>
      <c r="T449">
        <v>231</v>
      </c>
      <c r="U449">
        <v>12877</v>
      </c>
      <c r="V449">
        <v>175513.51</v>
      </c>
      <c r="W449" s="1" t="s">
        <v>1264</v>
      </c>
      <c r="X449" s="1" t="s">
        <v>1264</v>
      </c>
      <c r="Y449">
        <v>2.7176470588235295</v>
      </c>
      <c r="Z449">
        <v>0.58446804647785044</v>
      </c>
      <c r="AA449" s="1" t="s">
        <v>1265</v>
      </c>
      <c r="AB449">
        <v>1</v>
      </c>
      <c r="AC449">
        <v>0</v>
      </c>
      <c r="AD449" s="1">
        <v>12.109342238098936</v>
      </c>
      <c r="AE449">
        <v>12</v>
      </c>
      <c r="AF449">
        <f>COUNTIFS(tblStock[sku],tblSKU[[#This Row],[sku]])</f>
        <v>1</v>
      </c>
      <c r="AG449" cm="1">
        <f t="array" ref="AG449">SUM(SUMIFS(tblStock[qty_units],tblStock[sku],tblSKU[[#This Row],[sku]],tblStock[stock_type],{"Saleable","FOC"}))</f>
        <v>38983</v>
      </c>
      <c r="AH449" s="3">
        <f>SUMIFS(tblStock[value_nzd],tblStock[sku],tblSKU[[#This Row],[sku]])</f>
        <v>531338.29</v>
      </c>
      <c r="AI449" s="4">
        <f>SUMIFS(tblStock[cbm],tblStock[sku],tblSKU[[#This Row],[sku]])</f>
        <v>19.009626805555556</v>
      </c>
      <c r="AJ449" s="1">
        <f>SUMIFS(tblStock[positions],tblStock[sku],tblSKU[[#This Row],[sku]])</f>
        <v>31</v>
      </c>
      <c r="AK449" s="3">
        <f>SUMIFS(tblStock[value_nzd],tblStock[sku],tblSKU[[#This Row],[sku]],tblStock[stock_type],"Expired")</f>
        <v>0</v>
      </c>
      <c r="AL449" s="3" cm="1">
        <f t="array" ref="AL449">SUM(SUMIFS(tblStock[value_nzd],tblStock[sku],tblSKU[[#This Row],[sku]],tblStock[stock_type],{"Saleable","FOC"},tblStock[expiry_date],"&lt;"&amp;EDATE(SnapshotDate,6)))</f>
        <v>531338.29</v>
      </c>
    </row>
    <row r="450" spans="1:38">
      <c r="A450" s="1" t="s">
        <v>956</v>
      </c>
      <c r="B450" s="1" t="s">
        <v>957</v>
      </c>
      <c r="C450" s="1" t="s">
        <v>577</v>
      </c>
      <c r="D450" s="1" t="s">
        <v>37</v>
      </c>
      <c r="E450" s="1" t="s">
        <v>955</v>
      </c>
      <c r="F450" s="1" t="s">
        <v>39</v>
      </c>
      <c r="G450">
        <v>96</v>
      </c>
      <c r="H450">
        <v>44.8</v>
      </c>
      <c r="I450">
        <v>24.3</v>
      </c>
      <c r="J450">
        <v>16.600000000000001</v>
      </c>
      <c r="K450">
        <v>1.8069999999999999E-2</v>
      </c>
      <c r="L450">
        <v>6.49</v>
      </c>
      <c r="M450">
        <v>4.3499999999999996</v>
      </c>
      <c r="N450">
        <v>8</v>
      </c>
      <c r="O450">
        <v>5</v>
      </c>
      <c r="P450">
        <v>40</v>
      </c>
      <c r="Q450">
        <v>98</v>
      </c>
      <c r="R450">
        <v>284.60000000000002</v>
      </c>
      <c r="S450">
        <v>0.7228</v>
      </c>
      <c r="T450">
        <v>108</v>
      </c>
      <c r="U450">
        <v>5625</v>
      </c>
      <c r="V450">
        <v>24468.749999999996</v>
      </c>
      <c r="W450" s="1" t="s">
        <v>1264</v>
      </c>
      <c r="X450" s="1" t="s">
        <v>1262</v>
      </c>
      <c r="Y450">
        <v>1.2705882352941176</v>
      </c>
      <c r="Z450">
        <v>8.6167279411764705E-2</v>
      </c>
      <c r="AA450" s="1" t="s">
        <v>1265</v>
      </c>
      <c r="AB450">
        <v>1</v>
      </c>
      <c r="AC450">
        <v>0</v>
      </c>
      <c r="AD450" s="1">
        <v>11.773866666666667</v>
      </c>
      <c r="AE450">
        <v>2</v>
      </c>
      <c r="AF450">
        <f>COUNTIFS(tblStock[sku],tblSKU[[#This Row],[sku]])</f>
        <v>1</v>
      </c>
      <c r="AG450" cm="1">
        <f t="array" ref="AG450">SUM(SUMIFS(tblStock[qty_units],tblStock[sku],tblSKU[[#This Row],[sku]],tblStock[stock_type],{"Saleable","FOC"}))</f>
        <v>16557</v>
      </c>
      <c r="AH450" s="3">
        <f>SUMIFS(tblStock[value_nzd],tblStock[sku],tblSKU[[#This Row],[sku]])</f>
        <v>72022.95</v>
      </c>
      <c r="AI450" s="4">
        <f>SUMIFS(tblStock[cbm],tblStock[sku],tblSKU[[#This Row],[sku]])</f>
        <v>3.1165103125</v>
      </c>
      <c r="AJ450" s="1">
        <f>SUMIFS(tblStock[positions],tblStock[sku],tblSKU[[#This Row],[sku]])</f>
        <v>5</v>
      </c>
      <c r="AK450" s="3">
        <f>SUMIFS(tblStock[value_nzd],tblStock[sku],tblSKU[[#This Row],[sku]],tblStock[stock_type],"Expired")</f>
        <v>0</v>
      </c>
      <c r="AL450" s="3" cm="1">
        <f t="array" ref="AL450">SUM(SUMIFS(tblStock[value_nzd],tblStock[sku],tblSKU[[#This Row],[sku]],tblStock[stock_type],{"Saleable","FOC"},tblStock[expiry_date],"&lt;"&amp;EDATE(SnapshotDate,6)))</f>
        <v>0</v>
      </c>
    </row>
    <row r="451" spans="1:38">
      <c r="A451" s="1" t="s">
        <v>958</v>
      </c>
      <c r="B451" s="1" t="s">
        <v>959</v>
      </c>
      <c r="C451" s="1" t="s">
        <v>960</v>
      </c>
      <c r="D451" s="1" t="s">
        <v>37</v>
      </c>
      <c r="E451" s="1" t="s">
        <v>955</v>
      </c>
      <c r="F451" s="1" t="s">
        <v>39</v>
      </c>
      <c r="G451">
        <v>72</v>
      </c>
      <c r="H451">
        <v>43.6</v>
      </c>
      <c r="I451">
        <v>21.5</v>
      </c>
      <c r="J451">
        <v>21.7</v>
      </c>
      <c r="K451">
        <v>2.034E-2</v>
      </c>
      <c r="L451">
        <v>9.34</v>
      </c>
      <c r="M451">
        <v>6.13</v>
      </c>
      <c r="N451">
        <v>10</v>
      </c>
      <c r="O451">
        <v>5</v>
      </c>
      <c r="P451">
        <v>50</v>
      </c>
      <c r="Q451">
        <v>123.5</v>
      </c>
      <c r="R451">
        <v>492</v>
      </c>
      <c r="S451">
        <v>1.0170000000000001</v>
      </c>
      <c r="T451">
        <v>4</v>
      </c>
      <c r="U451">
        <v>27</v>
      </c>
      <c r="V451">
        <v>165.51</v>
      </c>
      <c r="W451" s="1" t="s">
        <v>1262</v>
      </c>
      <c r="X451" s="1" t="s">
        <v>1262</v>
      </c>
      <c r="Y451">
        <v>4.7058823529411764E-2</v>
      </c>
      <c r="Z451">
        <v>4.4117647058823526E-4</v>
      </c>
      <c r="AA451" s="1" t="s">
        <v>1263</v>
      </c>
      <c r="AB451">
        <v>0</v>
      </c>
      <c r="AC451">
        <v>0</v>
      </c>
      <c r="AD451" s="1">
        <v>8.2962962962962958</v>
      </c>
      <c r="AE451">
        <v>2</v>
      </c>
      <c r="AF451">
        <f>COUNTIFS(tblStock[sku],tblSKU[[#This Row],[sku]])</f>
        <v>2</v>
      </c>
      <c r="AG451" cm="1">
        <f t="array" ref="AG451">SUM(SUMIFS(tblStock[qty_units],tblStock[sku],tblSKU[[#This Row],[sku]],tblStock[stock_type],{"Saleable","FOC"}))</f>
        <v>56</v>
      </c>
      <c r="AH451" s="3">
        <f>SUMIFS(tblStock[value_nzd],tblStock[sku],tblSKU[[#This Row],[sku]])</f>
        <v>343.28</v>
      </c>
      <c r="AI451" s="4">
        <f>SUMIFS(tblStock[cbm],tblStock[sku],tblSKU[[#This Row],[sku]])</f>
        <v>1.5820000000000001E-2</v>
      </c>
      <c r="AJ451" s="1">
        <f>SUMIFS(tblStock[positions],tblStock[sku],tblSKU[[#This Row],[sku]])</f>
        <v>0</v>
      </c>
      <c r="AK451" s="3">
        <f>SUMIFS(tblStock[value_nzd],tblStock[sku],tblSKU[[#This Row],[sku]],tblStock[stock_type],"Expired")</f>
        <v>0</v>
      </c>
      <c r="AL451" s="3" cm="1">
        <f t="array" ref="AL451">SUM(SUMIFS(tblStock[value_nzd],tblStock[sku],tblSKU[[#This Row],[sku]],tblStock[stock_type],{"Saleable","FOC"},tblStock[expiry_date],"&lt;"&amp;EDATE(SnapshotDate,6)))</f>
        <v>0</v>
      </c>
    </row>
    <row r="452" spans="1:38">
      <c r="A452" s="1" t="s">
        <v>961</v>
      </c>
      <c r="B452" s="1" t="s">
        <v>962</v>
      </c>
      <c r="C452" s="1" t="s">
        <v>960</v>
      </c>
      <c r="D452" s="1" t="s">
        <v>37</v>
      </c>
      <c r="E452" s="1" t="s">
        <v>955</v>
      </c>
      <c r="F452" s="1" t="s">
        <v>39</v>
      </c>
      <c r="G452">
        <v>96</v>
      </c>
      <c r="H452">
        <v>33.799999999999997</v>
      </c>
      <c r="I452">
        <v>24.5</v>
      </c>
      <c r="J452">
        <v>20.3</v>
      </c>
      <c r="K452">
        <v>1.6809999999999999E-2</v>
      </c>
      <c r="L452">
        <v>5.4</v>
      </c>
      <c r="M452">
        <v>10.53</v>
      </c>
      <c r="N452">
        <v>12</v>
      </c>
      <c r="O452">
        <v>5</v>
      </c>
      <c r="P452">
        <v>60</v>
      </c>
      <c r="Q452">
        <v>116.5</v>
      </c>
      <c r="R452">
        <v>349</v>
      </c>
      <c r="S452">
        <v>1.0085999999999999</v>
      </c>
      <c r="T452">
        <v>19</v>
      </c>
      <c r="U452">
        <v>817</v>
      </c>
      <c r="V452">
        <v>8603.01</v>
      </c>
      <c r="W452" s="1" t="s">
        <v>1262</v>
      </c>
      <c r="X452" s="1" t="s">
        <v>1262</v>
      </c>
      <c r="Y452">
        <v>0.22352941176470589</v>
      </c>
      <c r="Z452">
        <v>8.3435457516339868E-3</v>
      </c>
      <c r="AA452" s="1" t="s">
        <v>1263</v>
      </c>
      <c r="AB452">
        <v>0</v>
      </c>
      <c r="AC452">
        <v>0</v>
      </c>
      <c r="AD452" s="1">
        <v>6.8543451652386782</v>
      </c>
      <c r="AE452">
        <v>2</v>
      </c>
      <c r="AF452">
        <f>COUNTIFS(tblStock[sku],tblSKU[[#This Row],[sku]])</f>
        <v>1</v>
      </c>
      <c r="AG452" cm="1">
        <f t="array" ref="AG452">SUM(SUMIFS(tblStock[qty_units],tblStock[sku],tblSKU[[#This Row],[sku]],tblStock[stock_type],{"Saleable","FOC"}))</f>
        <v>1400</v>
      </c>
      <c r="AH452" s="3">
        <f>SUMIFS(tblStock[value_nzd],tblStock[sku],tblSKU[[#This Row],[sku]])</f>
        <v>14742</v>
      </c>
      <c r="AI452" s="4">
        <f>SUMIFS(tblStock[cbm],tblStock[sku],tblSKU[[#This Row],[sku]])</f>
        <v>0.24514583333333331</v>
      </c>
      <c r="AJ452" s="1">
        <f>SUMIFS(tblStock[positions],tblStock[sku],tblSKU[[#This Row],[sku]])</f>
        <v>0</v>
      </c>
      <c r="AK452" s="3">
        <f>SUMIFS(tblStock[value_nzd],tblStock[sku],tblSKU[[#This Row],[sku]],tblStock[stock_type],"Expired")</f>
        <v>0</v>
      </c>
      <c r="AL452" s="3" cm="1">
        <f t="array" ref="AL452">SUM(SUMIFS(tblStock[value_nzd],tblStock[sku],tblSKU[[#This Row],[sku]],tblStock[stock_type],{"Saleable","FOC"},tblStock[expiry_date],"&lt;"&amp;EDATE(SnapshotDate,6)))</f>
        <v>0</v>
      </c>
    </row>
    <row r="453" spans="1:38">
      <c r="A453" s="1" t="s">
        <v>963</v>
      </c>
      <c r="B453" s="1" t="s">
        <v>964</v>
      </c>
      <c r="C453" s="1" t="s">
        <v>48</v>
      </c>
      <c r="D453" s="1" t="s">
        <v>37</v>
      </c>
      <c r="E453" s="1" t="s">
        <v>955</v>
      </c>
      <c r="F453" s="1" t="s">
        <v>39</v>
      </c>
      <c r="G453">
        <v>72</v>
      </c>
      <c r="H453">
        <v>33</v>
      </c>
      <c r="I453">
        <v>23.7</v>
      </c>
      <c r="J453">
        <v>15.3</v>
      </c>
      <c r="K453">
        <v>1.197E-2</v>
      </c>
      <c r="L453">
        <v>4.09</v>
      </c>
      <c r="M453">
        <v>14.78</v>
      </c>
      <c r="N453">
        <v>15</v>
      </c>
      <c r="O453">
        <v>8</v>
      </c>
      <c r="P453">
        <v>120</v>
      </c>
      <c r="Q453">
        <v>137.4</v>
      </c>
      <c r="R453">
        <v>515.79999999999995</v>
      </c>
      <c r="S453">
        <v>1.4363999999999999</v>
      </c>
      <c r="T453">
        <v>4</v>
      </c>
      <c r="U453">
        <v>36</v>
      </c>
      <c r="V453">
        <v>532.07999999999993</v>
      </c>
      <c r="W453" s="1" t="s">
        <v>1262</v>
      </c>
      <c r="X453" s="1" t="s">
        <v>1262</v>
      </c>
      <c r="Y453">
        <v>4.7058823529411764E-2</v>
      </c>
      <c r="Z453">
        <v>2.4509803921568627E-4</v>
      </c>
      <c r="AA453" s="1" t="s">
        <v>1263</v>
      </c>
      <c r="AB453">
        <v>0</v>
      </c>
      <c r="AC453">
        <v>0</v>
      </c>
      <c r="AD453" s="1">
        <v>13</v>
      </c>
      <c r="AE453">
        <v>2</v>
      </c>
      <c r="AF453">
        <f>COUNTIFS(tblStock[sku],tblSKU[[#This Row],[sku]])</f>
        <v>6</v>
      </c>
      <c r="AG453" cm="1">
        <f t="array" ref="AG453">SUM(SUMIFS(tblStock[qty_units],tblStock[sku],tblSKU[[#This Row],[sku]],tblStock[stock_type],{"Saleable","FOC"}))</f>
        <v>117</v>
      </c>
      <c r="AH453" s="3">
        <f>SUMIFS(tblStock[value_nzd],tblStock[sku],tblSKU[[#This Row],[sku]])</f>
        <v>1729.26</v>
      </c>
      <c r="AI453" s="4">
        <f>SUMIFS(tblStock[cbm],tblStock[sku],tblSKU[[#This Row],[sku]])</f>
        <v>1.9451249999999996E-2</v>
      </c>
      <c r="AJ453" s="1">
        <f>SUMIFS(tblStock[positions],tblStock[sku],tblSKU[[#This Row],[sku]])</f>
        <v>0</v>
      </c>
      <c r="AK453" s="3">
        <f>SUMIFS(tblStock[value_nzd],tblStock[sku],tblSKU[[#This Row],[sku]],tblStock[stock_type],"Expired")</f>
        <v>0</v>
      </c>
      <c r="AL453" s="3" cm="1">
        <f t="array" ref="AL453">SUM(SUMIFS(tblStock[value_nzd],tblStock[sku],tblSKU[[#This Row],[sku]],tblStock[stock_type],{"Saleable","FOC"},tblStock[expiry_date],"&lt;"&amp;EDATE(SnapshotDate,6)))</f>
        <v>679.88</v>
      </c>
    </row>
    <row r="454" spans="1:38">
      <c r="A454" s="1" t="s">
        <v>965</v>
      </c>
      <c r="B454" s="1" t="s">
        <v>966</v>
      </c>
      <c r="C454" s="1" t="s">
        <v>960</v>
      </c>
      <c r="D454" s="1" t="s">
        <v>37</v>
      </c>
      <c r="E454" s="1" t="s">
        <v>955</v>
      </c>
      <c r="F454" s="1" t="s">
        <v>39</v>
      </c>
      <c r="G454">
        <v>72</v>
      </c>
      <c r="H454">
        <v>43.6</v>
      </c>
      <c r="I454">
        <v>29.8</v>
      </c>
      <c r="J454">
        <v>16.899999999999999</v>
      </c>
      <c r="K454">
        <v>2.196E-2</v>
      </c>
      <c r="L454">
        <v>6.73</v>
      </c>
      <c r="M454">
        <v>6.45</v>
      </c>
      <c r="N454">
        <v>8</v>
      </c>
      <c r="O454">
        <v>8</v>
      </c>
      <c r="P454">
        <v>64</v>
      </c>
      <c r="Q454">
        <v>150.19999999999999</v>
      </c>
      <c r="R454">
        <v>455.72</v>
      </c>
      <c r="S454">
        <v>1.40544</v>
      </c>
      <c r="T454">
        <v>3</v>
      </c>
      <c r="U454">
        <v>516</v>
      </c>
      <c r="V454">
        <v>3328.2000000000003</v>
      </c>
      <c r="W454" s="1" t="s">
        <v>1262</v>
      </c>
      <c r="X454" s="1" t="s">
        <v>1262</v>
      </c>
      <c r="Y454">
        <v>3.5294117647058823E-2</v>
      </c>
      <c r="Z454">
        <v>6.5870098039215695E-3</v>
      </c>
      <c r="AA454" s="1" t="s">
        <v>1263</v>
      </c>
      <c r="AB454">
        <v>0</v>
      </c>
      <c r="AC454">
        <v>0</v>
      </c>
      <c r="AD454" s="1">
        <v>9.4263565891472876</v>
      </c>
      <c r="AE454">
        <v>2</v>
      </c>
      <c r="AF454">
        <f>COUNTIFS(tblStock[sku],tblSKU[[#This Row],[sku]])</f>
        <v>5</v>
      </c>
      <c r="AG454" cm="1">
        <f t="array" ref="AG454">SUM(SUMIFS(tblStock[qty_units],tblStock[sku],tblSKU[[#This Row],[sku]],tblStock[stock_type],{"Saleable","FOC"}))</f>
        <v>1216</v>
      </c>
      <c r="AH454" s="3">
        <f>SUMIFS(tblStock[value_nzd],tblStock[sku],tblSKU[[#This Row],[sku]])</f>
        <v>8701.0500000000011</v>
      </c>
      <c r="AI454" s="4">
        <f>SUMIFS(tblStock[cbm],tblStock[sku],tblSKU[[#This Row],[sku]])</f>
        <v>0.41144500000000001</v>
      </c>
      <c r="AJ454" s="1">
        <f>SUMIFS(tblStock[positions],tblStock[sku],tblSKU[[#This Row],[sku]])</f>
        <v>1</v>
      </c>
      <c r="AK454" s="3">
        <f>SUMIFS(tblStock[value_nzd],tblStock[sku],tblSKU[[#This Row],[sku]],tblStock[stock_type],"Expired")</f>
        <v>625.65</v>
      </c>
      <c r="AL454" s="3" cm="1">
        <f t="array" ref="AL454">SUM(SUMIFS(tblStock[value_nzd],tblStock[sku],tblSKU[[#This Row],[sku]],tblStock[stock_type],{"Saleable","FOC"},tblStock[expiry_date],"&lt;"&amp;EDATE(SnapshotDate,6)))</f>
        <v>0</v>
      </c>
    </row>
    <row r="455" spans="1:38">
      <c r="A455" s="1" t="s">
        <v>967</v>
      </c>
      <c r="B455" s="1" t="s">
        <v>968</v>
      </c>
      <c r="C455" s="1" t="s">
        <v>577</v>
      </c>
      <c r="D455" s="1" t="s">
        <v>37</v>
      </c>
      <c r="E455" s="1" t="s">
        <v>955</v>
      </c>
      <c r="F455" s="1" t="s">
        <v>39</v>
      </c>
      <c r="G455">
        <v>48</v>
      </c>
      <c r="H455">
        <v>33.6</v>
      </c>
      <c r="I455">
        <v>20.7</v>
      </c>
      <c r="J455">
        <v>19.5</v>
      </c>
      <c r="K455">
        <v>1.3559999999999999E-2</v>
      </c>
      <c r="L455">
        <v>5.95</v>
      </c>
      <c r="M455">
        <v>9.7799999999999994</v>
      </c>
      <c r="N455">
        <v>11</v>
      </c>
      <c r="O455">
        <v>7</v>
      </c>
      <c r="P455">
        <v>77</v>
      </c>
      <c r="Q455">
        <v>151.5</v>
      </c>
      <c r="R455">
        <v>483.15000000000003</v>
      </c>
      <c r="S455">
        <v>1.0441199999999999</v>
      </c>
      <c r="T455">
        <v>968</v>
      </c>
      <c r="U455">
        <v>46849</v>
      </c>
      <c r="V455">
        <v>458183.22</v>
      </c>
      <c r="W455" s="1" t="s">
        <v>1264</v>
      </c>
      <c r="X455" s="1" t="s">
        <v>1264</v>
      </c>
      <c r="Y455">
        <v>11.388235294117647</v>
      </c>
      <c r="Z455">
        <v>0.7456232492997199</v>
      </c>
      <c r="AA455" s="1" t="s">
        <v>1265</v>
      </c>
      <c r="AB455">
        <v>1</v>
      </c>
      <c r="AC455">
        <v>0</v>
      </c>
      <c r="AD455" s="1">
        <v>5.0048453542231428</v>
      </c>
      <c r="AE455">
        <v>12</v>
      </c>
      <c r="AF455">
        <f>COUNTIFS(tblStock[sku],tblSKU[[#This Row],[sku]])</f>
        <v>3</v>
      </c>
      <c r="AG455" cm="1">
        <f t="array" ref="AG455">SUM(SUMIFS(tblStock[qty_units],tblStock[sku],tblSKU[[#This Row],[sku]],tblStock[stock_type],{"Saleable","FOC"}))</f>
        <v>58618</v>
      </c>
      <c r="AH455" s="3">
        <f>SUMIFS(tblStock[value_nzd],tblStock[sku],tblSKU[[#This Row],[sku]])</f>
        <v>573284.04</v>
      </c>
      <c r="AI455" s="4">
        <f>SUMIFS(tblStock[cbm],tblStock[sku],tblSKU[[#This Row],[sku]])</f>
        <v>16.559584999999998</v>
      </c>
      <c r="AJ455" s="1">
        <f>SUMIFS(tblStock[positions],tblStock[sku],tblSKU[[#This Row],[sku]])</f>
        <v>17</v>
      </c>
      <c r="AK455" s="3">
        <f>SUMIFS(tblStock[value_nzd],tblStock[sku],tblSKU[[#This Row],[sku]],tblStock[stock_type],"Expired")</f>
        <v>0</v>
      </c>
      <c r="AL455" s="3" cm="1">
        <f t="array" ref="AL455">SUM(SUMIFS(tblStock[value_nzd],tblStock[sku],tblSKU[[#This Row],[sku]],tblStock[stock_type],{"Saleable","FOC"},tblStock[expiry_date],"&lt;"&amp;EDATE(SnapshotDate,6)))</f>
        <v>0</v>
      </c>
    </row>
    <row r="456" spans="1:38">
      <c r="A456" s="1" t="s">
        <v>969</v>
      </c>
      <c r="B456" s="1" t="s">
        <v>970</v>
      </c>
      <c r="C456" s="1" t="s">
        <v>960</v>
      </c>
      <c r="D456" s="1" t="s">
        <v>37</v>
      </c>
      <c r="E456" s="1" t="s">
        <v>955</v>
      </c>
      <c r="F456" s="1" t="s">
        <v>39</v>
      </c>
      <c r="G456">
        <v>144</v>
      </c>
      <c r="H456">
        <v>36.4</v>
      </c>
      <c r="I456">
        <v>24.7</v>
      </c>
      <c r="J456">
        <v>23</v>
      </c>
      <c r="K456">
        <v>2.068E-2</v>
      </c>
      <c r="L456">
        <v>8.7799999999999994</v>
      </c>
      <c r="M456">
        <v>14.9</v>
      </c>
      <c r="N456">
        <v>12</v>
      </c>
      <c r="O456">
        <v>4</v>
      </c>
      <c r="P456">
        <v>48</v>
      </c>
      <c r="Q456">
        <v>107</v>
      </c>
      <c r="R456">
        <v>446.43999999999994</v>
      </c>
      <c r="S456">
        <v>0.99263999999999997</v>
      </c>
      <c r="T456">
        <v>12</v>
      </c>
      <c r="U456">
        <v>528</v>
      </c>
      <c r="V456">
        <v>7867.2</v>
      </c>
      <c r="W456" s="1" t="s">
        <v>1262</v>
      </c>
      <c r="X456" s="1" t="s">
        <v>1262</v>
      </c>
      <c r="Y456">
        <v>0.14117647058823529</v>
      </c>
      <c r="Z456">
        <v>4.4934640522875822E-3</v>
      </c>
      <c r="AA456" s="1" t="s">
        <v>1263</v>
      </c>
      <c r="AB456">
        <v>0</v>
      </c>
      <c r="AC456">
        <v>0</v>
      </c>
      <c r="AD456" s="1">
        <v>5.1818181818181817</v>
      </c>
      <c r="AE456">
        <v>2</v>
      </c>
      <c r="AF456">
        <f>COUNTIFS(tblStock[sku],tblSKU[[#This Row],[sku]])</f>
        <v>1</v>
      </c>
      <c r="AG456" cm="1">
        <f t="array" ref="AG456">SUM(SUMIFS(tblStock[qty_units],tblStock[sku],tblSKU[[#This Row],[sku]],tblStock[stock_type],{"Saleable","FOC"}))</f>
        <v>684</v>
      </c>
      <c r="AH456" s="3">
        <f>SUMIFS(tblStock[value_nzd],tblStock[sku],tblSKU[[#This Row],[sku]])</f>
        <v>10191.6</v>
      </c>
      <c r="AI456" s="4">
        <f>SUMIFS(tblStock[cbm],tblStock[sku],tblSKU[[#This Row],[sku]])</f>
        <v>9.8229999999999998E-2</v>
      </c>
      <c r="AJ456" s="1">
        <f>SUMIFS(tblStock[positions],tblStock[sku],tblSKU[[#This Row],[sku]])</f>
        <v>0</v>
      </c>
      <c r="AK456" s="3">
        <f>SUMIFS(tblStock[value_nzd],tblStock[sku],tblSKU[[#This Row],[sku]],tblStock[stock_type],"Expired")</f>
        <v>0</v>
      </c>
      <c r="AL456" s="3" cm="1">
        <f t="array" ref="AL456">SUM(SUMIFS(tblStock[value_nzd],tblStock[sku],tblSKU[[#This Row],[sku]],tblStock[stock_type],{"Saleable","FOC"},tblStock[expiry_date],"&lt;"&amp;EDATE(SnapshotDate,6)))</f>
        <v>0</v>
      </c>
    </row>
    <row r="457" spans="1:38">
      <c r="A457" s="1" t="s">
        <v>971</v>
      </c>
      <c r="B457" s="1" t="s">
        <v>972</v>
      </c>
      <c r="C457" s="1" t="s">
        <v>577</v>
      </c>
      <c r="D457" s="1" t="s">
        <v>37</v>
      </c>
      <c r="E457" s="1" t="s">
        <v>955</v>
      </c>
      <c r="F457" s="1" t="s">
        <v>39</v>
      </c>
      <c r="G457">
        <v>96</v>
      </c>
      <c r="H457">
        <v>40.9</v>
      </c>
      <c r="I457">
        <v>26.7</v>
      </c>
      <c r="J457">
        <v>23.6</v>
      </c>
      <c r="K457">
        <v>2.5770000000000001E-2</v>
      </c>
      <c r="L457">
        <v>8.74</v>
      </c>
      <c r="M457">
        <v>11.75</v>
      </c>
      <c r="N457">
        <v>8</v>
      </c>
      <c r="O457">
        <v>5</v>
      </c>
      <c r="P457">
        <v>40</v>
      </c>
      <c r="Q457">
        <v>133</v>
      </c>
      <c r="R457">
        <v>374.6</v>
      </c>
      <c r="S457">
        <v>1.0308000000000002</v>
      </c>
      <c r="T457">
        <v>24</v>
      </c>
      <c r="U457">
        <v>1648</v>
      </c>
      <c r="V457">
        <v>19364</v>
      </c>
      <c r="W457" s="1" t="s">
        <v>1262</v>
      </c>
      <c r="X457" s="1" t="s">
        <v>1262</v>
      </c>
      <c r="Y457">
        <v>0.28235294117647058</v>
      </c>
      <c r="Z457">
        <v>2.5245098039215687E-2</v>
      </c>
      <c r="AA457" s="1" t="s">
        <v>1263</v>
      </c>
      <c r="AB457">
        <v>0</v>
      </c>
      <c r="AC457">
        <v>0</v>
      </c>
      <c r="AD457" s="1">
        <v>2.371359223300971</v>
      </c>
      <c r="AE457">
        <v>2</v>
      </c>
      <c r="AF457">
        <f>COUNTIFS(tblStock[sku],tblSKU[[#This Row],[sku]])</f>
        <v>3</v>
      </c>
      <c r="AG457" cm="1">
        <f t="array" ref="AG457">SUM(SUMIFS(tblStock[qty_units],tblStock[sku],tblSKU[[#This Row],[sku]],tblStock[stock_type],{"Saleable","FOC"}))</f>
        <v>977</v>
      </c>
      <c r="AH457" s="3">
        <f>SUMIFS(tblStock[value_nzd],tblStock[sku],tblSKU[[#This Row],[sku]])</f>
        <v>11479.75</v>
      </c>
      <c r="AI457" s="4">
        <f>SUMIFS(tblStock[cbm],tblStock[sku],tblSKU[[#This Row],[sku]])</f>
        <v>0.26226343750000003</v>
      </c>
      <c r="AJ457" s="1">
        <f>SUMIFS(tblStock[positions],tblStock[sku],tblSKU[[#This Row],[sku]])</f>
        <v>0</v>
      </c>
      <c r="AK457" s="3">
        <f>SUMIFS(tblStock[value_nzd],tblStock[sku],tblSKU[[#This Row],[sku]],tblStock[stock_type],"Expired")</f>
        <v>0</v>
      </c>
      <c r="AL457" s="3" cm="1">
        <f t="array" ref="AL457">SUM(SUMIFS(tblStock[value_nzd],tblStock[sku],tblSKU[[#This Row],[sku]],tblStock[stock_type],{"Saleable","FOC"},tblStock[expiry_date],"&lt;"&amp;EDATE(SnapshotDate,6)))</f>
        <v>540.5</v>
      </c>
    </row>
    <row r="458" spans="1:38">
      <c r="A458" s="1" t="s">
        <v>973</v>
      </c>
      <c r="B458" s="1" t="s">
        <v>974</v>
      </c>
      <c r="C458" s="1" t="s">
        <v>960</v>
      </c>
      <c r="D458" s="1" t="s">
        <v>37</v>
      </c>
      <c r="E458" s="1" t="s">
        <v>955</v>
      </c>
      <c r="F458" s="1" t="s">
        <v>39</v>
      </c>
      <c r="G458">
        <v>72</v>
      </c>
      <c r="H458">
        <v>32.4</v>
      </c>
      <c r="I458">
        <v>23.9</v>
      </c>
      <c r="J458">
        <v>21.2</v>
      </c>
      <c r="K458">
        <v>1.6420000000000001E-2</v>
      </c>
      <c r="L458">
        <v>5.25</v>
      </c>
      <c r="M458">
        <v>10.57</v>
      </c>
      <c r="N458">
        <v>14</v>
      </c>
      <c r="O458">
        <v>4</v>
      </c>
      <c r="P458">
        <v>56</v>
      </c>
      <c r="Q458">
        <v>99.8</v>
      </c>
      <c r="R458">
        <v>319</v>
      </c>
      <c r="S458">
        <v>0.91952</v>
      </c>
      <c r="T458">
        <v>100</v>
      </c>
      <c r="U458">
        <v>4015</v>
      </c>
      <c r="V458">
        <v>42438.55</v>
      </c>
      <c r="W458" s="1" t="s">
        <v>1264</v>
      </c>
      <c r="X458" s="1" t="s">
        <v>1258</v>
      </c>
      <c r="Y458">
        <v>1.1764705882352942</v>
      </c>
      <c r="Z458">
        <v>5.8575513538748833E-2</v>
      </c>
      <c r="AA458" s="1" t="s">
        <v>1265</v>
      </c>
      <c r="AB458">
        <v>1</v>
      </c>
      <c r="AC458">
        <v>0</v>
      </c>
      <c r="AD458" s="1">
        <v>5.0231631382316317</v>
      </c>
      <c r="AE458">
        <v>4</v>
      </c>
      <c r="AF458">
        <f>COUNTIFS(tblStock[sku],tblSKU[[#This Row],[sku]])</f>
        <v>1</v>
      </c>
      <c r="AG458" cm="1">
        <f t="array" ref="AG458">SUM(SUMIFS(tblStock[qty_units],tblStock[sku],tblSKU[[#This Row],[sku]],tblStock[stock_type],{"Saleable","FOC"}))</f>
        <v>5042</v>
      </c>
      <c r="AH458" s="3">
        <f>SUMIFS(tblStock[value_nzd],tblStock[sku],tblSKU[[#This Row],[sku]])</f>
        <v>53293.94</v>
      </c>
      <c r="AI458" s="4">
        <f>SUMIFS(tblStock[cbm],tblStock[sku],tblSKU[[#This Row],[sku]])</f>
        <v>1.149856111111111</v>
      </c>
      <c r="AJ458" s="1">
        <f>SUMIFS(tblStock[positions],tblStock[sku],tblSKU[[#This Row],[sku]])</f>
        <v>2</v>
      </c>
      <c r="AK458" s="3">
        <f>SUMIFS(tblStock[value_nzd],tblStock[sku],tblSKU[[#This Row],[sku]],tblStock[stock_type],"Expired")</f>
        <v>0</v>
      </c>
      <c r="AL458" s="3" cm="1">
        <f t="array" ref="AL458">SUM(SUMIFS(tblStock[value_nzd],tblStock[sku],tblSKU[[#This Row],[sku]],tblStock[stock_type],{"Saleable","FOC"},tblStock[expiry_date],"&lt;"&amp;EDATE(SnapshotDate,6)))</f>
        <v>0</v>
      </c>
    </row>
    <row r="459" spans="1:38">
      <c r="A459" s="1" t="s">
        <v>975</v>
      </c>
      <c r="B459" s="1" t="s">
        <v>976</v>
      </c>
      <c r="C459" s="1" t="s">
        <v>960</v>
      </c>
      <c r="D459" s="1" t="s">
        <v>37</v>
      </c>
      <c r="E459" s="1" t="s">
        <v>955</v>
      </c>
      <c r="F459" s="1" t="s">
        <v>39</v>
      </c>
      <c r="G459">
        <v>144</v>
      </c>
      <c r="H459">
        <v>39.5</v>
      </c>
      <c r="I459">
        <v>27.4</v>
      </c>
      <c r="J459">
        <v>20.9</v>
      </c>
      <c r="K459">
        <v>2.2620000000000001E-2</v>
      </c>
      <c r="L459">
        <v>8.23</v>
      </c>
      <c r="M459">
        <v>6.04</v>
      </c>
      <c r="N459">
        <v>9</v>
      </c>
      <c r="O459">
        <v>5</v>
      </c>
      <c r="P459">
        <v>45</v>
      </c>
      <c r="Q459">
        <v>119.5</v>
      </c>
      <c r="R459">
        <v>395.35</v>
      </c>
      <c r="S459">
        <v>1.0179</v>
      </c>
      <c r="T459">
        <v>15</v>
      </c>
      <c r="U459">
        <v>1177</v>
      </c>
      <c r="V459">
        <v>7109.08</v>
      </c>
      <c r="W459" s="1" t="s">
        <v>1262</v>
      </c>
      <c r="X459" s="1" t="s">
        <v>1262</v>
      </c>
      <c r="Y459">
        <v>0.17647058823529413</v>
      </c>
      <c r="Z459">
        <v>1.0684458968772693E-2</v>
      </c>
      <c r="AA459" s="1" t="s">
        <v>1263</v>
      </c>
      <c r="AB459">
        <v>0</v>
      </c>
      <c r="AC459">
        <v>0</v>
      </c>
      <c r="AD459" s="1">
        <v>2.5012744265080715</v>
      </c>
      <c r="AE459">
        <v>2</v>
      </c>
      <c r="AF459">
        <f>COUNTIFS(tblStock[sku],tblSKU[[#This Row],[sku]])</f>
        <v>4</v>
      </c>
      <c r="AG459" cm="1">
        <f t="array" ref="AG459">SUM(SUMIFS(tblStock[qty_units],tblStock[sku],tblSKU[[#This Row],[sku]],tblStock[stock_type],{"Saleable","FOC"}))</f>
        <v>736</v>
      </c>
      <c r="AH459" s="3">
        <f>SUMIFS(tblStock[value_nzd],tblStock[sku],tblSKU[[#This Row],[sku]])</f>
        <v>4445.4399999999996</v>
      </c>
      <c r="AI459" s="4">
        <f>SUMIFS(tblStock[cbm],tblStock[sku],tblSKU[[#This Row],[sku]])</f>
        <v>0.11561333333333333</v>
      </c>
      <c r="AJ459" s="1">
        <f>SUMIFS(tblStock[positions],tblStock[sku],tblSKU[[#This Row],[sku]])</f>
        <v>0</v>
      </c>
      <c r="AK459" s="3">
        <f>SUMIFS(tblStock[value_nzd],tblStock[sku],tblSKU[[#This Row],[sku]],tblStock[stock_type],"Expired")</f>
        <v>0</v>
      </c>
      <c r="AL459" s="3" cm="1">
        <f t="array" ref="AL459">SUM(SUMIFS(tblStock[value_nzd],tblStock[sku],tblSKU[[#This Row],[sku]],tblStock[stock_type],{"Saleable","FOC"},tblStock[expiry_date],"&lt;"&amp;EDATE(SnapshotDate,6)))</f>
        <v>0</v>
      </c>
    </row>
    <row r="460" spans="1:38">
      <c r="A460" s="1" t="s">
        <v>977</v>
      </c>
      <c r="B460" s="1" t="s">
        <v>978</v>
      </c>
      <c r="C460" s="1" t="s">
        <v>960</v>
      </c>
      <c r="D460" s="1" t="s">
        <v>37</v>
      </c>
      <c r="E460" s="1" t="s">
        <v>955</v>
      </c>
      <c r="F460" s="1" t="s">
        <v>39</v>
      </c>
      <c r="G460">
        <v>72</v>
      </c>
      <c r="H460">
        <v>31.1</v>
      </c>
      <c r="I460">
        <v>31.7</v>
      </c>
      <c r="J460">
        <v>18.3</v>
      </c>
      <c r="K460">
        <v>1.804E-2</v>
      </c>
      <c r="L460">
        <v>6.6</v>
      </c>
      <c r="M460">
        <v>9.85</v>
      </c>
      <c r="N460">
        <v>9</v>
      </c>
      <c r="O460">
        <v>4</v>
      </c>
      <c r="P460">
        <v>36</v>
      </c>
      <c r="Q460">
        <v>88.2</v>
      </c>
      <c r="R460">
        <v>262.60000000000002</v>
      </c>
      <c r="S460">
        <v>0.64944000000000002</v>
      </c>
      <c r="T460">
        <v>6</v>
      </c>
      <c r="U460">
        <v>1044</v>
      </c>
      <c r="V460">
        <v>10283.4</v>
      </c>
      <c r="W460" s="1" t="s">
        <v>1262</v>
      </c>
      <c r="X460" s="1" t="s">
        <v>1262</v>
      </c>
      <c r="Y460">
        <v>7.0588235294117646E-2</v>
      </c>
      <c r="Z460">
        <v>2.3692810457516342E-2</v>
      </c>
      <c r="AA460" s="1" t="s">
        <v>1263</v>
      </c>
      <c r="AB460">
        <v>0</v>
      </c>
      <c r="AC460">
        <v>0</v>
      </c>
      <c r="AD460" s="1">
        <v>10.931034482758621</v>
      </c>
      <c r="AE460">
        <v>2</v>
      </c>
      <c r="AF460">
        <f>COUNTIFS(tblStock[sku],tblSKU[[#This Row],[sku]])</f>
        <v>2</v>
      </c>
      <c r="AG460" cm="1">
        <f t="array" ref="AG460">SUM(SUMIFS(tblStock[qty_units],tblStock[sku],tblSKU[[#This Row],[sku]],tblStock[stock_type],{"Saleable","FOC"}))</f>
        <v>2853</v>
      </c>
      <c r="AH460" s="3">
        <f>SUMIFS(tblStock[value_nzd],tblStock[sku],tblSKU[[#This Row],[sku]])</f>
        <v>28102.05</v>
      </c>
      <c r="AI460" s="4">
        <f>SUMIFS(tblStock[cbm],tblStock[sku],tblSKU[[#This Row],[sku]])</f>
        <v>0.714835</v>
      </c>
      <c r="AJ460" s="1">
        <f>SUMIFS(tblStock[positions],tblStock[sku],tblSKU[[#This Row],[sku]])</f>
        <v>2</v>
      </c>
      <c r="AK460" s="3">
        <f>SUMIFS(tblStock[value_nzd],tblStock[sku],tblSKU[[#This Row],[sku]],tblStock[stock_type],"Expired")</f>
        <v>0</v>
      </c>
      <c r="AL460" s="3" cm="1">
        <f t="array" ref="AL460">SUM(SUMIFS(tblStock[value_nzd],tblStock[sku],tblSKU[[#This Row],[sku]],tblStock[stock_type],{"Saleable","FOC"},tblStock[expiry_date],"&lt;"&amp;EDATE(SnapshotDate,6)))</f>
        <v>1329.75</v>
      </c>
    </row>
    <row r="461" spans="1:38">
      <c r="A461" s="1" t="s">
        <v>979</v>
      </c>
      <c r="B461" s="1" t="s">
        <v>980</v>
      </c>
      <c r="C461" s="1" t="s">
        <v>577</v>
      </c>
      <c r="D461" s="1" t="s">
        <v>37</v>
      </c>
      <c r="E461" s="1" t="s">
        <v>955</v>
      </c>
      <c r="F461" s="1" t="s">
        <v>39</v>
      </c>
      <c r="G461">
        <v>96</v>
      </c>
      <c r="H461">
        <v>37.1</v>
      </c>
      <c r="I461">
        <v>23.3</v>
      </c>
      <c r="J461">
        <v>17.5</v>
      </c>
      <c r="K461">
        <v>1.5129999999999999E-2</v>
      </c>
      <c r="L461">
        <v>4.84</v>
      </c>
      <c r="M461">
        <v>4.2699999999999996</v>
      </c>
      <c r="N461">
        <v>12</v>
      </c>
      <c r="O461">
        <v>8</v>
      </c>
      <c r="P461">
        <v>96</v>
      </c>
      <c r="Q461">
        <v>155</v>
      </c>
      <c r="R461">
        <v>489.64</v>
      </c>
      <c r="S461">
        <v>1.45248</v>
      </c>
      <c r="T461">
        <v>31</v>
      </c>
      <c r="U461">
        <v>1138</v>
      </c>
      <c r="V461">
        <v>4859.2599999999993</v>
      </c>
      <c r="W461" s="1" t="s">
        <v>1258</v>
      </c>
      <c r="X461" s="1" t="s">
        <v>1262</v>
      </c>
      <c r="Y461">
        <v>0.36470588235294116</v>
      </c>
      <c r="Z461">
        <v>7.2635825163398686E-3</v>
      </c>
      <c r="AA461" s="1" t="s">
        <v>1259</v>
      </c>
      <c r="AB461">
        <v>0</v>
      </c>
      <c r="AC461">
        <v>1</v>
      </c>
      <c r="AD461" s="1">
        <v>3.0650263620386644</v>
      </c>
      <c r="AE461">
        <v>2</v>
      </c>
      <c r="AF461">
        <f>COUNTIFS(tblStock[sku],tblSKU[[#This Row],[sku]])</f>
        <v>1</v>
      </c>
      <c r="AG461" cm="1">
        <f t="array" ref="AG461">SUM(SUMIFS(tblStock[qty_units],tblStock[sku],tblSKU[[#This Row],[sku]],tblStock[stock_type],{"Saleable","FOC"}))</f>
        <v>872</v>
      </c>
      <c r="AH461" s="3">
        <f>SUMIFS(tblStock[value_nzd],tblStock[sku],tblSKU[[#This Row],[sku]])</f>
        <v>3723.4399999999996</v>
      </c>
      <c r="AI461" s="4">
        <f>SUMIFS(tblStock[cbm],tblStock[sku],tblSKU[[#This Row],[sku]])</f>
        <v>0.13743083333333334</v>
      </c>
      <c r="AJ461" s="1">
        <f>SUMIFS(tblStock[positions],tblStock[sku],tblSKU[[#This Row],[sku]])</f>
        <v>0</v>
      </c>
      <c r="AK461" s="3">
        <f>SUMIFS(tblStock[value_nzd],tblStock[sku],tblSKU[[#This Row],[sku]],tblStock[stock_type],"Expired")</f>
        <v>0</v>
      </c>
      <c r="AL461" s="3" cm="1">
        <f t="array" ref="AL461">SUM(SUMIFS(tblStock[value_nzd],tblStock[sku],tblSKU[[#This Row],[sku]],tblStock[stock_type],{"Saleable","FOC"},tblStock[expiry_date],"&lt;"&amp;EDATE(SnapshotDate,6)))</f>
        <v>0</v>
      </c>
    </row>
    <row r="462" spans="1:38">
      <c r="A462" s="1" t="s">
        <v>981</v>
      </c>
      <c r="B462" s="1" t="s">
        <v>982</v>
      </c>
      <c r="C462" s="1" t="s">
        <v>577</v>
      </c>
      <c r="D462" s="1" t="s">
        <v>37</v>
      </c>
      <c r="E462" s="1" t="s">
        <v>955</v>
      </c>
      <c r="F462" s="1" t="s">
        <v>39</v>
      </c>
      <c r="G462">
        <v>72</v>
      </c>
      <c r="H462">
        <v>35.299999999999997</v>
      </c>
      <c r="I462">
        <v>29.6</v>
      </c>
      <c r="J462">
        <v>16.2</v>
      </c>
      <c r="K462">
        <v>1.6930000000000001E-2</v>
      </c>
      <c r="L462">
        <v>7.08</v>
      </c>
      <c r="M462">
        <v>7.28</v>
      </c>
      <c r="N462">
        <v>9</v>
      </c>
      <c r="O462">
        <v>5</v>
      </c>
      <c r="P462">
        <v>45</v>
      </c>
      <c r="Q462">
        <v>96</v>
      </c>
      <c r="R462">
        <v>343.6</v>
      </c>
      <c r="S462">
        <v>0.76185000000000003</v>
      </c>
      <c r="T462">
        <v>25</v>
      </c>
      <c r="U462">
        <v>535</v>
      </c>
      <c r="V462">
        <v>3894.8</v>
      </c>
      <c r="W462" s="1" t="s">
        <v>1262</v>
      </c>
      <c r="X462" s="1" t="s">
        <v>1262</v>
      </c>
      <c r="Y462">
        <v>0.29411764705882354</v>
      </c>
      <c r="Z462">
        <v>9.7131445170660861E-3</v>
      </c>
      <c r="AA462" s="1" t="s">
        <v>1263</v>
      </c>
      <c r="AB462">
        <v>0</v>
      </c>
      <c r="AC462">
        <v>0</v>
      </c>
      <c r="AD462" s="1">
        <v>12.912149532710281</v>
      </c>
      <c r="AE462">
        <v>2</v>
      </c>
      <c r="AF462">
        <f>COUNTIFS(tblStock[sku],tblSKU[[#This Row],[sku]])</f>
        <v>2</v>
      </c>
      <c r="AG462" cm="1">
        <f t="array" ref="AG462">SUM(SUMIFS(tblStock[qty_units],tblStock[sku],tblSKU[[#This Row],[sku]],tblStock[stock_type],{"Saleable","FOC"}))</f>
        <v>1727</v>
      </c>
      <c r="AH462" s="3">
        <f>SUMIFS(tblStock[value_nzd],tblStock[sku],tblSKU[[#This Row],[sku]])</f>
        <v>12572.560000000001</v>
      </c>
      <c r="AI462" s="4">
        <f>SUMIFS(tblStock[cbm],tblStock[sku],tblSKU[[#This Row],[sku]])</f>
        <v>0.40608486111111114</v>
      </c>
      <c r="AJ462" s="1">
        <f>SUMIFS(tblStock[positions],tblStock[sku],tblSKU[[#This Row],[sku]])</f>
        <v>1</v>
      </c>
      <c r="AK462" s="3">
        <f>SUMIFS(tblStock[value_nzd],tblStock[sku],tblSKU[[#This Row],[sku]],tblStock[stock_type],"Expired")</f>
        <v>0</v>
      </c>
      <c r="AL462" s="3" cm="1">
        <f t="array" ref="AL462">SUM(SUMIFS(tblStock[value_nzd],tblStock[sku],tblSKU[[#This Row],[sku]],tblStock[stock_type],{"Saleable","FOC"},tblStock[expiry_date],"&lt;"&amp;EDATE(SnapshotDate,6)))</f>
        <v>8233.68</v>
      </c>
    </row>
    <row r="463" spans="1:38">
      <c r="A463" s="1" t="s">
        <v>983</v>
      </c>
      <c r="B463" s="1" t="s">
        <v>984</v>
      </c>
      <c r="C463" s="1" t="s">
        <v>577</v>
      </c>
      <c r="D463" s="1" t="s">
        <v>37</v>
      </c>
      <c r="E463" s="1" t="s">
        <v>955</v>
      </c>
      <c r="F463" s="1" t="s">
        <v>39</v>
      </c>
      <c r="G463">
        <v>96</v>
      </c>
      <c r="H463">
        <v>30.6</v>
      </c>
      <c r="I463">
        <v>32.799999999999997</v>
      </c>
      <c r="J463">
        <v>18.3</v>
      </c>
      <c r="K463">
        <v>1.8370000000000001E-2</v>
      </c>
      <c r="L463">
        <v>9.14</v>
      </c>
      <c r="M463">
        <v>8.56</v>
      </c>
      <c r="N463">
        <v>8</v>
      </c>
      <c r="O463">
        <v>4</v>
      </c>
      <c r="P463">
        <v>32</v>
      </c>
      <c r="Q463">
        <v>88.2</v>
      </c>
      <c r="R463">
        <v>317.48</v>
      </c>
      <c r="S463">
        <v>0.58784000000000003</v>
      </c>
      <c r="T463">
        <v>6</v>
      </c>
      <c r="U463">
        <v>896</v>
      </c>
      <c r="V463">
        <v>7669.76</v>
      </c>
      <c r="W463" s="1" t="s">
        <v>1262</v>
      </c>
      <c r="X463" s="1" t="s">
        <v>1262</v>
      </c>
      <c r="Y463">
        <v>7.0588235294117646E-2</v>
      </c>
      <c r="Z463">
        <v>1.7156862745098041E-2</v>
      </c>
      <c r="AA463" s="1" t="s">
        <v>1263</v>
      </c>
      <c r="AB463">
        <v>0</v>
      </c>
      <c r="AC463">
        <v>0</v>
      </c>
      <c r="AD463" s="1">
        <v>16.40625</v>
      </c>
      <c r="AE463">
        <v>2</v>
      </c>
      <c r="AF463">
        <f>COUNTIFS(tblStock[sku],tblSKU[[#This Row],[sku]])</f>
        <v>2</v>
      </c>
      <c r="AG463" cm="1">
        <f t="array" ref="AG463">SUM(SUMIFS(tblStock[qty_units],tblStock[sku],tblSKU[[#This Row],[sku]],tblStock[stock_type],{"Saleable","FOC"}))</f>
        <v>3675</v>
      </c>
      <c r="AH463" s="3">
        <f>SUMIFS(tblStock[value_nzd],tblStock[sku],tblSKU[[#This Row],[sku]])</f>
        <v>31458</v>
      </c>
      <c r="AI463" s="4">
        <f>SUMIFS(tblStock[cbm],tblStock[sku],tblSKU[[#This Row],[sku]])</f>
        <v>0.70322656250000004</v>
      </c>
      <c r="AJ463" s="1">
        <f>SUMIFS(tblStock[positions],tblStock[sku],tblSKU[[#This Row],[sku]])</f>
        <v>2</v>
      </c>
      <c r="AK463" s="3">
        <f>SUMIFS(tblStock[value_nzd],tblStock[sku],tblSKU[[#This Row],[sku]],tblStock[stock_type],"Expired")</f>
        <v>0</v>
      </c>
      <c r="AL463" s="3" cm="1">
        <f t="array" ref="AL463">SUM(SUMIFS(tblStock[value_nzd],tblStock[sku],tblSKU[[#This Row],[sku]],tblStock[stock_type],{"Saleable","FOC"},tblStock[expiry_date],"&lt;"&amp;EDATE(SnapshotDate,6)))</f>
        <v>0</v>
      </c>
    </row>
    <row r="464" spans="1:38">
      <c r="A464" s="1" t="s">
        <v>985</v>
      </c>
      <c r="B464" s="1" t="s">
        <v>986</v>
      </c>
      <c r="C464" s="1" t="s">
        <v>577</v>
      </c>
      <c r="D464" s="1" t="s">
        <v>37</v>
      </c>
      <c r="E464" s="1" t="s">
        <v>955</v>
      </c>
      <c r="F464" s="1" t="s">
        <v>39</v>
      </c>
      <c r="G464">
        <v>144</v>
      </c>
      <c r="H464">
        <v>38.700000000000003</v>
      </c>
      <c r="I464">
        <v>29.2</v>
      </c>
      <c r="J464">
        <v>17.100000000000001</v>
      </c>
      <c r="K464">
        <v>1.932E-2</v>
      </c>
      <c r="L464">
        <v>9.26</v>
      </c>
      <c r="M464">
        <v>11.27</v>
      </c>
      <c r="N464">
        <v>9</v>
      </c>
      <c r="O464">
        <v>8</v>
      </c>
      <c r="P464">
        <v>72</v>
      </c>
      <c r="Q464">
        <v>151.80000000000001</v>
      </c>
      <c r="R464">
        <v>691.72</v>
      </c>
      <c r="S464">
        <v>1.3910400000000001</v>
      </c>
      <c r="T464">
        <v>31</v>
      </c>
      <c r="U464">
        <v>2959</v>
      </c>
      <c r="V464">
        <v>33347.93</v>
      </c>
      <c r="W464" s="1" t="s">
        <v>1258</v>
      </c>
      <c r="X464" s="1" t="s">
        <v>1258</v>
      </c>
      <c r="Y464">
        <v>0.36470588235294116</v>
      </c>
      <c r="Z464">
        <v>1.678808097312999E-2</v>
      </c>
      <c r="AA464" s="1" t="s">
        <v>1259</v>
      </c>
      <c r="AB464">
        <v>0</v>
      </c>
      <c r="AC464">
        <v>1</v>
      </c>
      <c r="AD464" s="1">
        <v>2.8104089219330857</v>
      </c>
      <c r="AE464">
        <v>4</v>
      </c>
      <c r="AF464">
        <f>COUNTIFS(tblStock[sku],tblSKU[[#This Row],[sku]])</f>
        <v>1</v>
      </c>
      <c r="AG464" cm="1">
        <f t="array" ref="AG464">SUM(SUMIFS(tblStock[qty_units],tblStock[sku],tblSKU[[#This Row],[sku]],tblStock[stock_type],{"Saleable","FOC"}))</f>
        <v>2079</v>
      </c>
      <c r="AH464" s="3">
        <f>SUMIFS(tblStock[value_nzd],tblStock[sku],tblSKU[[#This Row],[sku]])</f>
        <v>23430.329999999998</v>
      </c>
      <c r="AI464" s="4">
        <f>SUMIFS(tblStock[cbm],tblStock[sku],tblSKU[[#This Row],[sku]])</f>
        <v>0.27893250000000003</v>
      </c>
      <c r="AJ464" s="1">
        <f>SUMIFS(tblStock[positions],tblStock[sku],tblSKU[[#This Row],[sku]])</f>
        <v>1</v>
      </c>
      <c r="AK464" s="3">
        <f>SUMIFS(tblStock[value_nzd],tblStock[sku],tblSKU[[#This Row],[sku]],tblStock[stock_type],"Expired")</f>
        <v>0</v>
      </c>
      <c r="AL464" s="3" cm="1">
        <f t="array" ref="AL464">SUM(SUMIFS(tblStock[value_nzd],tblStock[sku],tblSKU[[#This Row],[sku]],tblStock[stock_type],{"Saleable","FOC"},tblStock[expiry_date],"&lt;"&amp;EDATE(SnapshotDate,6)))</f>
        <v>0</v>
      </c>
    </row>
    <row r="465" spans="1:38">
      <c r="A465" s="1" t="s">
        <v>987</v>
      </c>
      <c r="B465" s="1" t="s">
        <v>988</v>
      </c>
      <c r="C465" s="1" t="s">
        <v>960</v>
      </c>
      <c r="D465" s="1" t="s">
        <v>37</v>
      </c>
      <c r="E465" s="1" t="s">
        <v>955</v>
      </c>
      <c r="F465" s="1" t="s">
        <v>39</v>
      </c>
      <c r="G465">
        <v>48</v>
      </c>
      <c r="H465">
        <v>32.1</v>
      </c>
      <c r="I465">
        <v>21.6</v>
      </c>
      <c r="J465">
        <v>18.8</v>
      </c>
      <c r="K465">
        <v>1.304E-2</v>
      </c>
      <c r="L465">
        <v>5.32</v>
      </c>
      <c r="M465">
        <v>9.9600000000000009</v>
      </c>
      <c r="N465">
        <v>15</v>
      </c>
      <c r="O465">
        <v>5</v>
      </c>
      <c r="P465">
        <v>75</v>
      </c>
      <c r="Q465">
        <v>109</v>
      </c>
      <c r="R465">
        <v>424</v>
      </c>
      <c r="S465">
        <v>0.97799999999999998</v>
      </c>
      <c r="T465">
        <v>5</v>
      </c>
      <c r="U465">
        <v>106</v>
      </c>
      <c r="V465">
        <v>1055.76</v>
      </c>
      <c r="W465" s="1" t="s">
        <v>1262</v>
      </c>
      <c r="X465" s="1" t="s">
        <v>1262</v>
      </c>
      <c r="Y465">
        <v>5.8823529411764705E-2</v>
      </c>
      <c r="Z465">
        <v>1.7320261437908499E-3</v>
      </c>
      <c r="AA465" s="1" t="s">
        <v>1263</v>
      </c>
      <c r="AB465">
        <v>0</v>
      </c>
      <c r="AC465">
        <v>0</v>
      </c>
      <c r="AD465" s="1">
        <v>8.0754716981132084</v>
      </c>
      <c r="AE465">
        <v>2</v>
      </c>
      <c r="AF465">
        <f>COUNTIFS(tblStock[sku],tblSKU[[#This Row],[sku]])</f>
        <v>1</v>
      </c>
      <c r="AG465" cm="1">
        <f t="array" ref="AG465">SUM(SUMIFS(tblStock[qty_units],tblStock[sku],tblSKU[[#This Row],[sku]],tblStock[stock_type],{"Saleable","FOC"}))</f>
        <v>214</v>
      </c>
      <c r="AH465" s="3">
        <f>SUMIFS(tblStock[value_nzd],tblStock[sku],tblSKU[[#This Row],[sku]])</f>
        <v>2131.44</v>
      </c>
      <c r="AI465" s="4">
        <f>SUMIFS(tblStock[cbm],tblStock[sku],tblSKU[[#This Row],[sku]])</f>
        <v>5.8136666666666663E-2</v>
      </c>
      <c r="AJ465" s="1">
        <f>SUMIFS(tblStock[positions],tblStock[sku],tblSKU[[#This Row],[sku]])</f>
        <v>0</v>
      </c>
      <c r="AK465" s="3">
        <f>SUMIFS(tblStock[value_nzd],tblStock[sku],tblSKU[[#This Row],[sku]],tblStock[stock_type],"Expired")</f>
        <v>0</v>
      </c>
      <c r="AL465" s="3" cm="1">
        <f t="array" ref="AL465">SUM(SUMIFS(tblStock[value_nzd],tblStock[sku],tblSKU[[#This Row],[sku]],tblStock[stock_type],{"Saleable","FOC"},tblStock[expiry_date],"&lt;"&amp;EDATE(SnapshotDate,6)))</f>
        <v>0</v>
      </c>
    </row>
    <row r="466" spans="1:38">
      <c r="A466" s="1" t="s">
        <v>989</v>
      </c>
      <c r="B466" s="1" t="s">
        <v>990</v>
      </c>
      <c r="C466" s="1" t="s">
        <v>960</v>
      </c>
      <c r="D466" s="1" t="s">
        <v>37</v>
      </c>
      <c r="E466" s="1" t="s">
        <v>955</v>
      </c>
      <c r="F466" s="1" t="s">
        <v>39</v>
      </c>
      <c r="G466">
        <v>48</v>
      </c>
      <c r="H466">
        <v>40.6</v>
      </c>
      <c r="I466">
        <v>27.5</v>
      </c>
      <c r="J466">
        <v>17.8</v>
      </c>
      <c r="K466">
        <v>1.9869999999999999E-2</v>
      </c>
      <c r="L466">
        <v>8.65</v>
      </c>
      <c r="M466">
        <v>7.37</v>
      </c>
      <c r="N466">
        <v>8</v>
      </c>
      <c r="O466">
        <v>3</v>
      </c>
      <c r="P466">
        <v>24</v>
      </c>
      <c r="Q466">
        <v>68.400000000000006</v>
      </c>
      <c r="R466">
        <v>232.60000000000002</v>
      </c>
      <c r="S466">
        <v>0.47687999999999997</v>
      </c>
      <c r="T466">
        <v>120</v>
      </c>
      <c r="U466">
        <v>4719</v>
      </c>
      <c r="V466">
        <v>34779.03</v>
      </c>
      <c r="W466" s="1" t="s">
        <v>1264</v>
      </c>
      <c r="X466" s="1" t="s">
        <v>1258</v>
      </c>
      <c r="Y466">
        <v>1.411764705882353</v>
      </c>
      <c r="Z466">
        <v>0.24096200980392157</v>
      </c>
      <c r="AA466" s="1" t="s">
        <v>1265</v>
      </c>
      <c r="AB466">
        <v>1</v>
      </c>
      <c r="AC466">
        <v>0</v>
      </c>
      <c r="AD466" s="1">
        <v>5.6333969061241786</v>
      </c>
      <c r="AE466">
        <v>4</v>
      </c>
      <c r="AF466">
        <f>COUNTIFS(tblStock[sku],tblSKU[[#This Row],[sku]])</f>
        <v>2</v>
      </c>
      <c r="AG466" cm="1">
        <f t="array" ref="AG466">SUM(SUMIFS(tblStock[qty_units],tblStock[sku],tblSKU[[#This Row],[sku]],tblStock[stock_type],{"Saleable","FOC"}))</f>
        <v>6646</v>
      </c>
      <c r="AH466" s="3">
        <f>SUMIFS(tblStock[value_nzd],tblStock[sku],tblSKU[[#This Row],[sku]])</f>
        <v>48981.02</v>
      </c>
      <c r="AI466" s="4">
        <f>SUMIFS(tblStock[cbm],tblStock[sku],tblSKU[[#This Row],[sku]])</f>
        <v>2.7511670833333333</v>
      </c>
      <c r="AJ466" s="1">
        <f>SUMIFS(tblStock[positions],tblStock[sku],tblSKU[[#This Row],[sku]])</f>
        <v>6</v>
      </c>
      <c r="AK466" s="3">
        <f>SUMIFS(tblStock[value_nzd],tblStock[sku],tblSKU[[#This Row],[sku]],tblStock[stock_type],"Expired")</f>
        <v>0</v>
      </c>
      <c r="AL466" s="3" cm="1">
        <f t="array" ref="AL466">SUM(SUMIFS(tblStock[value_nzd],tblStock[sku],tblSKU[[#This Row],[sku]],tblStock[stock_type],{"Saleable","FOC"},tblStock[expiry_date],"&lt;"&amp;EDATE(SnapshotDate,6)))</f>
        <v>0</v>
      </c>
    </row>
    <row r="467" spans="1:38">
      <c r="A467" s="1" t="s">
        <v>991</v>
      </c>
      <c r="B467" s="1" t="s">
        <v>992</v>
      </c>
      <c r="C467" s="1" t="s">
        <v>577</v>
      </c>
      <c r="D467" s="1" t="s">
        <v>37</v>
      </c>
      <c r="E467" s="1" t="s">
        <v>955</v>
      </c>
      <c r="F467" s="1" t="s">
        <v>39</v>
      </c>
      <c r="G467">
        <v>48</v>
      </c>
      <c r="H467">
        <v>38.1</v>
      </c>
      <c r="I467">
        <v>24.8</v>
      </c>
      <c r="J467">
        <v>22.5</v>
      </c>
      <c r="K467">
        <v>2.1260000000000001E-2</v>
      </c>
      <c r="L467">
        <v>7.79</v>
      </c>
      <c r="M467">
        <v>5.55</v>
      </c>
      <c r="N467">
        <v>10</v>
      </c>
      <c r="O467">
        <v>4</v>
      </c>
      <c r="P467">
        <v>40</v>
      </c>
      <c r="Q467">
        <v>105</v>
      </c>
      <c r="R467">
        <v>336.6</v>
      </c>
      <c r="S467">
        <v>0.85040000000000004</v>
      </c>
      <c r="T467">
        <v>9</v>
      </c>
      <c r="U467">
        <v>164</v>
      </c>
      <c r="V467">
        <v>910.19999999999993</v>
      </c>
      <c r="W467" s="1" t="s">
        <v>1262</v>
      </c>
      <c r="X467" s="1" t="s">
        <v>1262</v>
      </c>
      <c r="Y467">
        <v>0.10588235294117647</v>
      </c>
      <c r="Z467">
        <v>5.0245098039215681E-3</v>
      </c>
      <c r="AA467" s="1" t="s">
        <v>1263</v>
      </c>
      <c r="AB467">
        <v>0</v>
      </c>
      <c r="AC467">
        <v>0</v>
      </c>
      <c r="AD467" s="1">
        <v>7.4878048780487809</v>
      </c>
      <c r="AE467">
        <v>2</v>
      </c>
      <c r="AF467">
        <f>COUNTIFS(tblStock[sku],tblSKU[[#This Row],[sku]])</f>
        <v>1</v>
      </c>
      <c r="AG467" cm="1">
        <f t="array" ref="AG467">SUM(SUMIFS(tblStock[qty_units],tblStock[sku],tblSKU[[#This Row],[sku]],tblStock[stock_type],{"Saleable","FOC"}))</f>
        <v>307</v>
      </c>
      <c r="AH467" s="3">
        <f>SUMIFS(tblStock[value_nzd],tblStock[sku],tblSKU[[#This Row],[sku]])</f>
        <v>1703.85</v>
      </c>
      <c r="AI467" s="4">
        <f>SUMIFS(tblStock[cbm],tblStock[sku],tblSKU[[#This Row],[sku]])</f>
        <v>0.13597541666666665</v>
      </c>
      <c r="AJ467" s="1">
        <f>SUMIFS(tblStock[positions],tblStock[sku],tblSKU[[#This Row],[sku]])</f>
        <v>0</v>
      </c>
      <c r="AK467" s="3">
        <f>SUMIFS(tblStock[value_nzd],tblStock[sku],tblSKU[[#This Row],[sku]],tblStock[stock_type],"Expired")</f>
        <v>0</v>
      </c>
      <c r="AL467" s="3" cm="1">
        <f t="array" ref="AL467">SUM(SUMIFS(tblStock[value_nzd],tblStock[sku],tblSKU[[#This Row],[sku]],tblStock[stock_type],{"Saleable","FOC"},tblStock[expiry_date],"&lt;"&amp;EDATE(SnapshotDate,6)))</f>
        <v>0</v>
      </c>
    </row>
    <row r="468" spans="1:38">
      <c r="A468" s="1" t="s">
        <v>993</v>
      </c>
      <c r="B468" s="1" t="s">
        <v>994</v>
      </c>
      <c r="C468" s="1" t="s">
        <v>960</v>
      </c>
      <c r="D468" s="1" t="s">
        <v>37</v>
      </c>
      <c r="E468" s="1" t="s">
        <v>955</v>
      </c>
      <c r="F468" s="1" t="s">
        <v>39</v>
      </c>
      <c r="G468">
        <v>96</v>
      </c>
      <c r="H468">
        <v>31.7</v>
      </c>
      <c r="I468">
        <v>30.1</v>
      </c>
      <c r="J468">
        <v>23.9</v>
      </c>
      <c r="K468">
        <v>2.2800000000000001E-2</v>
      </c>
      <c r="L468">
        <v>9.06</v>
      </c>
      <c r="M468">
        <v>5.87</v>
      </c>
      <c r="N468">
        <v>9</v>
      </c>
      <c r="O468">
        <v>6</v>
      </c>
      <c r="P468">
        <v>54</v>
      </c>
      <c r="Q468">
        <v>158.39999999999998</v>
      </c>
      <c r="R468">
        <v>514.24</v>
      </c>
      <c r="S468">
        <v>1.2312000000000001</v>
      </c>
      <c r="T468">
        <v>1</v>
      </c>
      <c r="U468">
        <v>8</v>
      </c>
      <c r="V468">
        <v>46.96</v>
      </c>
      <c r="W468" s="1" t="s">
        <v>1262</v>
      </c>
      <c r="X468" s="1" t="s">
        <v>1262</v>
      </c>
      <c r="Y468">
        <v>1.1764705882352941E-2</v>
      </c>
      <c r="Z468">
        <v>9.0777051561365287E-5</v>
      </c>
      <c r="AA468" s="1" t="s">
        <v>1263</v>
      </c>
      <c r="AB468">
        <v>0</v>
      </c>
      <c r="AC468">
        <v>0</v>
      </c>
      <c r="AD468" s="1">
        <v>12</v>
      </c>
      <c r="AE468">
        <v>2</v>
      </c>
      <c r="AF468">
        <f>COUNTIFS(tblStock[sku],tblSKU[[#This Row],[sku]])</f>
        <v>1</v>
      </c>
      <c r="AG468" cm="1">
        <f t="array" ref="AG468">SUM(SUMIFS(tblStock[qty_units],tblStock[sku],tblSKU[[#This Row],[sku]],tblStock[stock_type],{"Saleable","FOC"}))</f>
        <v>24</v>
      </c>
      <c r="AH468" s="3">
        <f>SUMIFS(tblStock[value_nzd],tblStock[sku],tblSKU[[#This Row],[sku]])</f>
        <v>140.88</v>
      </c>
      <c r="AI468" s="4">
        <f>SUMIFS(tblStock[cbm],tblStock[sku],tblSKU[[#This Row],[sku]])</f>
        <v>5.7000000000000002E-3</v>
      </c>
      <c r="AJ468" s="1">
        <f>SUMIFS(tblStock[positions],tblStock[sku],tblSKU[[#This Row],[sku]])</f>
        <v>0</v>
      </c>
      <c r="AK468" s="3">
        <f>SUMIFS(tblStock[value_nzd],tblStock[sku],tblSKU[[#This Row],[sku]],tblStock[stock_type],"Expired")</f>
        <v>0</v>
      </c>
      <c r="AL468" s="3" cm="1">
        <f t="array" ref="AL468">SUM(SUMIFS(tblStock[value_nzd],tblStock[sku],tblSKU[[#This Row],[sku]],tblStock[stock_type],{"Saleable","FOC"},tblStock[expiry_date],"&lt;"&amp;EDATE(SnapshotDate,6)))</f>
        <v>0</v>
      </c>
    </row>
    <row r="469" spans="1:38">
      <c r="A469" s="1" t="s">
        <v>995</v>
      </c>
      <c r="B469" s="1" t="s">
        <v>996</v>
      </c>
      <c r="C469" s="1" t="s">
        <v>960</v>
      </c>
      <c r="D469" s="1" t="s">
        <v>37</v>
      </c>
      <c r="E469" s="1" t="s">
        <v>955</v>
      </c>
      <c r="F469" s="1" t="s">
        <v>39</v>
      </c>
      <c r="G469">
        <v>96</v>
      </c>
      <c r="H469">
        <v>43.1</v>
      </c>
      <c r="I469">
        <v>29.3</v>
      </c>
      <c r="J469">
        <v>22.6</v>
      </c>
      <c r="K469">
        <v>2.8539999999999999E-2</v>
      </c>
      <c r="L469">
        <v>14.06</v>
      </c>
      <c r="M469">
        <v>12.62</v>
      </c>
      <c r="N469">
        <v>8</v>
      </c>
      <c r="O469">
        <v>3</v>
      </c>
      <c r="P469">
        <v>24</v>
      </c>
      <c r="Q469">
        <v>82.800000000000011</v>
      </c>
      <c r="R469">
        <v>362.44</v>
      </c>
      <c r="S469">
        <v>0.68496000000000001</v>
      </c>
      <c r="T469">
        <v>25</v>
      </c>
      <c r="U469">
        <v>1275</v>
      </c>
      <c r="V469">
        <v>16090.499999999998</v>
      </c>
      <c r="W469" s="1" t="s">
        <v>1262</v>
      </c>
      <c r="X469" s="1" t="s">
        <v>1262</v>
      </c>
      <c r="Y469">
        <v>0.29411764705882354</v>
      </c>
      <c r="Z469">
        <v>3.2552083333333336E-2</v>
      </c>
      <c r="AA469" s="1" t="s">
        <v>1263</v>
      </c>
      <c r="AB469">
        <v>0</v>
      </c>
      <c r="AC469">
        <v>0</v>
      </c>
      <c r="AD469" s="1">
        <v>5.311372549019608</v>
      </c>
      <c r="AE469">
        <v>2</v>
      </c>
      <c r="AF469">
        <f>COUNTIFS(tblStock[sku],tblSKU[[#This Row],[sku]])</f>
        <v>3</v>
      </c>
      <c r="AG469" cm="1">
        <f t="array" ref="AG469">SUM(SUMIFS(tblStock[qty_units],tblStock[sku],tblSKU[[#This Row],[sku]],tblStock[stock_type],{"Saleable","FOC"}))</f>
        <v>1693</v>
      </c>
      <c r="AH469" s="3">
        <f>SUMIFS(tblStock[value_nzd],tblStock[sku],tblSKU[[#This Row],[sku]])</f>
        <v>21365.659999999996</v>
      </c>
      <c r="AI469" s="4">
        <f>SUMIFS(tblStock[cbm],tblStock[sku],tblSKU[[#This Row],[sku]])</f>
        <v>0.50331479166666671</v>
      </c>
      <c r="AJ469" s="1">
        <f>SUMIFS(tblStock[positions],tblStock[sku],tblSKU[[#This Row],[sku]])</f>
        <v>1</v>
      </c>
      <c r="AK469" s="3">
        <f>SUMIFS(tblStock[value_nzd],tblStock[sku],tblSKU[[#This Row],[sku]],tblStock[stock_type],"Expired")</f>
        <v>0</v>
      </c>
      <c r="AL469" s="3" cm="1">
        <f t="array" ref="AL469">SUM(SUMIFS(tblStock[value_nzd],tblStock[sku],tblSKU[[#This Row],[sku]],tblStock[stock_type],{"Saleable","FOC"},tblStock[expiry_date],"&lt;"&amp;EDATE(SnapshotDate,6)))</f>
        <v>0</v>
      </c>
    </row>
    <row r="470" spans="1:38">
      <c r="A470" s="1" t="s">
        <v>997</v>
      </c>
      <c r="B470" s="1" t="s">
        <v>998</v>
      </c>
      <c r="C470" s="1" t="s">
        <v>577</v>
      </c>
      <c r="D470" s="1" t="s">
        <v>37</v>
      </c>
      <c r="E470" s="1" t="s">
        <v>955</v>
      </c>
      <c r="F470" s="1" t="s">
        <v>39</v>
      </c>
      <c r="G470">
        <v>96</v>
      </c>
      <c r="H470">
        <v>40</v>
      </c>
      <c r="I470">
        <v>31.9</v>
      </c>
      <c r="J470">
        <v>19.5</v>
      </c>
      <c r="K470">
        <v>2.4879999999999999E-2</v>
      </c>
      <c r="L470">
        <v>10.29</v>
      </c>
      <c r="M470">
        <v>13.96</v>
      </c>
      <c r="N470">
        <v>9</v>
      </c>
      <c r="O470">
        <v>5</v>
      </c>
      <c r="P470">
        <v>45</v>
      </c>
      <c r="Q470">
        <v>112.5</v>
      </c>
      <c r="R470">
        <v>488.04999999999995</v>
      </c>
      <c r="S470">
        <v>1.1195999999999999</v>
      </c>
      <c r="T470">
        <v>52</v>
      </c>
      <c r="U470">
        <v>4176</v>
      </c>
      <c r="V470">
        <v>58296.960000000006</v>
      </c>
      <c r="W470" s="1" t="s">
        <v>1258</v>
      </c>
      <c r="X470" s="1" t="s">
        <v>1258</v>
      </c>
      <c r="Y470">
        <v>0.61176470588235299</v>
      </c>
      <c r="Z470">
        <v>5.6862745098039208E-2</v>
      </c>
      <c r="AA470" s="1" t="s">
        <v>1259</v>
      </c>
      <c r="AB470">
        <v>0</v>
      </c>
      <c r="AC470">
        <v>1</v>
      </c>
      <c r="AD470" s="1">
        <v>10.46168582375479</v>
      </c>
      <c r="AE470">
        <v>4</v>
      </c>
      <c r="AF470">
        <f>COUNTIFS(tblStock[sku],tblSKU[[#This Row],[sku]])</f>
        <v>4</v>
      </c>
      <c r="AG470" cm="1">
        <f t="array" ref="AG470">SUM(SUMIFS(tblStock[qty_units],tblStock[sku],tblSKU[[#This Row],[sku]],tblStock[stock_type],{"Saleable","FOC"}))</f>
        <v>10922</v>
      </c>
      <c r="AH470" s="3">
        <f>SUMIFS(tblStock[value_nzd],tblStock[sku],tblSKU[[#This Row],[sku]])</f>
        <v>164658.19999999998</v>
      </c>
      <c r="AI470" s="4">
        <f>SUMIFS(tblStock[cbm],tblStock[sku],tblSKU[[#This Row],[sku]])</f>
        <v>3.0568708333333334</v>
      </c>
      <c r="AJ470" s="1">
        <f>SUMIFS(tblStock[positions],tblStock[sku],tblSKU[[#This Row],[sku]])</f>
        <v>4</v>
      </c>
      <c r="AK470" s="3">
        <f>SUMIFS(tblStock[value_nzd],tblStock[sku],tblSKU[[#This Row],[sku]],tblStock[stock_type],"Expired")</f>
        <v>12187.08</v>
      </c>
      <c r="AL470" s="3" cm="1">
        <f t="array" ref="AL470">SUM(SUMIFS(tblStock[value_nzd],tblStock[sku],tblSKU[[#This Row],[sku]],tblStock[stock_type],{"Saleable","FOC"},tblStock[expiry_date],"&lt;"&amp;EDATE(SnapshotDate,6)))</f>
        <v>0</v>
      </c>
    </row>
    <row r="471" spans="1:38">
      <c r="A471" s="1" t="s">
        <v>999</v>
      </c>
      <c r="B471" s="1" t="s">
        <v>1000</v>
      </c>
      <c r="C471" s="1" t="s">
        <v>577</v>
      </c>
      <c r="D471" s="1" t="s">
        <v>37</v>
      </c>
      <c r="E471" s="1" t="s">
        <v>955</v>
      </c>
      <c r="F471" s="1" t="s">
        <v>39</v>
      </c>
      <c r="G471">
        <v>48</v>
      </c>
      <c r="H471">
        <v>31.6</v>
      </c>
      <c r="I471">
        <v>23.2</v>
      </c>
      <c r="J471">
        <v>19.5</v>
      </c>
      <c r="K471">
        <v>1.43E-2</v>
      </c>
      <c r="L471">
        <v>4.58</v>
      </c>
      <c r="M471">
        <v>14.71</v>
      </c>
      <c r="N471">
        <v>15</v>
      </c>
      <c r="O471">
        <v>4</v>
      </c>
      <c r="P471">
        <v>60</v>
      </c>
      <c r="Q471">
        <v>93</v>
      </c>
      <c r="R471">
        <v>299.8</v>
      </c>
      <c r="S471">
        <v>0.85799999999999998</v>
      </c>
      <c r="T471">
        <v>89</v>
      </c>
      <c r="U471">
        <v>4290</v>
      </c>
      <c r="V471">
        <v>63105.9</v>
      </c>
      <c r="W471" s="1" t="s">
        <v>1264</v>
      </c>
      <c r="X471" s="1" t="s">
        <v>1258</v>
      </c>
      <c r="Y471">
        <v>1.0470588235294118</v>
      </c>
      <c r="Z471">
        <v>8.7622549019607851E-2</v>
      </c>
      <c r="AA471" s="1" t="s">
        <v>1265</v>
      </c>
      <c r="AB471">
        <v>1</v>
      </c>
      <c r="AC471">
        <v>0</v>
      </c>
      <c r="AD471" s="1">
        <v>11.057342657342657</v>
      </c>
      <c r="AE471">
        <v>4</v>
      </c>
      <c r="AF471">
        <f>COUNTIFS(tblStock[sku],tblSKU[[#This Row],[sku]])</f>
        <v>2</v>
      </c>
      <c r="AG471" cm="1">
        <f t="array" ref="AG471">SUM(SUMIFS(tblStock[qty_units],tblStock[sku],tblSKU[[#This Row],[sku]],tblStock[stock_type],{"Saleable","FOC"}))</f>
        <v>11859</v>
      </c>
      <c r="AH471" s="3">
        <f>SUMIFS(tblStock[value_nzd],tblStock[sku],tblSKU[[#This Row],[sku]])</f>
        <v>174445.89</v>
      </c>
      <c r="AI471" s="4">
        <f>SUMIFS(tblStock[cbm],tblStock[sku],tblSKU[[#This Row],[sku]])</f>
        <v>3.5329937500000002</v>
      </c>
      <c r="AJ471" s="1">
        <f>SUMIFS(tblStock[positions],tblStock[sku],tblSKU[[#This Row],[sku]])</f>
        <v>5</v>
      </c>
      <c r="AK471" s="3">
        <f>SUMIFS(tblStock[value_nzd],tblStock[sku],tblSKU[[#This Row],[sku]],tblStock[stock_type],"Expired")</f>
        <v>0</v>
      </c>
      <c r="AL471" s="3" cm="1">
        <f t="array" ref="AL471">SUM(SUMIFS(tblStock[value_nzd],tblStock[sku],tblSKU[[#This Row],[sku]],tblStock[stock_type],{"Saleable","FOC"},tblStock[expiry_date],"&lt;"&amp;EDATE(SnapshotDate,6)))</f>
        <v>0</v>
      </c>
    </row>
    <row r="472" spans="1:38">
      <c r="A472" s="1" t="s">
        <v>1001</v>
      </c>
      <c r="B472" s="1" t="s">
        <v>1002</v>
      </c>
      <c r="C472" s="1" t="s">
        <v>960</v>
      </c>
      <c r="D472" s="1" t="s">
        <v>37</v>
      </c>
      <c r="E472" s="1" t="s">
        <v>955</v>
      </c>
      <c r="F472" s="1" t="s">
        <v>39</v>
      </c>
      <c r="G472">
        <v>72</v>
      </c>
      <c r="H472">
        <v>41.6</v>
      </c>
      <c r="I472">
        <v>29.3</v>
      </c>
      <c r="J472">
        <v>21.6</v>
      </c>
      <c r="K472">
        <v>2.6329999999999999E-2</v>
      </c>
      <c r="L472">
        <v>10.25</v>
      </c>
      <c r="M472">
        <v>14.05</v>
      </c>
      <c r="N472">
        <v>8</v>
      </c>
      <c r="O472">
        <v>5</v>
      </c>
      <c r="P472">
        <v>40</v>
      </c>
      <c r="Q472">
        <v>123</v>
      </c>
      <c r="R472">
        <v>435</v>
      </c>
      <c r="S472">
        <v>1.0531999999999999</v>
      </c>
      <c r="T472">
        <v>29</v>
      </c>
      <c r="U472">
        <v>1382</v>
      </c>
      <c r="V472">
        <v>19417.100000000002</v>
      </c>
      <c r="W472" s="1" t="s">
        <v>1258</v>
      </c>
      <c r="X472" s="1" t="s">
        <v>1262</v>
      </c>
      <c r="Y472">
        <v>0.3411764705882353</v>
      </c>
      <c r="Z472">
        <v>2.8227124183006536E-2</v>
      </c>
      <c r="AA472" s="1" t="s">
        <v>1259</v>
      </c>
      <c r="AB472">
        <v>0</v>
      </c>
      <c r="AC472">
        <v>1</v>
      </c>
      <c r="AD472" s="1">
        <v>4.570188133140376</v>
      </c>
      <c r="AE472">
        <v>2</v>
      </c>
      <c r="AF472">
        <f>COUNTIFS(tblStock[sku],tblSKU[[#This Row],[sku]])</f>
        <v>1</v>
      </c>
      <c r="AG472" cm="1">
        <f t="array" ref="AG472">SUM(SUMIFS(tblStock[qty_units],tblStock[sku],tblSKU[[#This Row],[sku]],tblStock[stock_type],{"Saleable","FOC"}))</f>
        <v>1579</v>
      </c>
      <c r="AH472" s="3">
        <f>SUMIFS(tblStock[value_nzd],tblStock[sku],tblSKU[[#This Row],[sku]])</f>
        <v>22184.95</v>
      </c>
      <c r="AI472" s="4">
        <f>SUMIFS(tblStock[cbm],tblStock[sku],tblSKU[[#This Row],[sku]])</f>
        <v>0.57743152777777784</v>
      </c>
      <c r="AJ472" s="1">
        <f>SUMIFS(tblStock[positions],tblStock[sku],tblSKU[[#This Row],[sku]])</f>
        <v>1</v>
      </c>
      <c r="AK472" s="3">
        <f>SUMIFS(tblStock[value_nzd],tblStock[sku],tblSKU[[#This Row],[sku]],tblStock[stock_type],"Expired")</f>
        <v>0</v>
      </c>
      <c r="AL472" s="3" cm="1">
        <f t="array" ref="AL472">SUM(SUMIFS(tblStock[value_nzd],tblStock[sku],tblSKU[[#This Row],[sku]],tblStock[stock_type],{"Saleable","FOC"},tblStock[expiry_date],"&lt;"&amp;EDATE(SnapshotDate,6)))</f>
        <v>0</v>
      </c>
    </row>
    <row r="473" spans="1:38">
      <c r="A473" s="1" t="s">
        <v>1003</v>
      </c>
      <c r="B473" s="1" t="s">
        <v>1004</v>
      </c>
      <c r="C473" s="1" t="s">
        <v>960</v>
      </c>
      <c r="D473" s="1" t="s">
        <v>37</v>
      </c>
      <c r="E473" s="1" t="s">
        <v>955</v>
      </c>
      <c r="F473" s="1" t="s">
        <v>39</v>
      </c>
      <c r="G473">
        <v>96</v>
      </c>
      <c r="H473">
        <v>33.700000000000003</v>
      </c>
      <c r="I473">
        <v>23.1</v>
      </c>
      <c r="J473">
        <v>23.5</v>
      </c>
      <c r="K473">
        <v>1.8290000000000001E-2</v>
      </c>
      <c r="L473">
        <v>8.51</v>
      </c>
      <c r="M473">
        <v>13.13</v>
      </c>
      <c r="N473">
        <v>11</v>
      </c>
      <c r="O473">
        <v>3</v>
      </c>
      <c r="P473">
        <v>33</v>
      </c>
      <c r="Q473">
        <v>85.5</v>
      </c>
      <c r="R473">
        <v>305.83</v>
      </c>
      <c r="S473">
        <v>0.60357000000000005</v>
      </c>
      <c r="T473">
        <v>3</v>
      </c>
      <c r="U473">
        <v>138</v>
      </c>
      <c r="V473">
        <v>1811.94</v>
      </c>
      <c r="W473" s="1" t="s">
        <v>1262</v>
      </c>
      <c r="X473" s="1" t="s">
        <v>1262</v>
      </c>
      <c r="Y473">
        <v>3.5294117647058823E-2</v>
      </c>
      <c r="Z473">
        <v>2.5623885918003562E-3</v>
      </c>
      <c r="AA473" s="1" t="s">
        <v>1263</v>
      </c>
      <c r="AB473">
        <v>0</v>
      </c>
      <c r="AC473">
        <v>0</v>
      </c>
      <c r="AD473" s="1">
        <v>22.376811594202898</v>
      </c>
      <c r="AE473">
        <v>2</v>
      </c>
      <c r="AF473">
        <f>COUNTIFS(tblStock[sku],tblSKU[[#This Row],[sku]])</f>
        <v>1</v>
      </c>
      <c r="AG473" cm="1">
        <f t="array" ref="AG473">SUM(SUMIFS(tblStock[qty_units],tblStock[sku],tblSKU[[#This Row],[sku]],tblStock[stock_type],{"Saleable","FOC"}))</f>
        <v>772</v>
      </c>
      <c r="AH473" s="3">
        <f>SUMIFS(tblStock[value_nzd],tblStock[sku],tblSKU[[#This Row],[sku]])</f>
        <v>10136.36</v>
      </c>
      <c r="AI473" s="4">
        <f>SUMIFS(tblStock[cbm],tblStock[sku],tblSKU[[#This Row],[sku]])</f>
        <v>0.14708208333333334</v>
      </c>
      <c r="AJ473" s="1">
        <f>SUMIFS(tblStock[positions],tblStock[sku],tblSKU[[#This Row],[sku]])</f>
        <v>0</v>
      </c>
      <c r="AK473" s="3">
        <f>SUMIFS(tblStock[value_nzd],tblStock[sku],tblSKU[[#This Row],[sku]],tblStock[stock_type],"Expired")</f>
        <v>0</v>
      </c>
      <c r="AL473" s="3" cm="1">
        <f t="array" ref="AL473">SUM(SUMIFS(tblStock[value_nzd],tblStock[sku],tblSKU[[#This Row],[sku]],tblStock[stock_type],{"Saleable","FOC"},tblStock[expiry_date],"&lt;"&amp;EDATE(SnapshotDate,6)))</f>
        <v>0</v>
      </c>
    </row>
    <row r="474" spans="1:38">
      <c r="A474" s="1" t="s">
        <v>1005</v>
      </c>
      <c r="B474" s="1" t="s">
        <v>1006</v>
      </c>
      <c r="C474" s="1" t="s">
        <v>48</v>
      </c>
      <c r="D474" s="1" t="s">
        <v>37</v>
      </c>
      <c r="E474" s="1" t="s">
        <v>955</v>
      </c>
      <c r="F474" s="1" t="s">
        <v>39</v>
      </c>
      <c r="G474">
        <v>48</v>
      </c>
      <c r="H474">
        <v>40.200000000000003</v>
      </c>
      <c r="I474">
        <v>32.200000000000003</v>
      </c>
      <c r="J474">
        <v>23.6</v>
      </c>
      <c r="K474">
        <v>3.0550000000000001E-2</v>
      </c>
      <c r="L474">
        <v>14.02</v>
      </c>
      <c r="M474">
        <v>13.26</v>
      </c>
      <c r="N474">
        <v>6</v>
      </c>
      <c r="O474">
        <v>3</v>
      </c>
      <c r="P474">
        <v>18</v>
      </c>
      <c r="Q474">
        <v>85.800000000000011</v>
      </c>
      <c r="R474">
        <v>277.36</v>
      </c>
      <c r="S474">
        <v>0.54990000000000006</v>
      </c>
      <c r="T474">
        <v>6</v>
      </c>
      <c r="U474">
        <v>38</v>
      </c>
      <c r="V474">
        <v>503.88</v>
      </c>
      <c r="W474" s="1" t="s">
        <v>1262</v>
      </c>
      <c r="X474" s="1" t="s">
        <v>1262</v>
      </c>
      <c r="Y474">
        <v>7.0588235294117646E-2</v>
      </c>
      <c r="Z474">
        <v>2.5871459694989107E-3</v>
      </c>
      <c r="AA474" s="1" t="s">
        <v>1263</v>
      </c>
      <c r="AB474">
        <v>0</v>
      </c>
      <c r="AC474">
        <v>0</v>
      </c>
      <c r="AD474" s="1">
        <v>16.315789473684209</v>
      </c>
      <c r="AE474">
        <v>2</v>
      </c>
      <c r="AF474">
        <f>COUNTIFS(tblStock[sku],tblSKU[[#This Row],[sku]])</f>
        <v>1</v>
      </c>
      <c r="AG474" cm="1">
        <f t="array" ref="AG474">SUM(SUMIFS(tblStock[qty_units],tblStock[sku],tblSKU[[#This Row],[sku]],tblStock[stock_type],{"Saleable","FOC"}))</f>
        <v>155</v>
      </c>
      <c r="AH474" s="3">
        <f>SUMIFS(tblStock[value_nzd],tblStock[sku],tblSKU[[#This Row],[sku]])</f>
        <v>2055.3000000000002</v>
      </c>
      <c r="AI474" s="4">
        <f>SUMIFS(tblStock[cbm],tblStock[sku],tblSKU[[#This Row],[sku]])</f>
        <v>9.8651041666666661E-2</v>
      </c>
      <c r="AJ474" s="1">
        <f>SUMIFS(tblStock[positions],tblStock[sku],tblSKU[[#This Row],[sku]])</f>
        <v>0</v>
      </c>
      <c r="AK474" s="3">
        <f>SUMIFS(tblStock[value_nzd],tblStock[sku],tblSKU[[#This Row],[sku]],tblStock[stock_type],"Expired")</f>
        <v>0</v>
      </c>
      <c r="AL474" s="3" cm="1">
        <f t="array" ref="AL474">SUM(SUMIFS(tblStock[value_nzd],tblStock[sku],tblSKU[[#This Row],[sku]],tblStock[stock_type],{"Saleable","FOC"},tblStock[expiry_date],"&lt;"&amp;EDATE(SnapshotDate,6)))</f>
        <v>0</v>
      </c>
    </row>
    <row r="475" spans="1:38">
      <c r="A475" s="1" t="s">
        <v>1007</v>
      </c>
      <c r="B475" s="1" t="s">
        <v>1008</v>
      </c>
      <c r="C475" s="1" t="s">
        <v>577</v>
      </c>
      <c r="D475" s="1" t="s">
        <v>37</v>
      </c>
      <c r="E475" s="1" t="s">
        <v>955</v>
      </c>
      <c r="F475" s="1" t="s">
        <v>39</v>
      </c>
      <c r="G475">
        <v>144</v>
      </c>
      <c r="H475">
        <v>39.799999999999997</v>
      </c>
      <c r="I475">
        <v>25.8</v>
      </c>
      <c r="J475">
        <v>22.2</v>
      </c>
      <c r="K475">
        <v>2.2800000000000001E-2</v>
      </c>
      <c r="L475">
        <v>8.9</v>
      </c>
      <c r="M475">
        <v>13.77</v>
      </c>
      <c r="N475">
        <v>8</v>
      </c>
      <c r="O475">
        <v>4</v>
      </c>
      <c r="P475">
        <v>32</v>
      </c>
      <c r="Q475">
        <v>103.8</v>
      </c>
      <c r="R475">
        <v>309.8</v>
      </c>
      <c r="S475">
        <v>0.72960000000000003</v>
      </c>
      <c r="T475">
        <v>6</v>
      </c>
      <c r="U475">
        <v>117</v>
      </c>
      <c r="V475">
        <v>1611.09</v>
      </c>
      <c r="W475" s="1" t="s">
        <v>1262</v>
      </c>
      <c r="X475" s="1" t="s">
        <v>1262</v>
      </c>
      <c r="Y475">
        <v>7.0588235294117646E-2</v>
      </c>
      <c r="Z475">
        <v>1.4935661764705884E-3</v>
      </c>
      <c r="AA475" s="1" t="s">
        <v>1263</v>
      </c>
      <c r="AB475">
        <v>0</v>
      </c>
      <c r="AC475">
        <v>0</v>
      </c>
      <c r="AD475" s="1">
        <v>6.017094017094017</v>
      </c>
      <c r="AE475">
        <v>2</v>
      </c>
      <c r="AF475">
        <f>COUNTIFS(tblStock[sku],tblSKU[[#This Row],[sku]])</f>
        <v>1</v>
      </c>
      <c r="AG475" cm="1">
        <f t="array" ref="AG475">SUM(SUMIFS(tblStock[qty_units],tblStock[sku],tblSKU[[#This Row],[sku]],tblStock[stock_type],{"Saleable","FOC"}))</f>
        <v>176</v>
      </c>
      <c r="AH475" s="3">
        <f>SUMIFS(tblStock[value_nzd],tblStock[sku],tblSKU[[#This Row],[sku]])</f>
        <v>2423.52</v>
      </c>
      <c r="AI475" s="4">
        <f>SUMIFS(tblStock[cbm],tblStock[sku],tblSKU[[#This Row],[sku]])</f>
        <v>2.7866666666666672E-2</v>
      </c>
      <c r="AJ475" s="1">
        <f>SUMIFS(tblStock[positions],tblStock[sku],tblSKU[[#This Row],[sku]])</f>
        <v>0</v>
      </c>
      <c r="AK475" s="3">
        <f>SUMIFS(tblStock[value_nzd],tblStock[sku],tblSKU[[#This Row],[sku]],tblStock[stock_type],"Expired")</f>
        <v>0</v>
      </c>
      <c r="AL475" s="3" cm="1">
        <f t="array" ref="AL475">SUM(SUMIFS(tblStock[value_nzd],tblStock[sku],tblSKU[[#This Row],[sku]],tblStock[stock_type],{"Saleable","FOC"},tblStock[expiry_date],"&lt;"&amp;EDATE(SnapshotDate,6)))</f>
        <v>0</v>
      </c>
    </row>
    <row r="476" spans="1:38">
      <c r="A476" s="1" t="s">
        <v>1009</v>
      </c>
      <c r="B476" s="1" t="s">
        <v>1010</v>
      </c>
      <c r="C476" s="1" t="s">
        <v>577</v>
      </c>
      <c r="D476" s="1" t="s">
        <v>37</v>
      </c>
      <c r="E476" s="1" t="s">
        <v>955</v>
      </c>
      <c r="F476" s="1" t="s">
        <v>39</v>
      </c>
      <c r="G476">
        <v>72</v>
      </c>
      <c r="H476">
        <v>35.200000000000003</v>
      </c>
      <c r="I476">
        <v>26.8</v>
      </c>
      <c r="J476">
        <v>21.4</v>
      </c>
      <c r="K476">
        <v>2.019E-2</v>
      </c>
      <c r="L476">
        <v>6.35</v>
      </c>
      <c r="M476">
        <v>13.45</v>
      </c>
      <c r="N476">
        <v>9</v>
      </c>
      <c r="O476">
        <v>5</v>
      </c>
      <c r="P476">
        <v>45</v>
      </c>
      <c r="Q476">
        <v>122</v>
      </c>
      <c r="R476">
        <v>310.75</v>
      </c>
      <c r="S476">
        <v>0.90854999999999997</v>
      </c>
      <c r="T476">
        <v>17</v>
      </c>
      <c r="U476">
        <v>670</v>
      </c>
      <c r="V476">
        <v>9011.5</v>
      </c>
      <c r="W476" s="1" t="s">
        <v>1262</v>
      </c>
      <c r="X476" s="1" t="s">
        <v>1262</v>
      </c>
      <c r="Y476">
        <v>0.2</v>
      </c>
      <c r="Z476">
        <v>1.2164124909222949E-2</v>
      </c>
      <c r="AA476" s="1" t="s">
        <v>1263</v>
      </c>
      <c r="AB476">
        <v>0</v>
      </c>
      <c r="AC476">
        <v>0</v>
      </c>
      <c r="AD476" s="1">
        <v>6.9313432835820894</v>
      </c>
      <c r="AE476">
        <v>2</v>
      </c>
      <c r="AF476">
        <f>COUNTIFS(tblStock[sku],tblSKU[[#This Row],[sku]])</f>
        <v>3</v>
      </c>
      <c r="AG476" cm="1">
        <f t="array" ref="AG476">SUM(SUMIFS(tblStock[qty_units],tblStock[sku],tblSKU[[#This Row],[sku]],tblStock[stock_type],{"Saleable","FOC"}))</f>
        <v>1161</v>
      </c>
      <c r="AH476" s="3">
        <f>SUMIFS(tblStock[value_nzd],tblStock[sku],tblSKU[[#This Row],[sku]])</f>
        <v>16072.749999999998</v>
      </c>
      <c r="AI476" s="4">
        <f>SUMIFS(tblStock[cbm],tblStock[sku],tblSKU[[#This Row],[sku]])</f>
        <v>0.33509791666666672</v>
      </c>
      <c r="AJ476" s="1">
        <f>SUMIFS(tblStock[positions],tblStock[sku],tblSKU[[#This Row],[sku]])</f>
        <v>0</v>
      </c>
      <c r="AK476" s="3">
        <f>SUMIFS(tblStock[value_nzd],tblStock[sku],tblSKU[[#This Row],[sku]],tblStock[stock_type],"Expired")</f>
        <v>0</v>
      </c>
      <c r="AL476" s="3" cm="1">
        <f t="array" ref="AL476">SUM(SUMIFS(tblStock[value_nzd],tblStock[sku],tblSKU[[#This Row],[sku]],tblStock[stock_type],{"Saleable","FOC"},tblStock[expiry_date],"&lt;"&amp;EDATE(SnapshotDate,6)))</f>
        <v>0</v>
      </c>
    </row>
    <row r="477" spans="1:38">
      <c r="A477" s="1" t="s">
        <v>1011</v>
      </c>
      <c r="B477" s="1" t="s">
        <v>1012</v>
      </c>
      <c r="C477" s="1" t="s">
        <v>960</v>
      </c>
      <c r="D477" s="1" t="s">
        <v>37</v>
      </c>
      <c r="E477" s="1" t="s">
        <v>1013</v>
      </c>
      <c r="F477" s="1" t="s">
        <v>39</v>
      </c>
      <c r="G477">
        <v>200</v>
      </c>
      <c r="H477">
        <v>33.6</v>
      </c>
      <c r="I477">
        <v>24.7</v>
      </c>
      <c r="J477">
        <v>12.1</v>
      </c>
      <c r="K477">
        <v>1.004E-2</v>
      </c>
      <c r="L477">
        <v>1.77</v>
      </c>
      <c r="M477">
        <v>13.81</v>
      </c>
      <c r="N477">
        <v>12</v>
      </c>
      <c r="O477">
        <v>7</v>
      </c>
      <c r="P477">
        <v>84</v>
      </c>
      <c r="Q477">
        <v>99.7</v>
      </c>
      <c r="R477">
        <v>173.68</v>
      </c>
      <c r="S477">
        <v>0.84336</v>
      </c>
      <c r="T477">
        <v>8</v>
      </c>
      <c r="U477">
        <v>1487</v>
      </c>
      <c r="V477">
        <v>20535.47</v>
      </c>
      <c r="W477" s="1" t="s">
        <v>1262</v>
      </c>
      <c r="X477" s="1" t="s">
        <v>1262</v>
      </c>
      <c r="Y477">
        <v>9.4117647058823528E-2</v>
      </c>
      <c r="Z477">
        <v>5.2065826330532214E-3</v>
      </c>
      <c r="AA477" s="1" t="s">
        <v>1263</v>
      </c>
      <c r="AB477">
        <v>0</v>
      </c>
      <c r="AC477">
        <v>0</v>
      </c>
      <c r="AD477" s="1">
        <v>3.4700739744451918</v>
      </c>
      <c r="AE477">
        <v>2</v>
      </c>
      <c r="AF477">
        <f>COUNTIFS(tblStock[sku],tblSKU[[#This Row],[sku]])</f>
        <v>2</v>
      </c>
      <c r="AG477" cm="1">
        <f t="array" ref="AG477">SUM(SUMIFS(tblStock[qty_units],tblStock[sku],tblSKU[[#This Row],[sku]],tblStock[stock_type],{"Saleable","FOC"}))</f>
        <v>1290</v>
      </c>
      <c r="AH477" s="3">
        <f>SUMIFS(tblStock[value_nzd],tblStock[sku],tblSKU[[#This Row],[sku]])</f>
        <v>17814.900000000001</v>
      </c>
      <c r="AI477" s="4">
        <f>SUMIFS(tblStock[cbm],tblStock[sku],tblSKU[[#This Row],[sku]])</f>
        <v>6.475800000000001E-2</v>
      </c>
      <c r="AJ477" s="1">
        <f>SUMIFS(tblStock[positions],tblStock[sku],tblSKU[[#This Row],[sku]])</f>
        <v>0</v>
      </c>
      <c r="AK477" s="3">
        <f>SUMIFS(tblStock[value_nzd],tblStock[sku],tblSKU[[#This Row],[sku]],tblStock[stock_type],"Expired")</f>
        <v>0</v>
      </c>
      <c r="AL477" s="3" cm="1">
        <f t="array" ref="AL477">SUM(SUMIFS(tblStock[value_nzd],tblStock[sku],tblSKU[[#This Row],[sku]],tblStock[stock_type],{"Saleable","FOC"},tblStock[expiry_date],"&lt;"&amp;EDATE(SnapshotDate,6)))</f>
        <v>0</v>
      </c>
    </row>
    <row r="478" spans="1:38">
      <c r="A478" s="1" t="s">
        <v>1014</v>
      </c>
      <c r="B478" s="1" t="s">
        <v>1015</v>
      </c>
      <c r="C478" s="1" t="s">
        <v>960</v>
      </c>
      <c r="D478" s="1" t="s">
        <v>37</v>
      </c>
      <c r="E478" s="1" t="s">
        <v>1013</v>
      </c>
      <c r="F478" s="1" t="s">
        <v>39</v>
      </c>
      <c r="G478">
        <v>200</v>
      </c>
      <c r="H478">
        <v>34</v>
      </c>
      <c r="I478">
        <v>20.3</v>
      </c>
      <c r="J478">
        <v>19.600000000000001</v>
      </c>
      <c r="K478">
        <v>1.353E-2</v>
      </c>
      <c r="L478">
        <v>2.4700000000000002</v>
      </c>
      <c r="M478">
        <v>16.53</v>
      </c>
      <c r="N478">
        <v>12</v>
      </c>
      <c r="O478">
        <v>4</v>
      </c>
      <c r="P478">
        <v>48</v>
      </c>
      <c r="Q478">
        <v>93.4</v>
      </c>
      <c r="R478">
        <v>143.56</v>
      </c>
      <c r="S478">
        <v>0.64944000000000002</v>
      </c>
      <c r="T478">
        <v>10</v>
      </c>
      <c r="U478">
        <v>374</v>
      </c>
      <c r="V478">
        <v>6182.22</v>
      </c>
      <c r="W478" s="1" t="s">
        <v>1262</v>
      </c>
      <c r="X478" s="1" t="s">
        <v>1262</v>
      </c>
      <c r="Y478">
        <v>0.11764705882352941</v>
      </c>
      <c r="Z478">
        <v>2.2916666666666671E-3</v>
      </c>
      <c r="AA478" s="1" t="s">
        <v>1263</v>
      </c>
      <c r="AB478">
        <v>0</v>
      </c>
      <c r="AC478">
        <v>0</v>
      </c>
      <c r="AD478" s="1">
        <v>11.668449197860962</v>
      </c>
      <c r="AE478">
        <v>2</v>
      </c>
      <c r="AF478">
        <f>COUNTIFS(tblStock[sku],tblSKU[[#This Row],[sku]])</f>
        <v>6</v>
      </c>
      <c r="AG478" cm="1">
        <f t="array" ref="AG478">SUM(SUMIFS(tblStock[qty_units],tblStock[sku],tblSKU[[#This Row],[sku]],tblStock[stock_type],{"Saleable","FOC"}))</f>
        <v>1091</v>
      </c>
      <c r="AH478" s="3">
        <f>SUMIFS(tblStock[value_nzd],tblStock[sku],tblSKU[[#This Row],[sku]])</f>
        <v>19736.82</v>
      </c>
      <c r="AI478" s="4">
        <f>SUMIFS(tblStock[cbm],tblStock[sku],tblSKU[[#This Row],[sku]])</f>
        <v>8.0774100000000001E-2</v>
      </c>
      <c r="AJ478" s="1">
        <f>SUMIFS(tblStock[positions],tblStock[sku],tblSKU[[#This Row],[sku]])</f>
        <v>0</v>
      </c>
      <c r="AK478" s="3">
        <f>SUMIFS(tblStock[value_nzd],tblStock[sku],tblSKU[[#This Row],[sku]],tblStock[stock_type],"Expired")</f>
        <v>1371.99</v>
      </c>
      <c r="AL478" s="3" cm="1">
        <f t="array" ref="AL478">SUM(SUMIFS(tblStock[value_nzd],tblStock[sku],tblSKU[[#This Row],[sku]],tblStock[stock_type],{"Saleable","FOC"},tblStock[expiry_date],"&lt;"&amp;EDATE(SnapshotDate,6)))</f>
        <v>12777.69</v>
      </c>
    </row>
    <row r="479" spans="1:38">
      <c r="A479" s="1" t="s">
        <v>1016</v>
      </c>
      <c r="B479" s="1" t="s">
        <v>1017</v>
      </c>
      <c r="C479" s="1" t="s">
        <v>960</v>
      </c>
      <c r="D479" s="1" t="s">
        <v>37</v>
      </c>
      <c r="E479" s="1" t="s">
        <v>1013</v>
      </c>
      <c r="F479" s="1" t="s">
        <v>39</v>
      </c>
      <c r="G479">
        <v>300</v>
      </c>
      <c r="H479">
        <v>37</v>
      </c>
      <c r="I479">
        <v>25.3</v>
      </c>
      <c r="J479">
        <v>14.5</v>
      </c>
      <c r="K479">
        <v>1.357E-2</v>
      </c>
      <c r="L479">
        <v>3.52</v>
      </c>
      <c r="M479">
        <v>26.7</v>
      </c>
      <c r="N479">
        <v>7</v>
      </c>
      <c r="O479">
        <v>6</v>
      </c>
      <c r="P479">
        <v>42</v>
      </c>
      <c r="Q479">
        <v>102</v>
      </c>
      <c r="R479">
        <v>172.84</v>
      </c>
      <c r="S479">
        <v>0.56994</v>
      </c>
      <c r="T479">
        <v>13</v>
      </c>
      <c r="U479">
        <v>3374</v>
      </c>
      <c r="V479">
        <v>90085.8</v>
      </c>
      <c r="W479" s="1" t="s">
        <v>1262</v>
      </c>
      <c r="X479" s="1" t="s">
        <v>1258</v>
      </c>
      <c r="Y479">
        <v>0.15294117647058825</v>
      </c>
      <c r="Z479">
        <v>1.5751633986928103E-2</v>
      </c>
      <c r="AA479" s="1" t="s">
        <v>1263</v>
      </c>
      <c r="AB479">
        <v>0</v>
      </c>
      <c r="AC479">
        <v>0</v>
      </c>
      <c r="AD479" s="1">
        <v>14.518079430942501</v>
      </c>
      <c r="AE479">
        <v>4</v>
      </c>
      <c r="AF479">
        <f>COUNTIFS(tblStock[sku],tblSKU[[#This Row],[sku]])</f>
        <v>2</v>
      </c>
      <c r="AG479" cm="1">
        <f t="array" ref="AG479">SUM(SUMIFS(tblStock[qty_units],tblStock[sku],tblSKU[[#This Row],[sku]],tblStock[stock_type],{"Saleable","FOC"}))</f>
        <v>12246</v>
      </c>
      <c r="AH479" s="3">
        <f>SUMIFS(tblStock[value_nzd],tblStock[sku],tblSKU[[#This Row],[sku]])</f>
        <v>326968.19999999995</v>
      </c>
      <c r="AI479" s="4">
        <f>SUMIFS(tblStock[cbm],tblStock[sku],tblSKU[[#This Row],[sku]])</f>
        <v>0.55392740000000007</v>
      </c>
      <c r="AJ479" s="1">
        <f>SUMIFS(tblStock[positions],tblStock[sku],tblSKU[[#This Row],[sku]])</f>
        <v>1</v>
      </c>
      <c r="AK479" s="3">
        <f>SUMIFS(tblStock[value_nzd],tblStock[sku],tblSKU[[#This Row],[sku]],tblStock[stock_type],"Expired")</f>
        <v>0</v>
      </c>
      <c r="AL479" s="3" cm="1">
        <f t="array" ref="AL479">SUM(SUMIFS(tblStock[value_nzd],tblStock[sku],tblSKU[[#This Row],[sku]],tblStock[stock_type],{"Saleable","FOC"},tblStock[expiry_date],"&lt;"&amp;EDATE(SnapshotDate,6)))</f>
        <v>325019.09999999998</v>
      </c>
    </row>
    <row r="480" spans="1:38">
      <c r="A480" s="1" t="s">
        <v>1018</v>
      </c>
      <c r="B480" s="1" t="s">
        <v>1019</v>
      </c>
      <c r="C480" s="1" t="s">
        <v>960</v>
      </c>
      <c r="D480" s="1" t="s">
        <v>37</v>
      </c>
      <c r="E480" s="1" t="s">
        <v>1013</v>
      </c>
      <c r="F480" s="1" t="s">
        <v>39</v>
      </c>
      <c r="G480">
        <v>300</v>
      </c>
      <c r="H480">
        <v>35.200000000000003</v>
      </c>
      <c r="I480">
        <v>26.8</v>
      </c>
      <c r="J480">
        <v>13.9</v>
      </c>
      <c r="K480">
        <v>1.311E-2</v>
      </c>
      <c r="L480">
        <v>2.61</v>
      </c>
      <c r="M480">
        <v>6.96</v>
      </c>
      <c r="N480">
        <v>9</v>
      </c>
      <c r="O480">
        <v>9</v>
      </c>
      <c r="P480">
        <v>81</v>
      </c>
      <c r="Q480">
        <v>140.10000000000002</v>
      </c>
      <c r="R480">
        <v>236.41</v>
      </c>
      <c r="S480">
        <v>1.0619099999999999</v>
      </c>
      <c r="T480">
        <v>19</v>
      </c>
      <c r="U480">
        <v>1524</v>
      </c>
      <c r="V480">
        <v>10607.039999999999</v>
      </c>
      <c r="W480" s="1" t="s">
        <v>1262</v>
      </c>
      <c r="X480" s="1" t="s">
        <v>1262</v>
      </c>
      <c r="Y480">
        <v>0.22352941176470589</v>
      </c>
      <c r="Z480">
        <v>3.6891793754538853E-3</v>
      </c>
      <c r="AA480" s="1" t="s">
        <v>1263</v>
      </c>
      <c r="AB480">
        <v>0</v>
      </c>
      <c r="AC480">
        <v>0</v>
      </c>
      <c r="AD480" s="1">
        <v>6.666666666666667</v>
      </c>
      <c r="AE480">
        <v>2</v>
      </c>
      <c r="AF480">
        <f>COUNTIFS(tblStock[sku],tblSKU[[#This Row],[sku]])</f>
        <v>3</v>
      </c>
      <c r="AG480" cm="1">
        <f t="array" ref="AG480">SUM(SUMIFS(tblStock[qty_units],tblStock[sku],tblSKU[[#This Row],[sku]],tblStock[stock_type],{"Saleable","FOC"}))</f>
        <v>2540</v>
      </c>
      <c r="AH480" s="3">
        <f>SUMIFS(tblStock[value_nzd],tblStock[sku],tblSKU[[#This Row],[sku]])</f>
        <v>17678.400000000001</v>
      </c>
      <c r="AI480" s="4">
        <f>SUMIFS(tblStock[cbm],tblStock[sku],tblSKU[[#This Row],[sku]])</f>
        <v>0.110998</v>
      </c>
      <c r="AJ480" s="1">
        <f>SUMIFS(tblStock[positions],tblStock[sku],tblSKU[[#This Row],[sku]])</f>
        <v>0</v>
      </c>
      <c r="AK480" s="3">
        <f>SUMIFS(tblStock[value_nzd],tblStock[sku],tblSKU[[#This Row],[sku]],tblStock[stock_type],"Expired")</f>
        <v>0</v>
      </c>
      <c r="AL480" s="3" cm="1">
        <f t="array" ref="AL480">SUM(SUMIFS(tblStock[value_nzd],tblStock[sku],tblSKU[[#This Row],[sku]],tblStock[stock_type],{"Saleable","FOC"},tblStock[expiry_date],"&lt;"&amp;EDATE(SnapshotDate,6)))</f>
        <v>0</v>
      </c>
    </row>
    <row r="481" spans="1:38">
      <c r="A481" s="1" t="s">
        <v>1020</v>
      </c>
      <c r="B481" s="1" t="s">
        <v>1021</v>
      </c>
      <c r="C481" s="1" t="s">
        <v>52</v>
      </c>
      <c r="D481" s="1" t="s">
        <v>37</v>
      </c>
      <c r="E481" s="1" t="s">
        <v>1013</v>
      </c>
      <c r="F481" s="1" t="s">
        <v>39</v>
      </c>
      <c r="G481">
        <v>300</v>
      </c>
      <c r="H481">
        <v>25.3</v>
      </c>
      <c r="I481">
        <v>21.6</v>
      </c>
      <c r="J481">
        <v>13.6</v>
      </c>
      <c r="K481">
        <v>7.43E-3</v>
      </c>
      <c r="L481">
        <v>1.25</v>
      </c>
      <c r="M481">
        <v>17.71</v>
      </c>
      <c r="N481">
        <v>16</v>
      </c>
      <c r="O481">
        <v>11</v>
      </c>
      <c r="P481">
        <v>176</v>
      </c>
      <c r="Q481">
        <v>164.6</v>
      </c>
      <c r="R481">
        <v>245</v>
      </c>
      <c r="S481">
        <v>1.30768</v>
      </c>
      <c r="T481">
        <v>26</v>
      </c>
      <c r="U481">
        <v>4353</v>
      </c>
      <c r="V481">
        <v>77091.63</v>
      </c>
      <c r="W481" s="1" t="s">
        <v>1258</v>
      </c>
      <c r="X481" s="1" t="s">
        <v>1258</v>
      </c>
      <c r="Y481">
        <v>0.30588235294117649</v>
      </c>
      <c r="Z481">
        <v>4.8495989304812833E-3</v>
      </c>
      <c r="AA481" s="1" t="s">
        <v>1259</v>
      </c>
      <c r="AB481">
        <v>0</v>
      </c>
      <c r="AC481">
        <v>1</v>
      </c>
      <c r="AD481" s="1">
        <v>6.3854812772800367</v>
      </c>
      <c r="AE481">
        <v>4</v>
      </c>
      <c r="AF481">
        <f>COUNTIFS(tblStock[sku],tblSKU[[#This Row],[sku]])</f>
        <v>2</v>
      </c>
      <c r="AG481" cm="1">
        <f t="array" ref="AG481">SUM(SUMIFS(tblStock[qty_units],tblStock[sku],tblSKU[[#This Row],[sku]],tblStock[stock_type],{"Saleable","FOC"}))</f>
        <v>6949</v>
      </c>
      <c r="AH481" s="3">
        <f>SUMIFS(tblStock[value_nzd],tblStock[sku],tblSKU[[#This Row],[sku]])</f>
        <v>125510.77</v>
      </c>
      <c r="AI481" s="4">
        <f>SUMIFS(tblStock[cbm],tblStock[sku],tblSKU[[#This Row],[sku]])</f>
        <v>0.17552136666666668</v>
      </c>
      <c r="AJ481" s="1">
        <f>SUMIFS(tblStock[positions],tblStock[sku],tblSKU[[#This Row],[sku]])</f>
        <v>0</v>
      </c>
      <c r="AK481" s="3">
        <f>SUMIFS(tblStock[value_nzd],tblStock[sku],tblSKU[[#This Row],[sku]],tblStock[stock_type],"Expired")</f>
        <v>0</v>
      </c>
      <c r="AL481" s="3" cm="1">
        <f t="array" ref="AL481">SUM(SUMIFS(tblStock[value_nzd],tblStock[sku],tblSKU[[#This Row],[sku]],tblStock[stock_type],{"Saleable","FOC"},tblStock[expiry_date],"&lt;"&amp;EDATE(SnapshotDate,6)))</f>
        <v>0</v>
      </c>
    </row>
    <row r="482" spans="1:38">
      <c r="A482" s="1" t="s">
        <v>1022</v>
      </c>
      <c r="B482" s="1" t="s">
        <v>1023</v>
      </c>
      <c r="C482" s="1" t="s">
        <v>960</v>
      </c>
      <c r="D482" s="1" t="s">
        <v>37</v>
      </c>
      <c r="E482" s="1" t="s">
        <v>1013</v>
      </c>
      <c r="F482" s="1" t="s">
        <v>39</v>
      </c>
      <c r="G482">
        <v>200</v>
      </c>
      <c r="H482">
        <v>38.1</v>
      </c>
      <c r="I482">
        <v>21.6</v>
      </c>
      <c r="J482">
        <v>10.1</v>
      </c>
      <c r="K482">
        <v>8.3099999999999997E-3</v>
      </c>
      <c r="L482">
        <v>2.12</v>
      </c>
      <c r="M482">
        <v>20.420000000000002</v>
      </c>
      <c r="N482">
        <v>12</v>
      </c>
      <c r="O482">
        <v>12</v>
      </c>
      <c r="P482">
        <v>144</v>
      </c>
      <c r="Q482">
        <v>136.19999999999999</v>
      </c>
      <c r="R482">
        <v>330.28000000000003</v>
      </c>
      <c r="S482">
        <v>1.1966399999999999</v>
      </c>
      <c r="T482">
        <v>6</v>
      </c>
      <c r="U482">
        <v>123</v>
      </c>
      <c r="V482">
        <v>2511.6600000000003</v>
      </c>
      <c r="W482" s="1" t="s">
        <v>1262</v>
      </c>
      <c r="X482" s="1" t="s">
        <v>1262</v>
      </c>
      <c r="Y482">
        <v>7.0588235294117646E-2</v>
      </c>
      <c r="Z482">
        <v>2.5122549019607844E-4</v>
      </c>
      <c r="AA482" s="1" t="s">
        <v>1263</v>
      </c>
      <c r="AB482">
        <v>0</v>
      </c>
      <c r="AC482">
        <v>0</v>
      </c>
      <c r="AD482" s="1">
        <v>8.7479674796747968</v>
      </c>
      <c r="AE482">
        <v>2</v>
      </c>
      <c r="AF482">
        <f>COUNTIFS(tblStock[sku],tblSKU[[#This Row],[sku]])</f>
        <v>2</v>
      </c>
      <c r="AG482" cm="1">
        <f t="array" ref="AG482">SUM(SUMIFS(tblStock[qty_units],tblStock[sku],tblSKU[[#This Row],[sku]],tblStock[stock_type],{"Saleable","FOC"}))</f>
        <v>269</v>
      </c>
      <c r="AH482" s="3">
        <f>SUMIFS(tblStock[value_nzd],tblStock[sku],tblSKU[[#This Row],[sku]])</f>
        <v>5492.9800000000005</v>
      </c>
      <c r="AI482" s="4">
        <f>SUMIFS(tblStock[cbm],tblStock[sku],tblSKU[[#This Row],[sku]])</f>
        <v>1.117695E-2</v>
      </c>
      <c r="AJ482" s="1">
        <f>SUMIFS(tblStock[positions],tblStock[sku],tblSKU[[#This Row],[sku]])</f>
        <v>0</v>
      </c>
      <c r="AK482" s="3">
        <f>SUMIFS(tblStock[value_nzd],tblStock[sku],tblSKU[[#This Row],[sku]],tblStock[stock_type],"Expired")</f>
        <v>0</v>
      </c>
      <c r="AL482" s="3" cm="1">
        <f t="array" ref="AL482">SUM(SUMIFS(tblStock[value_nzd],tblStock[sku],tblSKU[[#This Row],[sku]],tblStock[stock_type],{"Saleable","FOC"},tblStock[expiry_date],"&lt;"&amp;EDATE(SnapshotDate,6)))</f>
        <v>449.24</v>
      </c>
    </row>
    <row r="483" spans="1:38">
      <c r="A483" s="1" t="s">
        <v>1024</v>
      </c>
      <c r="B483" s="1" t="s">
        <v>1025</v>
      </c>
      <c r="C483" s="1" t="s">
        <v>960</v>
      </c>
      <c r="D483" s="1" t="s">
        <v>37</v>
      </c>
      <c r="E483" s="1" t="s">
        <v>1013</v>
      </c>
      <c r="F483" s="1" t="s">
        <v>39</v>
      </c>
      <c r="G483">
        <v>200</v>
      </c>
      <c r="H483">
        <v>25.9</v>
      </c>
      <c r="I483">
        <v>27.1</v>
      </c>
      <c r="J483">
        <v>17.3</v>
      </c>
      <c r="K483">
        <v>1.214E-2</v>
      </c>
      <c r="L483">
        <v>3.31</v>
      </c>
      <c r="M483">
        <v>20.93</v>
      </c>
      <c r="N483">
        <v>12</v>
      </c>
      <c r="O483">
        <v>8</v>
      </c>
      <c r="P483">
        <v>96</v>
      </c>
      <c r="Q483">
        <v>153.4</v>
      </c>
      <c r="R483">
        <v>342.76</v>
      </c>
      <c r="S483">
        <v>1.16544</v>
      </c>
      <c r="T483">
        <v>11</v>
      </c>
      <c r="U483">
        <v>212</v>
      </c>
      <c r="V483">
        <v>4437.16</v>
      </c>
      <c r="W483" s="1" t="s">
        <v>1262</v>
      </c>
      <c r="X483" s="1" t="s">
        <v>1262</v>
      </c>
      <c r="Y483">
        <v>0.12941176470588237</v>
      </c>
      <c r="Z483">
        <v>6.4950980392156868E-4</v>
      </c>
      <c r="AA483" s="1" t="s">
        <v>1263</v>
      </c>
      <c r="AB483">
        <v>0</v>
      </c>
      <c r="AC483">
        <v>0</v>
      </c>
      <c r="AD483" s="1">
        <v>19.566037735849058</v>
      </c>
      <c r="AE483">
        <v>2</v>
      </c>
      <c r="AF483">
        <f>COUNTIFS(tblStock[sku],tblSKU[[#This Row],[sku]])</f>
        <v>1</v>
      </c>
      <c r="AG483" cm="1">
        <f t="array" ref="AG483">SUM(SUMIFS(tblStock[qty_units],tblStock[sku],tblSKU[[#This Row],[sku]],tblStock[stock_type],{"Saleable","FOC"}))</f>
        <v>1037</v>
      </c>
      <c r="AH483" s="3">
        <f>SUMIFS(tblStock[value_nzd],tblStock[sku],tblSKU[[#This Row],[sku]])</f>
        <v>21704.41</v>
      </c>
      <c r="AI483" s="4">
        <f>SUMIFS(tblStock[cbm],tblStock[sku],tblSKU[[#This Row],[sku]])</f>
        <v>6.2945899999999999E-2</v>
      </c>
      <c r="AJ483" s="1">
        <f>SUMIFS(tblStock[positions],tblStock[sku],tblSKU[[#This Row],[sku]])</f>
        <v>0</v>
      </c>
      <c r="AK483" s="3">
        <f>SUMIFS(tblStock[value_nzd],tblStock[sku],tblSKU[[#This Row],[sku]],tblStock[stock_type],"Expired")</f>
        <v>0</v>
      </c>
      <c r="AL483" s="3" cm="1">
        <f t="array" ref="AL483">SUM(SUMIFS(tblStock[value_nzd],tblStock[sku],tblSKU[[#This Row],[sku]],tblStock[stock_type],{"Saleable","FOC"},tblStock[expiry_date],"&lt;"&amp;EDATE(SnapshotDate,6)))</f>
        <v>0</v>
      </c>
    </row>
    <row r="484" spans="1:38">
      <c r="A484" s="1" t="s">
        <v>1026</v>
      </c>
      <c r="B484" s="1" t="s">
        <v>1027</v>
      </c>
      <c r="C484" s="1" t="s">
        <v>960</v>
      </c>
      <c r="D484" s="1" t="s">
        <v>37</v>
      </c>
      <c r="E484" s="1" t="s">
        <v>1013</v>
      </c>
      <c r="F484" s="1" t="s">
        <v>39</v>
      </c>
      <c r="G484">
        <v>100</v>
      </c>
      <c r="H484">
        <v>25.9</v>
      </c>
      <c r="I484">
        <v>28.1</v>
      </c>
      <c r="J484">
        <v>15.6</v>
      </c>
      <c r="K484">
        <v>1.1350000000000001E-2</v>
      </c>
      <c r="L484">
        <v>2.79</v>
      </c>
      <c r="M484">
        <v>14.46</v>
      </c>
      <c r="N484">
        <v>12</v>
      </c>
      <c r="O484">
        <v>5</v>
      </c>
      <c r="P484">
        <v>60</v>
      </c>
      <c r="Q484">
        <v>93</v>
      </c>
      <c r="R484">
        <v>192.4</v>
      </c>
      <c r="S484">
        <v>0.68100000000000005</v>
      </c>
      <c r="T484">
        <v>42</v>
      </c>
      <c r="U484">
        <v>3308</v>
      </c>
      <c r="V484">
        <v>47833.68</v>
      </c>
      <c r="W484" s="1" t="s">
        <v>1258</v>
      </c>
      <c r="X484" s="1" t="s">
        <v>1258</v>
      </c>
      <c r="Y484">
        <v>0.49411764705882355</v>
      </c>
      <c r="Z484">
        <v>3.2431372549019608E-2</v>
      </c>
      <c r="AA484" s="1" t="s">
        <v>1259</v>
      </c>
      <c r="AB484">
        <v>0</v>
      </c>
      <c r="AC484">
        <v>1</v>
      </c>
      <c r="AD484" s="1">
        <v>5.5961305925030231</v>
      </c>
      <c r="AE484">
        <v>4</v>
      </c>
      <c r="AF484">
        <f>COUNTIFS(tblStock[sku],tblSKU[[#This Row],[sku]])</f>
        <v>1</v>
      </c>
      <c r="AG484" cm="1">
        <f t="array" ref="AG484">SUM(SUMIFS(tblStock[qty_units],tblStock[sku],tblSKU[[#This Row],[sku]],tblStock[stock_type],{"Saleable","FOC"}))</f>
        <v>4628</v>
      </c>
      <c r="AH484" s="3">
        <f>SUMIFS(tblStock[value_nzd],tblStock[sku],tblSKU[[#This Row],[sku]])</f>
        <v>66920.88</v>
      </c>
      <c r="AI484" s="4">
        <f>SUMIFS(tblStock[cbm],tblStock[sku],tblSKU[[#This Row],[sku]])</f>
        <v>0.52527800000000002</v>
      </c>
      <c r="AJ484" s="1">
        <f>SUMIFS(tblStock[positions],tblStock[sku],tblSKU[[#This Row],[sku]])</f>
        <v>1</v>
      </c>
      <c r="AK484" s="3">
        <f>SUMIFS(tblStock[value_nzd],tblStock[sku],tblSKU[[#This Row],[sku]],tblStock[stock_type],"Expired")</f>
        <v>0</v>
      </c>
      <c r="AL484" s="3" cm="1">
        <f t="array" ref="AL484">SUM(SUMIFS(tblStock[value_nzd],tblStock[sku],tblSKU[[#This Row],[sku]],tblStock[stock_type],{"Saleable","FOC"},tblStock[expiry_date],"&lt;"&amp;EDATE(SnapshotDate,6)))</f>
        <v>0</v>
      </c>
    </row>
    <row r="485" spans="1:38">
      <c r="A485" s="1" t="s">
        <v>1028</v>
      </c>
      <c r="B485" s="1" t="s">
        <v>1029</v>
      </c>
      <c r="C485" s="1" t="s">
        <v>960</v>
      </c>
      <c r="D485" s="1" t="s">
        <v>37</v>
      </c>
      <c r="E485" s="1" t="s">
        <v>1013</v>
      </c>
      <c r="F485" s="1" t="s">
        <v>39</v>
      </c>
      <c r="G485">
        <v>200</v>
      </c>
      <c r="H485">
        <v>36.9</v>
      </c>
      <c r="I485">
        <v>25.5</v>
      </c>
      <c r="J485">
        <v>17</v>
      </c>
      <c r="K485">
        <v>1.6E-2</v>
      </c>
      <c r="L485">
        <v>3.8</v>
      </c>
      <c r="M485">
        <v>14.05</v>
      </c>
      <c r="N485">
        <v>7</v>
      </c>
      <c r="O485">
        <v>7</v>
      </c>
      <c r="P485">
        <v>49</v>
      </c>
      <c r="Q485">
        <v>134</v>
      </c>
      <c r="R485">
        <v>211.2</v>
      </c>
      <c r="S485">
        <v>0.78400000000000003</v>
      </c>
      <c r="T485">
        <v>2</v>
      </c>
      <c r="U485">
        <v>75</v>
      </c>
      <c r="V485">
        <v>1053.75</v>
      </c>
      <c r="W485" s="1" t="s">
        <v>1262</v>
      </c>
      <c r="X485" s="1" t="s">
        <v>1262</v>
      </c>
      <c r="Y485">
        <v>2.3529411764705882E-2</v>
      </c>
      <c r="Z485">
        <v>4.5018007202881147E-4</v>
      </c>
      <c r="AA485" s="1" t="s">
        <v>1263</v>
      </c>
      <c r="AB485">
        <v>0</v>
      </c>
      <c r="AC485">
        <v>0</v>
      </c>
      <c r="AD485" s="1">
        <v>5.1733333333333329</v>
      </c>
      <c r="AE485">
        <v>2</v>
      </c>
      <c r="AF485">
        <f>COUNTIFS(tblStock[sku],tblSKU[[#This Row],[sku]])</f>
        <v>3</v>
      </c>
      <c r="AG485" cm="1">
        <f t="array" ref="AG485">SUM(SUMIFS(tblStock[qty_units],tblStock[sku],tblSKU[[#This Row],[sku]],tblStock[stock_type],{"Saleable","FOC"}))</f>
        <v>97</v>
      </c>
      <c r="AH485" s="3">
        <f>SUMIFS(tblStock[value_nzd],tblStock[sku],tblSKU[[#This Row],[sku]])</f>
        <v>1362.8500000000001</v>
      </c>
      <c r="AI485" s="4">
        <f>SUMIFS(tblStock[cbm],tblStock[sku],tblSKU[[#This Row],[sku]])</f>
        <v>7.7599999999999995E-3</v>
      </c>
      <c r="AJ485" s="1">
        <f>SUMIFS(tblStock[positions],tblStock[sku],tblSKU[[#This Row],[sku]])</f>
        <v>0</v>
      </c>
      <c r="AK485" s="3">
        <f>SUMIFS(tblStock[value_nzd],tblStock[sku],tblSKU[[#This Row],[sku]],tblStock[stock_type],"Expired")</f>
        <v>0</v>
      </c>
      <c r="AL485" s="3" cm="1">
        <f t="array" ref="AL485">SUM(SUMIFS(tblStock[value_nzd],tblStock[sku],tblSKU[[#This Row],[sku]],tblStock[stock_type],{"Saleable","FOC"},tblStock[expiry_date],"&lt;"&amp;EDATE(SnapshotDate,6)))</f>
        <v>0</v>
      </c>
    </row>
    <row r="486" spans="1:38">
      <c r="A486" s="1" t="s">
        <v>1030</v>
      </c>
      <c r="B486" s="1" t="s">
        <v>1031</v>
      </c>
      <c r="C486" s="1" t="s">
        <v>960</v>
      </c>
      <c r="D486" s="1" t="s">
        <v>37</v>
      </c>
      <c r="E486" s="1" t="s">
        <v>1013</v>
      </c>
      <c r="F486" s="1" t="s">
        <v>39</v>
      </c>
      <c r="G486">
        <v>100</v>
      </c>
      <c r="H486">
        <v>31.9</v>
      </c>
      <c r="I486">
        <v>20.399999999999999</v>
      </c>
      <c r="J486">
        <v>11.3</v>
      </c>
      <c r="K486">
        <v>7.3499999999999998E-3</v>
      </c>
      <c r="L486">
        <v>1.28</v>
      </c>
      <c r="M486">
        <v>22.4</v>
      </c>
      <c r="N486">
        <v>13</v>
      </c>
      <c r="O486">
        <v>13</v>
      </c>
      <c r="P486">
        <v>169</v>
      </c>
      <c r="Q486">
        <v>161.9</v>
      </c>
      <c r="R486">
        <v>241.32</v>
      </c>
      <c r="S486">
        <v>1.2421499999999999</v>
      </c>
      <c r="T486">
        <v>136</v>
      </c>
      <c r="U486">
        <v>7896</v>
      </c>
      <c r="V486">
        <v>176870.39999999999</v>
      </c>
      <c r="W486" s="1" t="s">
        <v>1264</v>
      </c>
      <c r="X486" s="1" t="s">
        <v>1264</v>
      </c>
      <c r="Y486">
        <v>1.6</v>
      </c>
      <c r="Z486">
        <v>2.7483466759484858E-2</v>
      </c>
      <c r="AA486" s="1" t="s">
        <v>1265</v>
      </c>
      <c r="AB486">
        <v>1</v>
      </c>
      <c r="AC486">
        <v>0</v>
      </c>
      <c r="AD486" s="1">
        <v>3.982776089159068</v>
      </c>
      <c r="AE486">
        <v>12</v>
      </c>
      <c r="AF486">
        <f>COUNTIFS(tblStock[sku],tblSKU[[#This Row],[sku]])</f>
        <v>2</v>
      </c>
      <c r="AG486" cm="1">
        <f t="array" ref="AG486">SUM(SUMIFS(tblStock[qty_units],tblStock[sku],tblSKU[[#This Row],[sku]],tblStock[stock_type],{"Saleable","FOC"}))</f>
        <v>7862</v>
      </c>
      <c r="AH486" s="3">
        <f>SUMIFS(tblStock[value_nzd],tblStock[sku],tblSKU[[#This Row],[sku]])</f>
        <v>176108.79999999999</v>
      </c>
      <c r="AI486" s="4">
        <f>SUMIFS(tblStock[cbm],tblStock[sku],tblSKU[[#This Row],[sku]])</f>
        <v>0.57785699999999995</v>
      </c>
      <c r="AJ486" s="1">
        <f>SUMIFS(tblStock[positions],tblStock[sku],tblSKU[[#This Row],[sku]])</f>
        <v>1</v>
      </c>
      <c r="AK486" s="3">
        <f>SUMIFS(tblStock[value_nzd],tblStock[sku],tblSKU[[#This Row],[sku]],tblStock[stock_type],"Expired")</f>
        <v>0</v>
      </c>
      <c r="AL486" s="3" cm="1">
        <f t="array" ref="AL486">SUM(SUMIFS(tblStock[value_nzd],tblStock[sku],tblSKU[[#This Row],[sku]],tblStock[stock_type],{"Saleable","FOC"},tblStock[expiry_date],"&lt;"&amp;EDATE(SnapshotDate,6)))</f>
        <v>155523.19999999998</v>
      </c>
    </row>
    <row r="487" spans="1:38">
      <c r="A487" s="1" t="s">
        <v>1032</v>
      </c>
      <c r="B487" s="1" t="s">
        <v>1033</v>
      </c>
      <c r="C487" s="1" t="s">
        <v>960</v>
      </c>
      <c r="D487" s="1" t="s">
        <v>37</v>
      </c>
      <c r="E487" s="1" t="s">
        <v>1013</v>
      </c>
      <c r="F487" s="1" t="s">
        <v>39</v>
      </c>
      <c r="G487">
        <v>100</v>
      </c>
      <c r="H487">
        <v>32.5</v>
      </c>
      <c r="I487">
        <v>29</v>
      </c>
      <c r="J487">
        <v>13.9</v>
      </c>
      <c r="K487">
        <v>1.3100000000000001E-2</v>
      </c>
      <c r="L487">
        <v>1.98</v>
      </c>
      <c r="M487">
        <v>16.36</v>
      </c>
      <c r="N487">
        <v>10</v>
      </c>
      <c r="O487">
        <v>10</v>
      </c>
      <c r="P487">
        <v>100</v>
      </c>
      <c r="Q487">
        <v>154</v>
      </c>
      <c r="R487">
        <v>223</v>
      </c>
      <c r="S487">
        <v>1.31</v>
      </c>
      <c r="T487">
        <v>61</v>
      </c>
      <c r="U487">
        <v>4806</v>
      </c>
      <c r="V487">
        <v>78626.16</v>
      </c>
      <c r="W487" s="1" t="s">
        <v>1258</v>
      </c>
      <c r="X487" s="1" t="s">
        <v>1258</v>
      </c>
      <c r="Y487">
        <v>0.71764705882352942</v>
      </c>
      <c r="Z487">
        <v>2.8270588235294117E-2</v>
      </c>
      <c r="AA487" s="1" t="s">
        <v>1259</v>
      </c>
      <c r="AB487">
        <v>0</v>
      </c>
      <c r="AC487">
        <v>1</v>
      </c>
      <c r="AD487" s="1">
        <v>15.042863087806907</v>
      </c>
      <c r="AE487">
        <v>4</v>
      </c>
      <c r="AF487">
        <f>COUNTIFS(tblStock[sku],tblSKU[[#This Row],[sku]])</f>
        <v>1</v>
      </c>
      <c r="AG487" cm="1">
        <f t="array" ref="AG487">SUM(SUMIFS(tblStock[qty_units],tblStock[sku],tblSKU[[#This Row],[sku]],tblStock[stock_type],{"Saleable","FOC"}))</f>
        <v>18074</v>
      </c>
      <c r="AH487" s="3">
        <f>SUMIFS(tblStock[value_nzd],tblStock[sku],tblSKU[[#This Row],[sku]])</f>
        <v>295690.64</v>
      </c>
      <c r="AI487" s="4">
        <f>SUMIFS(tblStock[cbm],tblStock[sku],tblSKU[[#This Row],[sku]])</f>
        <v>2.3676940000000002</v>
      </c>
      <c r="AJ487" s="1">
        <f>SUMIFS(tblStock[positions],tblStock[sku],tblSKU[[#This Row],[sku]])</f>
        <v>2</v>
      </c>
      <c r="AK487" s="3">
        <f>SUMIFS(tblStock[value_nzd],tblStock[sku],tblSKU[[#This Row],[sku]],tblStock[stock_type],"Expired")</f>
        <v>0</v>
      </c>
      <c r="AL487" s="3" cm="1">
        <f t="array" ref="AL487">SUM(SUMIFS(tblStock[value_nzd],tblStock[sku],tblSKU[[#This Row],[sku]],tblStock[stock_type],{"Saleable","FOC"},tblStock[expiry_date],"&lt;"&amp;EDATE(SnapshotDate,6)))</f>
        <v>0</v>
      </c>
    </row>
    <row r="488" spans="1:38">
      <c r="A488" s="1" t="s">
        <v>1034</v>
      </c>
      <c r="B488" s="1" t="s">
        <v>1035</v>
      </c>
      <c r="C488" s="1" t="s">
        <v>960</v>
      </c>
      <c r="D488" s="1" t="s">
        <v>37</v>
      </c>
      <c r="E488" s="1" t="s">
        <v>1013</v>
      </c>
      <c r="F488" s="1" t="s">
        <v>39</v>
      </c>
      <c r="G488">
        <v>100</v>
      </c>
      <c r="H488">
        <v>29.5</v>
      </c>
      <c r="I488">
        <v>24.2</v>
      </c>
      <c r="J488">
        <v>11.7</v>
      </c>
      <c r="K488">
        <v>8.3499999999999998E-3</v>
      </c>
      <c r="L488">
        <v>1.7</v>
      </c>
      <c r="M488">
        <v>10.66</v>
      </c>
      <c r="N488">
        <v>16</v>
      </c>
      <c r="O488">
        <v>5</v>
      </c>
      <c r="P488">
        <v>80</v>
      </c>
      <c r="Q488">
        <v>73.5</v>
      </c>
      <c r="R488">
        <v>161</v>
      </c>
      <c r="S488">
        <v>0.66799999999999993</v>
      </c>
      <c r="T488">
        <v>77</v>
      </c>
      <c r="U488">
        <v>5260</v>
      </c>
      <c r="V488">
        <v>56071.6</v>
      </c>
      <c r="W488" s="1" t="s">
        <v>1258</v>
      </c>
      <c r="X488" s="1" t="s">
        <v>1258</v>
      </c>
      <c r="Y488">
        <v>0.90588235294117647</v>
      </c>
      <c r="Z488">
        <v>3.8676470588235298E-2</v>
      </c>
      <c r="AA488" s="1" t="s">
        <v>1259</v>
      </c>
      <c r="AB488">
        <v>0</v>
      </c>
      <c r="AC488">
        <v>1</v>
      </c>
      <c r="AD488" s="1">
        <v>10.057034220532319</v>
      </c>
      <c r="AE488">
        <v>4</v>
      </c>
      <c r="AF488">
        <f>COUNTIFS(tblStock[sku],tblSKU[[#This Row],[sku]])</f>
        <v>2</v>
      </c>
      <c r="AG488" cm="1">
        <f t="array" ref="AG488">SUM(SUMIFS(tblStock[qty_units],tblStock[sku],tblSKU[[#This Row],[sku]],tblStock[stock_type],{"Saleable","FOC"}))</f>
        <v>13225</v>
      </c>
      <c r="AH488" s="3">
        <f>SUMIFS(tblStock[value_nzd],tblStock[sku],tblSKU[[#This Row],[sku]])</f>
        <v>140978.5</v>
      </c>
      <c r="AI488" s="4">
        <f>SUMIFS(tblStock[cbm],tblStock[sku],tblSKU[[#This Row],[sku]])</f>
        <v>1.1042874999999999</v>
      </c>
      <c r="AJ488" s="1">
        <f>SUMIFS(tblStock[positions],tblStock[sku],tblSKU[[#This Row],[sku]])</f>
        <v>2</v>
      </c>
      <c r="AK488" s="3">
        <f>SUMIFS(tblStock[value_nzd],tblStock[sku],tblSKU[[#This Row],[sku]],tblStock[stock_type],"Expired")</f>
        <v>0</v>
      </c>
      <c r="AL488" s="3" cm="1">
        <f t="array" ref="AL488">SUM(SUMIFS(tblStock[value_nzd],tblStock[sku],tblSKU[[#This Row],[sku]],tblStock[stock_type],{"Saleable","FOC"},tblStock[expiry_date],"&lt;"&amp;EDATE(SnapshotDate,6)))</f>
        <v>0</v>
      </c>
    </row>
    <row r="489" spans="1:38">
      <c r="A489" s="1" t="s">
        <v>1036</v>
      </c>
      <c r="B489" s="1" t="s">
        <v>1037</v>
      </c>
      <c r="C489" s="1" t="s">
        <v>960</v>
      </c>
      <c r="D489" s="1" t="s">
        <v>37</v>
      </c>
      <c r="E489" s="1" t="s">
        <v>1013</v>
      </c>
      <c r="F489" s="1" t="s">
        <v>39</v>
      </c>
      <c r="G489">
        <v>300</v>
      </c>
      <c r="H489">
        <v>35.5</v>
      </c>
      <c r="I489">
        <v>28.1</v>
      </c>
      <c r="J489">
        <v>13.8</v>
      </c>
      <c r="K489">
        <v>1.3769999999999999E-2</v>
      </c>
      <c r="L489">
        <v>3.77</v>
      </c>
      <c r="M489">
        <v>29.65</v>
      </c>
      <c r="N489">
        <v>9</v>
      </c>
      <c r="O489">
        <v>6</v>
      </c>
      <c r="P489">
        <v>54</v>
      </c>
      <c r="Q489">
        <v>97.800000000000011</v>
      </c>
      <c r="R489">
        <v>228.58</v>
      </c>
      <c r="S489">
        <v>0.74357999999999991</v>
      </c>
      <c r="T489">
        <v>8</v>
      </c>
      <c r="U489">
        <v>368</v>
      </c>
      <c r="V489">
        <v>10911.199999999999</v>
      </c>
      <c r="W489" s="1" t="s">
        <v>1262</v>
      </c>
      <c r="X489" s="1" t="s">
        <v>1262</v>
      </c>
      <c r="Y489">
        <v>9.4117647058823528E-2</v>
      </c>
      <c r="Z489">
        <v>1.3362381989832971E-3</v>
      </c>
      <c r="AA489" s="1" t="s">
        <v>1263</v>
      </c>
      <c r="AB489">
        <v>0</v>
      </c>
      <c r="AC489">
        <v>0</v>
      </c>
      <c r="AD489" s="1">
        <v>12.380434782608695</v>
      </c>
      <c r="AE489">
        <v>2</v>
      </c>
      <c r="AF489">
        <f>COUNTIFS(tblStock[sku],tblSKU[[#This Row],[sku]])</f>
        <v>4</v>
      </c>
      <c r="AG489" cm="1">
        <f t="array" ref="AG489">SUM(SUMIFS(tblStock[qty_units],tblStock[sku],tblSKU[[#This Row],[sku]],tblStock[stock_type],{"Saleable","FOC"}))</f>
        <v>1139</v>
      </c>
      <c r="AH489" s="3">
        <f>SUMIFS(tblStock[value_nzd],tblStock[sku],tblSKU[[#This Row],[sku]])</f>
        <v>33771.35</v>
      </c>
      <c r="AI489" s="4">
        <f>SUMIFS(tblStock[cbm],tblStock[sku],tblSKU[[#This Row],[sku]])</f>
        <v>5.2280099999999989E-2</v>
      </c>
      <c r="AJ489" s="1">
        <f>SUMIFS(tblStock[positions],tblStock[sku],tblSKU[[#This Row],[sku]])</f>
        <v>0</v>
      </c>
      <c r="AK489" s="3">
        <f>SUMIFS(tblStock[value_nzd],tblStock[sku],tblSKU[[#This Row],[sku]],tblStock[stock_type],"Expired")</f>
        <v>0</v>
      </c>
      <c r="AL489" s="3" cm="1">
        <f t="array" ref="AL489">SUM(SUMIFS(tblStock[value_nzd],tblStock[sku],tblSKU[[#This Row],[sku]],tblStock[stock_type],{"Saleable","FOC"},tblStock[expiry_date],"&lt;"&amp;EDATE(SnapshotDate,6)))</f>
        <v>800.55</v>
      </c>
    </row>
    <row r="490" spans="1:38">
      <c r="A490" s="1" t="s">
        <v>1038</v>
      </c>
      <c r="B490" s="1" t="s">
        <v>1039</v>
      </c>
      <c r="C490" s="1" t="s">
        <v>960</v>
      </c>
      <c r="D490" s="1" t="s">
        <v>37</v>
      </c>
      <c r="E490" s="1" t="s">
        <v>1013</v>
      </c>
      <c r="F490" s="1" t="s">
        <v>39</v>
      </c>
      <c r="G490">
        <v>200</v>
      </c>
      <c r="H490">
        <v>32.5</v>
      </c>
      <c r="I490">
        <v>29.8</v>
      </c>
      <c r="J490">
        <v>11.6</v>
      </c>
      <c r="K490">
        <v>1.123E-2</v>
      </c>
      <c r="L490">
        <v>2.52</v>
      </c>
      <c r="M490">
        <v>4.67</v>
      </c>
      <c r="N490">
        <v>12</v>
      </c>
      <c r="O490">
        <v>9</v>
      </c>
      <c r="P490">
        <v>108</v>
      </c>
      <c r="Q490">
        <v>119.39999999999999</v>
      </c>
      <c r="R490">
        <v>297.16000000000003</v>
      </c>
      <c r="S490">
        <v>1.2128400000000001</v>
      </c>
      <c r="T490">
        <v>13</v>
      </c>
      <c r="U490">
        <v>490</v>
      </c>
      <c r="V490">
        <v>2288.3000000000002</v>
      </c>
      <c r="W490" s="1" t="s">
        <v>1262</v>
      </c>
      <c r="X490" s="1" t="s">
        <v>1262</v>
      </c>
      <c r="Y490">
        <v>0.15294117647058825</v>
      </c>
      <c r="Z490">
        <v>1.3344226579520698E-3</v>
      </c>
      <c r="AA490" s="1" t="s">
        <v>1263</v>
      </c>
      <c r="AB490">
        <v>0</v>
      </c>
      <c r="AC490">
        <v>0</v>
      </c>
      <c r="AD490" s="1">
        <v>10.310204081632653</v>
      </c>
      <c r="AE490">
        <v>2</v>
      </c>
      <c r="AF490">
        <f>COUNTIFS(tblStock[sku],tblSKU[[#This Row],[sku]])</f>
        <v>2</v>
      </c>
      <c r="AG490" cm="1">
        <f t="array" ref="AG490">SUM(SUMIFS(tblStock[qty_units],tblStock[sku],tblSKU[[#This Row],[sku]],tblStock[stock_type],{"Saleable","FOC"}))</f>
        <v>1263</v>
      </c>
      <c r="AH490" s="3">
        <f>SUMIFS(tblStock[value_nzd],tblStock[sku],tblSKU[[#This Row],[sku]])</f>
        <v>5898.21</v>
      </c>
      <c r="AI490" s="4">
        <f>SUMIFS(tblStock[cbm],tblStock[sku],tblSKU[[#This Row],[sku]])</f>
        <v>7.0917449999999993E-2</v>
      </c>
      <c r="AJ490" s="1">
        <f>SUMIFS(tblStock[positions],tblStock[sku],tblSKU[[#This Row],[sku]])</f>
        <v>0</v>
      </c>
      <c r="AK490" s="3">
        <f>SUMIFS(tblStock[value_nzd],tblStock[sku],tblSKU[[#This Row],[sku]],tblStock[stock_type],"Expired")</f>
        <v>0</v>
      </c>
      <c r="AL490" s="3" cm="1">
        <f t="array" ref="AL490">SUM(SUMIFS(tblStock[value_nzd],tblStock[sku],tblSKU[[#This Row],[sku]],tblStock[stock_type],{"Saleable","FOC"},tblStock[expiry_date],"&lt;"&amp;EDATE(SnapshotDate,6)))</f>
        <v>0</v>
      </c>
    </row>
    <row r="491" spans="1:38">
      <c r="A491" s="1" t="s">
        <v>1040</v>
      </c>
      <c r="B491" s="1" t="s">
        <v>1041</v>
      </c>
      <c r="C491" s="1" t="s">
        <v>960</v>
      </c>
      <c r="D491" s="1" t="s">
        <v>37</v>
      </c>
      <c r="E491" s="1" t="s">
        <v>1013</v>
      </c>
      <c r="F491" s="1" t="s">
        <v>39</v>
      </c>
      <c r="G491">
        <v>100</v>
      </c>
      <c r="H491">
        <v>39.700000000000003</v>
      </c>
      <c r="I491">
        <v>21.3</v>
      </c>
      <c r="J491">
        <v>11.1</v>
      </c>
      <c r="K491">
        <v>9.3900000000000008E-3</v>
      </c>
      <c r="L491">
        <v>2.2400000000000002</v>
      </c>
      <c r="M491">
        <v>24.75</v>
      </c>
      <c r="N491">
        <v>10</v>
      </c>
      <c r="O491">
        <v>6</v>
      </c>
      <c r="P491">
        <v>60</v>
      </c>
      <c r="Q491">
        <v>81.599999999999994</v>
      </c>
      <c r="R491">
        <v>159.4</v>
      </c>
      <c r="S491">
        <v>0.56340000000000001</v>
      </c>
      <c r="T491">
        <v>40</v>
      </c>
      <c r="U491">
        <v>2278</v>
      </c>
      <c r="V491">
        <v>56380.5</v>
      </c>
      <c r="W491" s="1" t="s">
        <v>1258</v>
      </c>
      <c r="X491" s="1" t="s">
        <v>1258</v>
      </c>
      <c r="Y491">
        <v>0.47058823529411764</v>
      </c>
      <c r="Z491">
        <v>2.2333333333333334E-2</v>
      </c>
      <c r="AA491" s="1" t="s">
        <v>1259</v>
      </c>
      <c r="AB491">
        <v>0</v>
      </c>
      <c r="AC491">
        <v>1</v>
      </c>
      <c r="AD491" s="1">
        <v>9.2625109745390688</v>
      </c>
      <c r="AE491">
        <v>4</v>
      </c>
      <c r="AF491">
        <f>COUNTIFS(tblStock[sku],tblSKU[[#This Row],[sku]])</f>
        <v>3</v>
      </c>
      <c r="AG491" cm="1">
        <f t="array" ref="AG491">SUM(SUMIFS(tblStock[qty_units],tblStock[sku],tblSKU[[#This Row],[sku]],tblStock[stock_type],{"Saleable","FOC"}))</f>
        <v>5275</v>
      </c>
      <c r="AH491" s="3">
        <f>SUMIFS(tblStock[value_nzd],tblStock[sku],tblSKU[[#This Row],[sku]])</f>
        <v>130556.25</v>
      </c>
      <c r="AI491" s="4">
        <f>SUMIFS(tblStock[cbm],tblStock[sku],tblSKU[[#This Row],[sku]])</f>
        <v>0.49532250000000011</v>
      </c>
      <c r="AJ491" s="1">
        <f>SUMIFS(tblStock[positions],tblStock[sku],tblSKU[[#This Row],[sku]])</f>
        <v>1</v>
      </c>
      <c r="AK491" s="3">
        <f>SUMIFS(tblStock[value_nzd],tblStock[sku],tblSKU[[#This Row],[sku]],tblStock[stock_type],"Expired")</f>
        <v>0</v>
      </c>
      <c r="AL491" s="3" cm="1">
        <f t="array" ref="AL491">SUM(SUMIFS(tblStock[value_nzd],tblStock[sku],tblSKU[[#This Row],[sku]],tblStock[stock_type],{"Saleable","FOC"},tblStock[expiry_date],"&lt;"&amp;EDATE(SnapshotDate,6)))</f>
        <v>0</v>
      </c>
    </row>
    <row r="492" spans="1:38">
      <c r="A492" s="1" t="s">
        <v>1042</v>
      </c>
      <c r="B492" s="1" t="s">
        <v>1043</v>
      </c>
      <c r="C492" s="1" t="s">
        <v>960</v>
      </c>
      <c r="D492" s="1" t="s">
        <v>37</v>
      </c>
      <c r="E492" s="1" t="s">
        <v>1013</v>
      </c>
      <c r="F492" s="1" t="s">
        <v>39</v>
      </c>
      <c r="G492">
        <v>200</v>
      </c>
      <c r="H492">
        <v>39</v>
      </c>
      <c r="I492">
        <v>21.5</v>
      </c>
      <c r="J492">
        <v>17.2</v>
      </c>
      <c r="K492">
        <v>1.4420000000000001E-2</v>
      </c>
      <c r="L492">
        <v>3.31</v>
      </c>
      <c r="M492">
        <v>5.77</v>
      </c>
      <c r="N492">
        <v>12</v>
      </c>
      <c r="O492">
        <v>7</v>
      </c>
      <c r="P492">
        <v>84</v>
      </c>
      <c r="Q492">
        <v>135.39999999999998</v>
      </c>
      <c r="R492">
        <v>303.04000000000002</v>
      </c>
      <c r="S492">
        <v>1.2112800000000001</v>
      </c>
      <c r="T492">
        <v>548</v>
      </c>
      <c r="U492">
        <v>57913</v>
      </c>
      <c r="V492">
        <v>334158.00999999995</v>
      </c>
      <c r="W492" s="1" t="s">
        <v>1264</v>
      </c>
      <c r="X492" s="1" t="s">
        <v>1264</v>
      </c>
      <c r="Y492">
        <v>6.447058823529412</v>
      </c>
      <c r="Z492">
        <v>0.20277661064425773</v>
      </c>
      <c r="AA492" s="1" t="s">
        <v>1265</v>
      </c>
      <c r="AB492">
        <v>1</v>
      </c>
      <c r="AC492">
        <v>0</v>
      </c>
      <c r="AD492" s="1">
        <v>3.3854229620292506</v>
      </c>
      <c r="AE492">
        <v>12</v>
      </c>
      <c r="AF492">
        <f>COUNTIFS(tblStock[sku],tblSKU[[#This Row],[sku]])</f>
        <v>2</v>
      </c>
      <c r="AG492" cm="1">
        <f t="array" ref="AG492">SUM(SUMIFS(tblStock[qty_units],tblStock[sku],tblSKU[[#This Row],[sku]],tblStock[stock_type],{"Saleable","FOC"}))</f>
        <v>49015</v>
      </c>
      <c r="AH492" s="3">
        <f>SUMIFS(tblStock[value_nzd],tblStock[sku],tblSKU[[#This Row],[sku]])</f>
        <v>282816.55</v>
      </c>
      <c r="AI492" s="4">
        <f>SUMIFS(tblStock[cbm],tblStock[sku],tblSKU[[#This Row],[sku]])</f>
        <v>3.5339814999999999</v>
      </c>
      <c r="AJ492" s="1">
        <f>SUMIFS(tblStock[positions],tblStock[sku],tblSKU[[#This Row],[sku]])</f>
        <v>4</v>
      </c>
      <c r="AK492" s="3">
        <f>SUMIFS(tblStock[value_nzd],tblStock[sku],tblSKU[[#This Row],[sku]],tblStock[stock_type],"Expired")</f>
        <v>0</v>
      </c>
      <c r="AL492" s="3" cm="1">
        <f t="array" ref="AL492">SUM(SUMIFS(tblStock[value_nzd],tblStock[sku],tblSKU[[#This Row],[sku]],tblStock[stock_type],{"Saleable","FOC"},tblStock[expiry_date],"&lt;"&amp;EDATE(SnapshotDate,6)))</f>
        <v>0</v>
      </c>
    </row>
    <row r="493" spans="1:38">
      <c r="A493" s="1" t="s">
        <v>1044</v>
      </c>
      <c r="B493" s="1" t="s">
        <v>1045</v>
      </c>
      <c r="C493" s="1" t="s">
        <v>52</v>
      </c>
      <c r="D493" s="1" t="s">
        <v>37</v>
      </c>
      <c r="E493" s="1" t="s">
        <v>1013</v>
      </c>
      <c r="F493" s="1" t="s">
        <v>39</v>
      </c>
      <c r="G493">
        <v>300</v>
      </c>
      <c r="H493">
        <v>39.5</v>
      </c>
      <c r="I493">
        <v>29.4</v>
      </c>
      <c r="J493">
        <v>11</v>
      </c>
      <c r="K493">
        <v>1.277E-2</v>
      </c>
      <c r="L493">
        <v>2.15</v>
      </c>
      <c r="M493">
        <v>26.19</v>
      </c>
      <c r="N493">
        <v>9</v>
      </c>
      <c r="O493">
        <v>6</v>
      </c>
      <c r="P493">
        <v>54</v>
      </c>
      <c r="Q493">
        <v>81</v>
      </c>
      <c r="R493">
        <v>141.1</v>
      </c>
      <c r="S493">
        <v>0.68957999999999997</v>
      </c>
      <c r="T493">
        <v>82</v>
      </c>
      <c r="U493">
        <v>9889</v>
      </c>
      <c r="V493">
        <v>258992.91</v>
      </c>
      <c r="W493" s="1" t="s">
        <v>1264</v>
      </c>
      <c r="X493" s="1" t="s">
        <v>1264</v>
      </c>
      <c r="Y493">
        <v>0.96470588235294119</v>
      </c>
      <c r="Z493">
        <v>3.5907770515613655E-2</v>
      </c>
      <c r="AA493" s="1" t="s">
        <v>1265</v>
      </c>
      <c r="AB493">
        <v>1</v>
      </c>
      <c r="AC493">
        <v>0</v>
      </c>
      <c r="AD493" s="1">
        <v>5.3857821822226715</v>
      </c>
      <c r="AE493">
        <v>12</v>
      </c>
      <c r="AF493">
        <f>COUNTIFS(tblStock[sku],tblSKU[[#This Row],[sku]])</f>
        <v>1</v>
      </c>
      <c r="AG493" cm="1">
        <f t="array" ref="AG493">SUM(SUMIFS(tblStock[qty_units],tblStock[sku],tblSKU[[#This Row],[sku]],tblStock[stock_type],{"Saleable","FOC"}))</f>
        <v>13315</v>
      </c>
      <c r="AH493" s="3">
        <f>SUMIFS(tblStock[value_nzd],tblStock[sku],tblSKU[[#This Row],[sku]])</f>
        <v>348719.85000000003</v>
      </c>
      <c r="AI493" s="4">
        <f>SUMIFS(tblStock[cbm],tblStock[sku],tblSKU[[#This Row],[sku]])</f>
        <v>0.56677516666666672</v>
      </c>
      <c r="AJ493" s="1">
        <f>SUMIFS(tblStock[positions],tblStock[sku],tblSKU[[#This Row],[sku]])</f>
        <v>1</v>
      </c>
      <c r="AK493" s="3">
        <f>SUMIFS(tblStock[value_nzd],tblStock[sku],tblSKU[[#This Row],[sku]],tblStock[stock_type],"Expired")</f>
        <v>0</v>
      </c>
      <c r="AL493" s="3" cm="1">
        <f t="array" ref="AL493">SUM(SUMIFS(tblStock[value_nzd],tblStock[sku],tblSKU[[#This Row],[sku]],tblStock[stock_type],{"Saleable","FOC"},tblStock[expiry_date],"&lt;"&amp;EDATE(SnapshotDate,6)))</f>
        <v>0</v>
      </c>
    </row>
    <row r="494" spans="1:38">
      <c r="A494" s="1" t="s">
        <v>1046</v>
      </c>
      <c r="B494" s="1" t="s">
        <v>1047</v>
      </c>
      <c r="C494" s="1" t="s">
        <v>960</v>
      </c>
      <c r="D494" s="1" t="s">
        <v>37</v>
      </c>
      <c r="E494" s="1" t="s">
        <v>1013</v>
      </c>
      <c r="F494" s="1" t="s">
        <v>39</v>
      </c>
      <c r="G494">
        <v>200</v>
      </c>
      <c r="H494">
        <v>30.4</v>
      </c>
      <c r="I494">
        <v>26.6</v>
      </c>
      <c r="J494">
        <v>15.7</v>
      </c>
      <c r="K494">
        <v>1.2699999999999999E-2</v>
      </c>
      <c r="L494">
        <v>3.39</v>
      </c>
      <c r="M494">
        <v>4.3899999999999997</v>
      </c>
      <c r="N494">
        <v>12</v>
      </c>
      <c r="O494">
        <v>7</v>
      </c>
      <c r="P494">
        <v>84</v>
      </c>
      <c r="Q494">
        <v>124.89999999999999</v>
      </c>
      <c r="R494">
        <v>309.76</v>
      </c>
      <c r="S494">
        <v>1.0668</v>
      </c>
      <c r="T494">
        <v>5</v>
      </c>
      <c r="U494">
        <v>72</v>
      </c>
      <c r="V494">
        <v>316.08</v>
      </c>
      <c r="W494" s="1" t="s">
        <v>1262</v>
      </c>
      <c r="X494" s="1" t="s">
        <v>1262</v>
      </c>
      <c r="Y494">
        <v>5.8823529411764705E-2</v>
      </c>
      <c r="Z494">
        <v>2.5210084033613445E-4</v>
      </c>
      <c r="AA494" s="1" t="s">
        <v>1263</v>
      </c>
      <c r="AB494">
        <v>0</v>
      </c>
      <c r="AC494">
        <v>0</v>
      </c>
      <c r="AD494" s="1">
        <v>4.9444444444444446</v>
      </c>
      <c r="AE494">
        <v>2</v>
      </c>
      <c r="AF494">
        <f>COUNTIFS(tblStock[sku],tblSKU[[#This Row],[sku]])</f>
        <v>4</v>
      </c>
      <c r="AG494" cm="1">
        <f t="array" ref="AG494">SUM(SUMIFS(tblStock[qty_units],tblStock[sku],tblSKU[[#This Row],[sku]],tblStock[stock_type],{"Saleable","FOC"}))</f>
        <v>89</v>
      </c>
      <c r="AH494" s="3">
        <f>SUMIFS(tblStock[value_nzd],tblStock[sku],tblSKU[[#This Row],[sku]])</f>
        <v>421.44</v>
      </c>
      <c r="AI494" s="4">
        <f>SUMIFS(tblStock[cbm],tblStock[sku],tblSKU[[#This Row],[sku]])</f>
        <v>6.0960000000000007E-3</v>
      </c>
      <c r="AJ494" s="1">
        <f>SUMIFS(tblStock[positions],tblStock[sku],tblSKU[[#This Row],[sku]])</f>
        <v>0</v>
      </c>
      <c r="AK494" s="3">
        <f>SUMIFS(tblStock[value_nzd],tblStock[sku],tblSKU[[#This Row],[sku]],tblStock[stock_type],"Expired")</f>
        <v>30.729999999999997</v>
      </c>
      <c r="AL494" s="3" cm="1">
        <f t="array" ref="AL494">SUM(SUMIFS(tblStock[value_nzd],tblStock[sku],tblSKU[[#This Row],[sku]],tblStock[stock_type],{"Saleable","FOC"},tblStock[expiry_date],"&lt;"&amp;EDATE(SnapshotDate,6)))</f>
        <v>0</v>
      </c>
    </row>
    <row r="495" spans="1:38">
      <c r="A495" s="1" t="s">
        <v>1048</v>
      </c>
      <c r="B495" s="1" t="s">
        <v>1049</v>
      </c>
      <c r="C495" s="1" t="s">
        <v>52</v>
      </c>
      <c r="D495" s="1" t="s">
        <v>37</v>
      </c>
      <c r="E495" s="1" t="s">
        <v>1013</v>
      </c>
      <c r="F495" s="1" t="s">
        <v>39</v>
      </c>
      <c r="G495">
        <v>200</v>
      </c>
      <c r="H495">
        <v>31.2</v>
      </c>
      <c r="I495">
        <v>26.6</v>
      </c>
      <c r="J495">
        <v>14.4</v>
      </c>
      <c r="K495">
        <v>1.1950000000000001E-2</v>
      </c>
      <c r="L495">
        <v>1.83</v>
      </c>
      <c r="M495">
        <v>17.45</v>
      </c>
      <c r="N495">
        <v>12</v>
      </c>
      <c r="O495">
        <v>10</v>
      </c>
      <c r="P495">
        <v>120</v>
      </c>
      <c r="Q495">
        <v>159</v>
      </c>
      <c r="R495">
        <v>244.60000000000002</v>
      </c>
      <c r="S495">
        <v>1.4340000000000002</v>
      </c>
      <c r="T495">
        <v>2</v>
      </c>
      <c r="U495">
        <v>120</v>
      </c>
      <c r="V495">
        <v>2094</v>
      </c>
      <c r="W495" s="1" t="s">
        <v>1262</v>
      </c>
      <c r="X495" s="1" t="s">
        <v>1262</v>
      </c>
      <c r="Y495">
        <v>2.3529411764705882E-2</v>
      </c>
      <c r="Z495">
        <v>2.941176470588235E-4</v>
      </c>
      <c r="AA495" s="1" t="s">
        <v>1263</v>
      </c>
      <c r="AB495">
        <v>0</v>
      </c>
      <c r="AC495">
        <v>0</v>
      </c>
      <c r="AD495" s="1">
        <v>5.7333333333333334</v>
      </c>
      <c r="AE495">
        <v>2</v>
      </c>
      <c r="AF495">
        <f>COUNTIFS(tblStock[sku],tblSKU[[#This Row],[sku]])</f>
        <v>2</v>
      </c>
      <c r="AG495" cm="1">
        <f t="array" ref="AG495">SUM(SUMIFS(tblStock[qty_units],tblStock[sku],tblSKU[[#This Row],[sku]],tblStock[stock_type],{"Saleable","FOC"}))</f>
        <v>172</v>
      </c>
      <c r="AH495" s="3">
        <f>SUMIFS(tblStock[value_nzd],tblStock[sku],tblSKU[[#This Row],[sku]])</f>
        <v>3001.3999999999996</v>
      </c>
      <c r="AI495" s="4">
        <f>SUMIFS(tblStock[cbm],tblStock[sku],tblSKU[[#This Row],[sku]])</f>
        <v>1.0277E-2</v>
      </c>
      <c r="AJ495" s="1">
        <f>SUMIFS(tblStock[positions],tblStock[sku],tblSKU[[#This Row],[sku]])</f>
        <v>0</v>
      </c>
      <c r="AK495" s="3">
        <f>SUMIFS(tblStock[value_nzd],tblStock[sku],tblSKU[[#This Row],[sku]],tblStock[stock_type],"Expired")</f>
        <v>0</v>
      </c>
      <c r="AL495" s="3" cm="1">
        <f t="array" ref="AL495">SUM(SUMIFS(tblStock[value_nzd],tblStock[sku],tblSKU[[#This Row],[sku]],tblStock[stock_type],{"Saleable","FOC"},tblStock[expiry_date],"&lt;"&amp;EDATE(SnapshotDate,6)))</f>
        <v>0</v>
      </c>
    </row>
    <row r="496" spans="1:38">
      <c r="A496" s="1" t="s">
        <v>1050</v>
      </c>
      <c r="B496" s="1" t="s">
        <v>1051</v>
      </c>
      <c r="C496" s="1" t="s">
        <v>70</v>
      </c>
      <c r="D496" s="1" t="s">
        <v>37</v>
      </c>
      <c r="E496" s="1" t="s">
        <v>1052</v>
      </c>
      <c r="F496" s="1" t="s">
        <v>39</v>
      </c>
      <c r="G496">
        <v>50</v>
      </c>
      <c r="H496">
        <v>48.4</v>
      </c>
      <c r="I496">
        <v>26.3</v>
      </c>
      <c r="J496">
        <v>22.2</v>
      </c>
      <c r="K496">
        <v>2.826E-2</v>
      </c>
      <c r="L496">
        <v>4.9400000000000004</v>
      </c>
      <c r="M496">
        <v>15.49</v>
      </c>
      <c r="N496">
        <v>8</v>
      </c>
      <c r="O496">
        <v>6</v>
      </c>
      <c r="P496">
        <v>48</v>
      </c>
      <c r="Q496">
        <v>148.19999999999999</v>
      </c>
      <c r="R496">
        <v>262.12</v>
      </c>
      <c r="S496">
        <v>1.3564799999999999</v>
      </c>
      <c r="T496">
        <v>23</v>
      </c>
      <c r="U496">
        <v>770</v>
      </c>
      <c r="V496">
        <v>11927.3</v>
      </c>
      <c r="W496" s="1" t="s">
        <v>1262</v>
      </c>
      <c r="X496" s="1" t="s">
        <v>1262</v>
      </c>
      <c r="Y496">
        <v>0.27058823529411763</v>
      </c>
      <c r="Z496">
        <v>1.8872549019607842E-2</v>
      </c>
      <c r="AA496" s="1" t="s">
        <v>1263</v>
      </c>
      <c r="AB496">
        <v>0</v>
      </c>
      <c r="AC496">
        <v>0</v>
      </c>
      <c r="AD496" s="1">
        <v>2.3896103896103895</v>
      </c>
      <c r="AE496">
        <v>2</v>
      </c>
      <c r="AF496">
        <f>COUNTIFS(tblStock[sku],tblSKU[[#This Row],[sku]])</f>
        <v>1</v>
      </c>
      <c r="AG496" cm="1">
        <f t="array" ref="AG496">SUM(SUMIFS(tblStock[qty_units],tblStock[sku],tblSKU[[#This Row],[sku]],tblStock[stock_type],{"Saleable","FOC"}))</f>
        <v>460</v>
      </c>
      <c r="AH496" s="3">
        <f>SUMIFS(tblStock[value_nzd],tblStock[sku],tblSKU[[#This Row],[sku]])</f>
        <v>7125.4000000000015</v>
      </c>
      <c r="AI496" s="4">
        <f>SUMIFS(tblStock[cbm],tblStock[sku],tblSKU[[#This Row],[sku]])</f>
        <v>0.259992</v>
      </c>
      <c r="AJ496" s="1">
        <f>SUMIFS(tblStock[positions],tblStock[sku],tblSKU[[#This Row],[sku]])</f>
        <v>1</v>
      </c>
      <c r="AK496" s="3">
        <f>SUMIFS(tblStock[value_nzd],tblStock[sku],tblSKU[[#This Row],[sku]],tblStock[stock_type],"Expired")</f>
        <v>0</v>
      </c>
      <c r="AL496" s="3" cm="1">
        <f t="array" ref="AL496">SUM(SUMIFS(tblStock[value_nzd],tblStock[sku],tblSKU[[#This Row],[sku]],tblStock[stock_type],{"Saleable","FOC"},tblStock[expiry_date],"&lt;"&amp;EDATE(SnapshotDate,6)))</f>
        <v>0</v>
      </c>
    </row>
    <row r="497" spans="1:38">
      <c r="A497" s="1" t="s">
        <v>1053</v>
      </c>
      <c r="B497" s="1" t="s">
        <v>1054</v>
      </c>
      <c r="C497" s="1" t="s">
        <v>70</v>
      </c>
      <c r="D497" s="1" t="s">
        <v>37</v>
      </c>
      <c r="E497" s="1" t="s">
        <v>1052</v>
      </c>
      <c r="F497" s="1" t="s">
        <v>39</v>
      </c>
      <c r="G497">
        <v>100</v>
      </c>
      <c r="H497">
        <v>51.5</v>
      </c>
      <c r="I497">
        <v>27.9</v>
      </c>
      <c r="J497">
        <v>19.600000000000001</v>
      </c>
      <c r="K497">
        <v>2.8160000000000001E-2</v>
      </c>
      <c r="L497">
        <v>6.16</v>
      </c>
      <c r="M497">
        <v>24.78</v>
      </c>
      <c r="N497">
        <v>4</v>
      </c>
      <c r="O497">
        <v>5</v>
      </c>
      <c r="P497">
        <v>20</v>
      </c>
      <c r="Q497">
        <v>113</v>
      </c>
      <c r="R497">
        <v>148.19999999999999</v>
      </c>
      <c r="S497">
        <v>0.56320000000000003</v>
      </c>
      <c r="T497">
        <v>10</v>
      </c>
      <c r="U497">
        <v>1176</v>
      </c>
      <c r="V497">
        <v>29141.280000000002</v>
      </c>
      <c r="W497" s="1" t="s">
        <v>1262</v>
      </c>
      <c r="X497" s="1" t="s">
        <v>1258</v>
      </c>
      <c r="Y497">
        <v>0.11764705882352941</v>
      </c>
      <c r="Z497">
        <v>3.4588235294117649E-2</v>
      </c>
      <c r="AA497" s="1" t="s">
        <v>1263</v>
      </c>
      <c r="AB497">
        <v>0</v>
      </c>
      <c r="AC497">
        <v>0</v>
      </c>
      <c r="AD497" s="1">
        <v>8.591836734693878</v>
      </c>
      <c r="AE497">
        <v>4</v>
      </c>
      <c r="AF497">
        <f>COUNTIFS(tblStock[sku],tblSKU[[#This Row],[sku]])</f>
        <v>1</v>
      </c>
      <c r="AG497" cm="1">
        <f t="array" ref="AG497">SUM(SUMIFS(tblStock[qty_units],tblStock[sku],tblSKU[[#This Row],[sku]],tblStock[stock_type],{"Saleable","FOC"}))</f>
        <v>2526</v>
      </c>
      <c r="AH497" s="3">
        <f>SUMIFS(tblStock[value_nzd],tblStock[sku],tblSKU[[#This Row],[sku]])</f>
        <v>62594.280000000006</v>
      </c>
      <c r="AI497" s="4">
        <f>SUMIFS(tblStock[cbm],tblStock[sku],tblSKU[[#This Row],[sku]])</f>
        <v>0.71132160000000011</v>
      </c>
      <c r="AJ497" s="1">
        <f>SUMIFS(tblStock[positions],tblStock[sku],tblSKU[[#This Row],[sku]])</f>
        <v>2</v>
      </c>
      <c r="AK497" s="3">
        <f>SUMIFS(tblStock[value_nzd],tblStock[sku],tblSKU[[#This Row],[sku]],tblStock[stock_type],"Expired")</f>
        <v>0</v>
      </c>
      <c r="AL497" s="3" cm="1">
        <f t="array" ref="AL497">SUM(SUMIFS(tblStock[value_nzd],tblStock[sku],tblSKU[[#This Row],[sku]],tblStock[stock_type],{"Saleable","FOC"},tblStock[expiry_date],"&lt;"&amp;EDATE(SnapshotDate,6)))</f>
        <v>62594.280000000006</v>
      </c>
    </row>
    <row r="498" spans="1:38">
      <c r="A498" s="1" t="s">
        <v>1055</v>
      </c>
      <c r="B498" s="1" t="s">
        <v>1056</v>
      </c>
      <c r="C498" s="1" t="s">
        <v>70</v>
      </c>
      <c r="D498" s="1" t="s">
        <v>37</v>
      </c>
      <c r="E498" s="1" t="s">
        <v>1052</v>
      </c>
      <c r="F498" s="1" t="s">
        <v>39</v>
      </c>
      <c r="G498">
        <v>100</v>
      </c>
      <c r="H498">
        <v>41.4</v>
      </c>
      <c r="I498">
        <v>29.9</v>
      </c>
      <c r="J498">
        <v>16.100000000000001</v>
      </c>
      <c r="K498">
        <v>1.993E-2</v>
      </c>
      <c r="L498">
        <v>4.59</v>
      </c>
      <c r="M498">
        <v>28.88</v>
      </c>
      <c r="N498">
        <v>8</v>
      </c>
      <c r="O498">
        <v>5</v>
      </c>
      <c r="P498">
        <v>40</v>
      </c>
      <c r="Q498">
        <v>95.5</v>
      </c>
      <c r="R498">
        <v>208.6</v>
      </c>
      <c r="S498">
        <v>0.79720000000000002</v>
      </c>
      <c r="T498">
        <v>6</v>
      </c>
      <c r="U498">
        <v>122</v>
      </c>
      <c r="V498">
        <v>3523.3599999999997</v>
      </c>
      <c r="W498" s="1" t="s">
        <v>1262</v>
      </c>
      <c r="X498" s="1" t="s">
        <v>1262</v>
      </c>
      <c r="Y498">
        <v>7.0588235294117646E-2</v>
      </c>
      <c r="Z498">
        <v>1.7941176470588234E-3</v>
      </c>
      <c r="AA498" s="1" t="s">
        <v>1263</v>
      </c>
      <c r="AB498">
        <v>0</v>
      </c>
      <c r="AC498">
        <v>0</v>
      </c>
      <c r="AD498" s="1">
        <v>10.590163934426229</v>
      </c>
      <c r="AE498">
        <v>2</v>
      </c>
      <c r="AF498">
        <f>COUNTIFS(tblStock[sku],tblSKU[[#This Row],[sku]])</f>
        <v>2</v>
      </c>
      <c r="AG498" cm="1">
        <f t="array" ref="AG498">SUM(SUMIFS(tblStock[qty_units],tblStock[sku],tblSKU[[#This Row],[sku]],tblStock[stock_type],{"Saleable","FOC"}))</f>
        <v>323</v>
      </c>
      <c r="AH498" s="3">
        <f>SUMIFS(tblStock[value_nzd],tblStock[sku],tblSKU[[#This Row],[sku]])</f>
        <v>9328.24</v>
      </c>
      <c r="AI498" s="4">
        <f>SUMIFS(tblStock[cbm],tblStock[sku],tblSKU[[#This Row],[sku]])</f>
        <v>6.4373899999999998E-2</v>
      </c>
      <c r="AJ498" s="1">
        <f>SUMIFS(tblStock[positions],tblStock[sku],tblSKU[[#This Row],[sku]])</f>
        <v>0</v>
      </c>
      <c r="AK498" s="3">
        <f>SUMIFS(tblStock[value_nzd],tblStock[sku],tblSKU[[#This Row],[sku]],tblStock[stock_type],"Expired")</f>
        <v>0</v>
      </c>
      <c r="AL498" s="3" cm="1">
        <f t="array" ref="AL498">SUM(SUMIFS(tblStock[value_nzd],tblStock[sku],tblSKU[[#This Row],[sku]],tblStock[stock_type],{"Saleable","FOC"},tblStock[expiry_date],"&lt;"&amp;EDATE(SnapshotDate,6)))</f>
        <v>0</v>
      </c>
    </row>
    <row r="499" spans="1:38">
      <c r="A499" s="1" t="s">
        <v>1057</v>
      </c>
      <c r="B499" s="1" t="s">
        <v>1058</v>
      </c>
      <c r="C499" s="1" t="s">
        <v>70</v>
      </c>
      <c r="D499" s="1" t="s">
        <v>37</v>
      </c>
      <c r="E499" s="1" t="s">
        <v>1052</v>
      </c>
      <c r="F499" s="1" t="s">
        <v>39</v>
      </c>
      <c r="G499">
        <v>50</v>
      </c>
      <c r="H499">
        <v>45.5</v>
      </c>
      <c r="I499">
        <v>33</v>
      </c>
      <c r="J499">
        <v>16.2</v>
      </c>
      <c r="K499">
        <v>2.4320000000000001E-2</v>
      </c>
      <c r="L499">
        <v>5.17</v>
      </c>
      <c r="M499">
        <v>27.24</v>
      </c>
      <c r="N499">
        <v>6</v>
      </c>
      <c r="O499">
        <v>6</v>
      </c>
      <c r="P499">
        <v>36</v>
      </c>
      <c r="Q499">
        <v>112.19999999999999</v>
      </c>
      <c r="R499">
        <v>211.12</v>
      </c>
      <c r="S499">
        <v>0.87552000000000008</v>
      </c>
      <c r="T499">
        <v>7</v>
      </c>
      <c r="U499">
        <v>195</v>
      </c>
      <c r="V499">
        <v>5311.7999999999993</v>
      </c>
      <c r="W499" s="1" t="s">
        <v>1262</v>
      </c>
      <c r="X499" s="1" t="s">
        <v>1262</v>
      </c>
      <c r="Y499">
        <v>8.2352941176470587E-2</v>
      </c>
      <c r="Z499">
        <v>6.3725490196078439E-3</v>
      </c>
      <c r="AA499" s="1" t="s">
        <v>1263</v>
      </c>
      <c r="AB499">
        <v>0</v>
      </c>
      <c r="AC499">
        <v>0</v>
      </c>
      <c r="AD499" s="1">
        <v>5.3538461538461535</v>
      </c>
      <c r="AE499">
        <v>2</v>
      </c>
      <c r="AF499">
        <f>COUNTIFS(tblStock[sku],tblSKU[[#This Row],[sku]])</f>
        <v>4</v>
      </c>
      <c r="AG499" cm="1">
        <f t="array" ref="AG499">SUM(SUMIFS(tblStock[qty_units],tblStock[sku],tblSKU[[#This Row],[sku]],tblStock[stock_type],{"Saleable","FOC"}))</f>
        <v>261</v>
      </c>
      <c r="AH499" s="3">
        <f>SUMIFS(tblStock[value_nzd],tblStock[sku],tblSKU[[#This Row],[sku]])</f>
        <v>7109.6399999999994</v>
      </c>
      <c r="AI499" s="4">
        <f>SUMIFS(tblStock[cbm],tblStock[sku],tblSKU[[#This Row],[sku]])</f>
        <v>0.12695040000000002</v>
      </c>
      <c r="AJ499" s="1">
        <f>SUMIFS(tblStock[positions],tblStock[sku],tblSKU[[#This Row],[sku]])</f>
        <v>0</v>
      </c>
      <c r="AK499" s="3">
        <f>SUMIFS(tblStock[value_nzd],tblStock[sku],tblSKU[[#This Row],[sku]],tblStock[stock_type],"Expired")</f>
        <v>0</v>
      </c>
      <c r="AL499" s="3" cm="1">
        <f t="array" ref="AL499">SUM(SUMIFS(tblStock[value_nzd],tblStock[sku],tblSKU[[#This Row],[sku]],tblStock[stock_type],{"Saleable","FOC"},tblStock[expiry_date],"&lt;"&amp;EDATE(SnapshotDate,6)))</f>
        <v>544.79999999999995</v>
      </c>
    </row>
    <row r="500" spans="1:38">
      <c r="A500" s="1" t="s">
        <v>1059</v>
      </c>
      <c r="B500" s="1" t="s">
        <v>1060</v>
      </c>
      <c r="C500" s="1" t="s">
        <v>70</v>
      </c>
      <c r="D500" s="1" t="s">
        <v>37</v>
      </c>
      <c r="E500" s="1" t="s">
        <v>1052</v>
      </c>
      <c r="F500" s="1" t="s">
        <v>39</v>
      </c>
      <c r="G500">
        <v>100</v>
      </c>
      <c r="H500">
        <v>46.2</v>
      </c>
      <c r="I500">
        <v>29</v>
      </c>
      <c r="J500">
        <v>23.9</v>
      </c>
      <c r="K500">
        <v>3.202E-2</v>
      </c>
      <c r="L500">
        <v>5.24</v>
      </c>
      <c r="M500">
        <v>12.49</v>
      </c>
      <c r="N500">
        <v>8</v>
      </c>
      <c r="O500">
        <v>3</v>
      </c>
      <c r="P500">
        <v>24</v>
      </c>
      <c r="Q500">
        <v>86.699999999999989</v>
      </c>
      <c r="R500">
        <v>150.76</v>
      </c>
      <c r="S500">
        <v>0.76848000000000005</v>
      </c>
      <c r="T500">
        <v>158</v>
      </c>
      <c r="U500">
        <v>12377</v>
      </c>
      <c r="V500">
        <v>154588.73000000001</v>
      </c>
      <c r="W500" s="1" t="s">
        <v>1264</v>
      </c>
      <c r="X500" s="1" t="s">
        <v>1264</v>
      </c>
      <c r="Y500">
        <v>1.8588235294117648</v>
      </c>
      <c r="Z500">
        <v>0.30335784313725489</v>
      </c>
      <c r="AA500" s="1" t="s">
        <v>1265</v>
      </c>
      <c r="AB500">
        <v>1</v>
      </c>
      <c r="AC500">
        <v>0</v>
      </c>
      <c r="AD500" s="1">
        <v>15.899167811262826</v>
      </c>
      <c r="AE500">
        <v>12</v>
      </c>
      <c r="AF500">
        <f>COUNTIFS(tblStock[sku],tblSKU[[#This Row],[sku]])</f>
        <v>4</v>
      </c>
      <c r="AG500" cm="1">
        <f t="array" ref="AG500">SUM(SUMIFS(tblStock[qty_units],tblStock[sku],tblSKU[[#This Row],[sku]],tblStock[stock_type],{"Saleable","FOC"}))</f>
        <v>49196</v>
      </c>
      <c r="AH500" s="3">
        <f>SUMIFS(tblStock[value_nzd],tblStock[sku],tblSKU[[#This Row],[sku]])</f>
        <v>626735.71000000008</v>
      </c>
      <c r="AI500" s="4">
        <f>SUMIFS(tblStock[cbm],tblStock[sku],tblSKU[[#This Row],[sku]])</f>
        <v>16.067315799999999</v>
      </c>
      <c r="AJ500" s="1">
        <f>SUMIFS(tblStock[positions],tblStock[sku],tblSKU[[#This Row],[sku]])</f>
        <v>22</v>
      </c>
      <c r="AK500" s="3">
        <f>SUMIFS(tblStock[value_nzd],tblStock[sku],tblSKU[[#This Row],[sku]],tblStock[stock_type],"Expired")</f>
        <v>0</v>
      </c>
      <c r="AL500" s="3" cm="1">
        <f t="array" ref="AL500">SUM(SUMIFS(tblStock[value_nzd],tblStock[sku],tblSKU[[#This Row],[sku]],tblStock[stock_type],{"Saleable","FOC"},tblStock[expiry_date],"&lt;"&amp;EDATE(SnapshotDate,6)))</f>
        <v>0</v>
      </c>
    </row>
    <row r="501" spans="1:38">
      <c r="A501" s="1" t="s">
        <v>1061</v>
      </c>
      <c r="B501" s="1" t="s">
        <v>1062</v>
      </c>
      <c r="C501" s="1" t="s">
        <v>70</v>
      </c>
      <c r="D501" s="1" t="s">
        <v>37</v>
      </c>
      <c r="E501" s="1" t="s">
        <v>1052</v>
      </c>
      <c r="F501" s="1" t="s">
        <v>39</v>
      </c>
      <c r="G501">
        <v>50</v>
      </c>
      <c r="H501">
        <v>48.8</v>
      </c>
      <c r="I501">
        <v>25.5</v>
      </c>
      <c r="J501">
        <v>20.9</v>
      </c>
      <c r="K501">
        <v>2.6009999999999998E-2</v>
      </c>
      <c r="L501">
        <v>4.9000000000000004</v>
      </c>
      <c r="M501">
        <v>12.64</v>
      </c>
      <c r="N501">
        <v>7</v>
      </c>
      <c r="O501">
        <v>3</v>
      </c>
      <c r="P501">
        <v>21</v>
      </c>
      <c r="Q501">
        <v>77.699999999999989</v>
      </c>
      <c r="R501">
        <v>127.9</v>
      </c>
      <c r="S501">
        <v>0.54620999999999997</v>
      </c>
      <c r="T501">
        <v>3</v>
      </c>
      <c r="U501">
        <v>194</v>
      </c>
      <c r="V501">
        <v>2452.1600000000003</v>
      </c>
      <c r="W501" s="1" t="s">
        <v>1262</v>
      </c>
      <c r="X501" s="1" t="s">
        <v>1262</v>
      </c>
      <c r="Y501">
        <v>3.5294117647058823E-2</v>
      </c>
      <c r="Z501">
        <v>1.0868347338935573E-2</v>
      </c>
      <c r="AA501" s="1" t="s">
        <v>1263</v>
      </c>
      <c r="AB501">
        <v>0</v>
      </c>
      <c r="AC501">
        <v>0</v>
      </c>
      <c r="AD501" s="1">
        <v>5.6907216494845363</v>
      </c>
      <c r="AE501">
        <v>2</v>
      </c>
      <c r="AF501">
        <f>COUNTIFS(tblStock[sku],tblSKU[[#This Row],[sku]])</f>
        <v>2</v>
      </c>
      <c r="AG501" cm="1">
        <f t="array" ref="AG501">SUM(SUMIFS(tblStock[qty_units],tblStock[sku],tblSKU[[#This Row],[sku]],tblStock[stock_type],{"Saleable","FOC"}))</f>
        <v>276</v>
      </c>
      <c r="AH501" s="3">
        <f>SUMIFS(tblStock[value_nzd],tblStock[sku],tblSKU[[#This Row],[sku]])</f>
        <v>3488.6400000000003</v>
      </c>
      <c r="AI501" s="4">
        <f>SUMIFS(tblStock[cbm],tblStock[sku],tblSKU[[#This Row],[sku]])</f>
        <v>0.14357520000000001</v>
      </c>
      <c r="AJ501" s="1">
        <f>SUMIFS(tblStock[positions],tblStock[sku],tblSKU[[#This Row],[sku]])</f>
        <v>0</v>
      </c>
      <c r="AK501" s="3">
        <f>SUMIFS(tblStock[value_nzd],tblStock[sku],tblSKU[[#This Row],[sku]],tblStock[stock_type],"Expired")</f>
        <v>0</v>
      </c>
      <c r="AL501" s="3" cm="1">
        <f t="array" ref="AL501">SUM(SUMIFS(tblStock[value_nzd],tblStock[sku],tblSKU[[#This Row],[sku]],tblStock[stock_type],{"Saleable","FOC"},tblStock[expiry_date],"&lt;"&amp;EDATE(SnapshotDate,6)))</f>
        <v>0</v>
      </c>
    </row>
    <row r="502" spans="1:38">
      <c r="A502" s="1" t="s">
        <v>1063</v>
      </c>
      <c r="B502" s="1" t="s">
        <v>1064</v>
      </c>
      <c r="C502" s="1" t="s">
        <v>70</v>
      </c>
      <c r="D502" s="1" t="s">
        <v>37</v>
      </c>
      <c r="E502" s="1" t="s">
        <v>1052</v>
      </c>
      <c r="F502" s="1" t="s">
        <v>39</v>
      </c>
      <c r="G502">
        <v>100</v>
      </c>
      <c r="H502">
        <v>42.8</v>
      </c>
      <c r="I502">
        <v>34.799999999999997</v>
      </c>
      <c r="J502">
        <v>17.600000000000001</v>
      </c>
      <c r="K502">
        <v>2.6210000000000001E-2</v>
      </c>
      <c r="L502">
        <v>5.51</v>
      </c>
      <c r="M502">
        <v>24.6</v>
      </c>
      <c r="N502">
        <v>6</v>
      </c>
      <c r="O502">
        <v>7</v>
      </c>
      <c r="P502">
        <v>42</v>
      </c>
      <c r="Q502">
        <v>138.20000000000002</v>
      </c>
      <c r="R502">
        <v>256.41999999999996</v>
      </c>
      <c r="S502">
        <v>1.1008200000000001</v>
      </c>
      <c r="T502">
        <v>37</v>
      </c>
      <c r="U502">
        <v>2708</v>
      </c>
      <c r="V502">
        <v>66616.800000000003</v>
      </c>
      <c r="W502" s="1" t="s">
        <v>1258</v>
      </c>
      <c r="X502" s="1" t="s">
        <v>1258</v>
      </c>
      <c r="Y502">
        <v>0.43529411764705883</v>
      </c>
      <c r="Z502">
        <v>3.7927170868347335E-2</v>
      </c>
      <c r="AA502" s="1" t="s">
        <v>1259</v>
      </c>
      <c r="AB502">
        <v>0</v>
      </c>
      <c r="AC502">
        <v>1</v>
      </c>
      <c r="AD502" s="1">
        <v>6.9305760709010338</v>
      </c>
      <c r="AE502">
        <v>4</v>
      </c>
      <c r="AF502">
        <f>COUNTIFS(tblStock[sku],tblSKU[[#This Row],[sku]])</f>
        <v>2</v>
      </c>
      <c r="AG502" cm="1">
        <f t="array" ref="AG502">SUM(SUMIFS(tblStock[qty_units],tblStock[sku],tblSKU[[#This Row],[sku]],tblStock[stock_type],{"Saleable","FOC"}))</f>
        <v>4692</v>
      </c>
      <c r="AH502" s="3">
        <f>SUMIFS(tblStock[value_nzd],tblStock[sku],tblSKU[[#This Row],[sku]])</f>
        <v>115423.20000000001</v>
      </c>
      <c r="AI502" s="4">
        <f>SUMIFS(tblStock[cbm],tblStock[sku],tblSKU[[#This Row],[sku]])</f>
        <v>1.2297731999999999</v>
      </c>
      <c r="AJ502" s="1">
        <f>SUMIFS(tblStock[positions],tblStock[sku],tblSKU[[#This Row],[sku]])</f>
        <v>2</v>
      </c>
      <c r="AK502" s="3">
        <f>SUMIFS(tblStock[value_nzd],tblStock[sku],tblSKU[[#This Row],[sku]],tblStock[stock_type],"Expired")</f>
        <v>0</v>
      </c>
      <c r="AL502" s="3" cm="1">
        <f t="array" ref="AL502">SUM(SUMIFS(tblStock[value_nzd],tblStock[sku],tblSKU[[#This Row],[sku]],tblStock[stock_type],{"Saleable","FOC"},tblStock[expiry_date],"&lt;"&amp;EDATE(SnapshotDate,6)))</f>
        <v>0</v>
      </c>
    </row>
    <row r="503" spans="1:38">
      <c r="A503" s="1" t="s">
        <v>1065</v>
      </c>
      <c r="B503" s="1" t="s">
        <v>1066</v>
      </c>
      <c r="C503" s="1" t="s">
        <v>70</v>
      </c>
      <c r="D503" s="1" t="s">
        <v>37</v>
      </c>
      <c r="E503" s="1" t="s">
        <v>1052</v>
      </c>
      <c r="F503" s="1" t="s">
        <v>39</v>
      </c>
      <c r="G503">
        <v>50</v>
      </c>
      <c r="H503">
        <v>40.700000000000003</v>
      </c>
      <c r="I503">
        <v>34.200000000000003</v>
      </c>
      <c r="J503">
        <v>24.2</v>
      </c>
      <c r="K503">
        <v>3.3680000000000002E-2</v>
      </c>
      <c r="L503">
        <v>5.71</v>
      </c>
      <c r="M503">
        <v>18.05</v>
      </c>
      <c r="N503">
        <v>5</v>
      </c>
      <c r="O503">
        <v>2</v>
      </c>
      <c r="P503">
        <v>10</v>
      </c>
      <c r="Q503">
        <v>63.4</v>
      </c>
      <c r="R503">
        <v>82.1</v>
      </c>
      <c r="S503">
        <v>0.33679999999999999</v>
      </c>
      <c r="T503">
        <v>111</v>
      </c>
      <c r="U503">
        <v>5297</v>
      </c>
      <c r="V503">
        <v>95610.85</v>
      </c>
      <c r="W503" s="1" t="s">
        <v>1264</v>
      </c>
      <c r="X503" s="1" t="s">
        <v>1264</v>
      </c>
      <c r="Y503">
        <v>1.3058823529411765</v>
      </c>
      <c r="Z503">
        <v>0.62317647058823533</v>
      </c>
      <c r="AA503" s="1" t="s">
        <v>1265</v>
      </c>
      <c r="AB503">
        <v>1</v>
      </c>
      <c r="AC503">
        <v>0</v>
      </c>
      <c r="AD503" s="1">
        <v>2.7003964508212195</v>
      </c>
      <c r="AE503">
        <v>12</v>
      </c>
      <c r="AF503">
        <f>COUNTIFS(tblStock[sku],tblSKU[[#This Row],[sku]])</f>
        <v>1</v>
      </c>
      <c r="AG503" cm="1">
        <f t="array" ref="AG503">SUM(SUMIFS(tblStock[qty_units],tblStock[sku],tblSKU[[#This Row],[sku]],tblStock[stock_type],{"Saleable","FOC"}))</f>
        <v>3576</v>
      </c>
      <c r="AH503" s="3">
        <f>SUMIFS(tblStock[value_nzd],tblStock[sku],tblSKU[[#This Row],[sku]])</f>
        <v>64546.8</v>
      </c>
      <c r="AI503" s="4">
        <f>SUMIFS(tblStock[cbm],tblStock[sku],tblSKU[[#This Row],[sku]])</f>
        <v>2.4087936000000001</v>
      </c>
      <c r="AJ503" s="1">
        <f>SUMIFS(tblStock[positions],tblStock[sku],tblSKU[[#This Row],[sku]])</f>
        <v>8</v>
      </c>
      <c r="AK503" s="3">
        <f>SUMIFS(tblStock[value_nzd],tblStock[sku],tblSKU[[#This Row],[sku]],tblStock[stock_type],"Expired")</f>
        <v>0</v>
      </c>
      <c r="AL503" s="3" cm="1">
        <f t="array" ref="AL503">SUM(SUMIFS(tblStock[value_nzd],tblStock[sku],tblSKU[[#This Row],[sku]],tblStock[stock_type],{"Saleable","FOC"},tblStock[expiry_date],"&lt;"&amp;EDATE(SnapshotDate,6)))</f>
        <v>0</v>
      </c>
    </row>
    <row r="504" spans="1:38">
      <c r="A504" s="1" t="s">
        <v>1067</v>
      </c>
      <c r="B504" s="1" t="s">
        <v>1068</v>
      </c>
      <c r="C504" s="1" t="s">
        <v>70</v>
      </c>
      <c r="D504" s="1" t="s">
        <v>37</v>
      </c>
      <c r="E504" s="1" t="s">
        <v>1052</v>
      </c>
      <c r="F504" s="1" t="s">
        <v>39</v>
      </c>
      <c r="G504">
        <v>100</v>
      </c>
      <c r="H504">
        <v>49.5</v>
      </c>
      <c r="I504">
        <v>29</v>
      </c>
      <c r="J504">
        <v>22.4</v>
      </c>
      <c r="K504">
        <v>3.2160000000000001E-2</v>
      </c>
      <c r="L504">
        <v>8.67</v>
      </c>
      <c r="M504">
        <v>30.21</v>
      </c>
      <c r="N504">
        <v>8</v>
      </c>
      <c r="O504">
        <v>4</v>
      </c>
      <c r="P504">
        <v>32</v>
      </c>
      <c r="Q504">
        <v>104.6</v>
      </c>
      <c r="R504">
        <v>302.44</v>
      </c>
      <c r="S504">
        <v>1.02912</v>
      </c>
      <c r="T504">
        <v>108</v>
      </c>
      <c r="U504">
        <v>5997</v>
      </c>
      <c r="V504">
        <v>181169.37</v>
      </c>
      <c r="W504" s="1" t="s">
        <v>1264</v>
      </c>
      <c r="X504" s="1" t="s">
        <v>1264</v>
      </c>
      <c r="Y504">
        <v>1.2705882352941176</v>
      </c>
      <c r="Z504">
        <v>0.11023897058823529</v>
      </c>
      <c r="AA504" s="1" t="s">
        <v>1265</v>
      </c>
      <c r="AB504">
        <v>1</v>
      </c>
      <c r="AC504">
        <v>0</v>
      </c>
      <c r="AD504" s="1">
        <v>3.6771719192929799</v>
      </c>
      <c r="AE504">
        <v>12</v>
      </c>
      <c r="AF504">
        <f>COUNTIFS(tblStock[sku],tblSKU[[#This Row],[sku]])</f>
        <v>1</v>
      </c>
      <c r="AG504" cm="1">
        <f t="array" ref="AG504">SUM(SUMIFS(tblStock[qty_units],tblStock[sku],tblSKU[[#This Row],[sku]],tblStock[stock_type],{"Saleable","FOC"}))</f>
        <v>5513</v>
      </c>
      <c r="AH504" s="3">
        <f>SUMIFS(tblStock[value_nzd],tblStock[sku],tblSKU[[#This Row],[sku]])</f>
        <v>166547.73000000001</v>
      </c>
      <c r="AI504" s="4">
        <f>SUMIFS(tblStock[cbm],tblStock[sku],tblSKU[[#This Row],[sku]])</f>
        <v>1.7729808000000002</v>
      </c>
      <c r="AJ504" s="1">
        <f>SUMIFS(tblStock[positions],tblStock[sku],tblSKU[[#This Row],[sku]])</f>
        <v>2</v>
      </c>
      <c r="AK504" s="3">
        <f>SUMIFS(tblStock[value_nzd],tblStock[sku],tblSKU[[#This Row],[sku]],tblStock[stock_type],"Expired")</f>
        <v>0</v>
      </c>
      <c r="AL504" s="3" cm="1">
        <f t="array" ref="AL504">SUM(SUMIFS(tblStock[value_nzd],tblStock[sku],tblSKU[[#This Row],[sku]],tblStock[stock_type],{"Saleable","FOC"},tblStock[expiry_date],"&lt;"&amp;EDATE(SnapshotDate,6)))</f>
        <v>0</v>
      </c>
    </row>
    <row r="505" spans="1:38">
      <c r="A505" s="1" t="s">
        <v>1069</v>
      </c>
      <c r="B505" s="1" t="s">
        <v>1070</v>
      </c>
      <c r="C505" s="1" t="s">
        <v>70</v>
      </c>
      <c r="D505" s="1" t="s">
        <v>37</v>
      </c>
      <c r="E505" s="1" t="s">
        <v>1052</v>
      </c>
      <c r="F505" s="1" t="s">
        <v>39</v>
      </c>
      <c r="G505">
        <v>50</v>
      </c>
      <c r="H505">
        <v>48.5</v>
      </c>
      <c r="I505">
        <v>32.6</v>
      </c>
      <c r="J505">
        <v>21.5</v>
      </c>
      <c r="K505">
        <v>3.399365E-2</v>
      </c>
      <c r="L505">
        <v>7.24</v>
      </c>
      <c r="M505">
        <v>13.79</v>
      </c>
      <c r="N505">
        <v>6</v>
      </c>
      <c r="O505">
        <v>6</v>
      </c>
      <c r="P505">
        <v>36</v>
      </c>
      <c r="Q505">
        <v>144</v>
      </c>
      <c r="R505">
        <v>285.64</v>
      </c>
      <c r="S505">
        <v>1.2237714</v>
      </c>
      <c r="T505">
        <v>75</v>
      </c>
      <c r="U505">
        <v>3406</v>
      </c>
      <c r="V505">
        <v>46968.74</v>
      </c>
      <c r="W505" s="1" t="s">
        <v>1258</v>
      </c>
      <c r="X505" s="1" t="s">
        <v>1258</v>
      </c>
      <c r="Y505">
        <v>0.88235294117647056</v>
      </c>
      <c r="Z505">
        <v>0.11130718954248366</v>
      </c>
      <c r="AA505" s="1" t="s">
        <v>1259</v>
      </c>
      <c r="AB505">
        <v>0</v>
      </c>
      <c r="AC505">
        <v>1</v>
      </c>
      <c r="AD505" s="1">
        <v>8.3159130945390487</v>
      </c>
      <c r="AE505">
        <v>4</v>
      </c>
      <c r="AF505">
        <f>COUNTIFS(tblStock[sku],tblSKU[[#This Row],[sku]])</f>
        <v>2</v>
      </c>
      <c r="AG505" cm="1">
        <f t="array" ref="AG505">SUM(SUMIFS(tblStock[qty_units],tblStock[sku],tblSKU[[#This Row],[sku]],tblStock[stock_type],{"Saleable","FOC"}))</f>
        <v>7081</v>
      </c>
      <c r="AH505" s="3">
        <f>SUMIFS(tblStock[value_nzd],tblStock[sku],tblSKU[[#This Row],[sku]])</f>
        <v>97646.989999999991</v>
      </c>
      <c r="AI505" s="4">
        <f>SUMIFS(tblStock[cbm],tblStock[sku],tblSKU[[#This Row],[sku]])</f>
        <v>4.8141807130000007</v>
      </c>
      <c r="AJ505" s="1">
        <f>SUMIFS(tblStock[positions],tblStock[sku],tblSKU[[#This Row],[sku]])</f>
        <v>4</v>
      </c>
      <c r="AK505" s="3">
        <f>SUMIFS(tblStock[value_nzd],tblStock[sku],tblSKU[[#This Row],[sku]],tblStock[stock_type],"Expired")</f>
        <v>0</v>
      </c>
      <c r="AL505" s="3" cm="1">
        <f t="array" ref="AL505">SUM(SUMIFS(tblStock[value_nzd],tblStock[sku],tblSKU[[#This Row],[sku]],tblStock[stock_type],{"Saleable","FOC"},tblStock[expiry_date],"&lt;"&amp;EDATE(SnapshotDate,6)))</f>
        <v>97274.659999999989</v>
      </c>
    </row>
    <row r="506" spans="1:38">
      <c r="A506" s="1" t="s">
        <v>1071</v>
      </c>
      <c r="B506" s="1" t="s">
        <v>1072</v>
      </c>
      <c r="C506" s="1" t="s">
        <v>70</v>
      </c>
      <c r="D506" s="1" t="s">
        <v>37</v>
      </c>
      <c r="E506" s="1" t="s">
        <v>1052</v>
      </c>
      <c r="F506" s="1" t="s">
        <v>39</v>
      </c>
      <c r="G506">
        <v>50</v>
      </c>
      <c r="H506">
        <v>41.8</v>
      </c>
      <c r="I506">
        <v>26.1</v>
      </c>
      <c r="J506">
        <v>20.5</v>
      </c>
      <c r="K506">
        <v>2.2370000000000001E-2</v>
      </c>
      <c r="L506">
        <v>3.81</v>
      </c>
      <c r="M506">
        <v>11.14</v>
      </c>
      <c r="N506">
        <v>8</v>
      </c>
      <c r="O506">
        <v>3</v>
      </c>
      <c r="P506">
        <v>24</v>
      </c>
      <c r="Q506">
        <v>76.5</v>
      </c>
      <c r="R506">
        <v>116.44</v>
      </c>
      <c r="S506">
        <v>0.53688000000000002</v>
      </c>
      <c r="T506">
        <v>3</v>
      </c>
      <c r="U506">
        <v>57</v>
      </c>
      <c r="V506">
        <v>634.98</v>
      </c>
      <c r="W506" s="1" t="s">
        <v>1262</v>
      </c>
      <c r="X506" s="1" t="s">
        <v>1262</v>
      </c>
      <c r="Y506">
        <v>3.5294117647058823E-2</v>
      </c>
      <c r="Z506">
        <v>2.7941176470588232E-3</v>
      </c>
      <c r="AA506" s="1" t="s">
        <v>1263</v>
      </c>
      <c r="AB506">
        <v>0</v>
      </c>
      <c r="AC506">
        <v>0</v>
      </c>
      <c r="AD506" s="1">
        <v>9.9649122807017552</v>
      </c>
      <c r="AE506">
        <v>2</v>
      </c>
      <c r="AF506">
        <f>COUNTIFS(tblStock[sku],tblSKU[[#This Row],[sku]])</f>
        <v>1</v>
      </c>
      <c r="AG506" cm="1">
        <f t="array" ref="AG506">SUM(SUMIFS(tblStock[qty_units],tblStock[sku],tblSKU[[#This Row],[sku]],tblStock[stock_type],{"Saleable","FOC"}))</f>
        <v>142</v>
      </c>
      <c r="AH506" s="3">
        <f>SUMIFS(tblStock[value_nzd],tblStock[sku],tblSKU[[#This Row],[sku]])</f>
        <v>1581.88</v>
      </c>
      <c r="AI506" s="4">
        <f>SUMIFS(tblStock[cbm],tblStock[sku],tblSKU[[#This Row],[sku]])</f>
        <v>6.3530799999999998E-2</v>
      </c>
      <c r="AJ506" s="1">
        <f>SUMIFS(tblStock[positions],tblStock[sku],tblSKU[[#This Row],[sku]])</f>
        <v>0</v>
      </c>
      <c r="AK506" s="3">
        <f>SUMIFS(tblStock[value_nzd],tblStock[sku],tblSKU[[#This Row],[sku]],tblStock[stock_type],"Expired")</f>
        <v>0</v>
      </c>
      <c r="AL506" s="3" cm="1">
        <f t="array" ref="AL506">SUM(SUMIFS(tblStock[value_nzd],tblStock[sku],tblSKU[[#This Row],[sku]],tblStock[stock_type],{"Saleable","FOC"},tblStock[expiry_date],"&lt;"&amp;EDATE(SnapshotDate,6)))</f>
        <v>0</v>
      </c>
    </row>
    <row r="507" spans="1:38">
      <c r="A507" s="1" t="s">
        <v>1073</v>
      </c>
      <c r="B507" s="1" t="s">
        <v>1074</v>
      </c>
      <c r="C507" s="1" t="s">
        <v>70</v>
      </c>
      <c r="D507" s="1" t="s">
        <v>37</v>
      </c>
      <c r="E507" s="1" t="s">
        <v>1052</v>
      </c>
      <c r="F507" s="1" t="s">
        <v>39</v>
      </c>
      <c r="G507">
        <v>50</v>
      </c>
      <c r="H507">
        <v>53</v>
      </c>
      <c r="I507">
        <v>32</v>
      </c>
      <c r="J507">
        <v>23.8</v>
      </c>
      <c r="K507">
        <v>4.036E-2</v>
      </c>
      <c r="L507">
        <v>9.9700000000000006</v>
      </c>
      <c r="M507">
        <v>15.54</v>
      </c>
      <c r="N507">
        <v>6</v>
      </c>
      <c r="O507">
        <v>5</v>
      </c>
      <c r="P507">
        <v>30</v>
      </c>
      <c r="Q507">
        <v>134</v>
      </c>
      <c r="R507">
        <v>324.10000000000002</v>
      </c>
      <c r="S507">
        <v>1.2108000000000001</v>
      </c>
      <c r="T507">
        <v>45</v>
      </c>
      <c r="U507">
        <v>1592</v>
      </c>
      <c r="V507">
        <v>24739.68</v>
      </c>
      <c r="W507" s="1" t="s">
        <v>1258</v>
      </c>
      <c r="X507" s="1" t="s">
        <v>1262</v>
      </c>
      <c r="Y507">
        <v>0.52941176470588236</v>
      </c>
      <c r="Z507">
        <v>6.2431372549019613E-2</v>
      </c>
      <c r="AA507" s="1" t="s">
        <v>1259</v>
      </c>
      <c r="AB507">
        <v>0</v>
      </c>
      <c r="AC507">
        <v>1</v>
      </c>
      <c r="AD507" s="1">
        <v>3.0351758793969847</v>
      </c>
      <c r="AE507">
        <v>2</v>
      </c>
      <c r="AF507">
        <f>COUNTIFS(tblStock[sku],tblSKU[[#This Row],[sku]])</f>
        <v>3</v>
      </c>
      <c r="AG507" cm="1">
        <f t="array" ref="AG507">SUM(SUMIFS(tblStock[qty_units],tblStock[sku],tblSKU[[#This Row],[sku]],tblStock[stock_type],{"Saleable","FOC"}))</f>
        <v>1208</v>
      </c>
      <c r="AH507" s="3">
        <f>SUMIFS(tblStock[value_nzd],tblStock[sku],tblSKU[[#This Row],[sku]])</f>
        <v>20264.16</v>
      </c>
      <c r="AI507" s="4">
        <f>SUMIFS(tblStock[cbm],tblStock[sku],tblSKU[[#This Row],[sku]])</f>
        <v>1.0525888000000001</v>
      </c>
      <c r="AJ507" s="1">
        <f>SUMIFS(tblStock[positions],tblStock[sku],tblSKU[[#This Row],[sku]])</f>
        <v>2</v>
      </c>
      <c r="AK507" s="3">
        <f>SUMIFS(tblStock[value_nzd],tblStock[sku],tblSKU[[#This Row],[sku]],tblStock[stock_type],"Expired")</f>
        <v>1491.84</v>
      </c>
      <c r="AL507" s="3" cm="1">
        <f t="array" ref="AL507">SUM(SUMIFS(tblStock[value_nzd],tblStock[sku],tblSKU[[#This Row],[sku]],tblStock[stock_type],{"Saleable","FOC"},tblStock[expiry_date],"&lt;"&amp;EDATE(SnapshotDate,6)))</f>
        <v>6231.54</v>
      </c>
    </row>
    <row r="508" spans="1:38">
      <c r="A508" s="1" t="s">
        <v>1075</v>
      </c>
      <c r="B508" s="1" t="s">
        <v>1076</v>
      </c>
      <c r="C508" s="1" t="s">
        <v>1077</v>
      </c>
      <c r="D508" s="1" t="s">
        <v>37</v>
      </c>
      <c r="E508" s="1" t="s">
        <v>1078</v>
      </c>
      <c r="F508" s="1" t="s">
        <v>39</v>
      </c>
      <c r="G508">
        <v>24</v>
      </c>
      <c r="H508">
        <v>30.8</v>
      </c>
      <c r="I508">
        <v>25.6</v>
      </c>
      <c r="J508">
        <v>23.6</v>
      </c>
      <c r="K508">
        <v>1.8610000000000002E-2</v>
      </c>
      <c r="L508">
        <v>8.7899999999999991</v>
      </c>
      <c r="M508">
        <v>39.68</v>
      </c>
      <c r="N508">
        <v>10</v>
      </c>
      <c r="O508">
        <v>3</v>
      </c>
      <c r="P508">
        <v>30</v>
      </c>
      <c r="Q508">
        <v>85.800000000000011</v>
      </c>
      <c r="R508">
        <v>288.7</v>
      </c>
      <c r="S508">
        <v>0.55830000000000002</v>
      </c>
      <c r="T508">
        <v>1</v>
      </c>
      <c r="U508">
        <v>54</v>
      </c>
      <c r="V508">
        <v>2142.7199999999998</v>
      </c>
      <c r="W508" s="1" t="s">
        <v>1262</v>
      </c>
      <c r="X508" s="1" t="s">
        <v>1262</v>
      </c>
      <c r="Y508">
        <v>1.1764705882352941E-2</v>
      </c>
      <c r="Z508">
        <v>4.4117647058823529E-3</v>
      </c>
      <c r="AA508" s="1" t="s">
        <v>1263</v>
      </c>
      <c r="AB508">
        <v>0</v>
      </c>
      <c r="AC508">
        <v>0</v>
      </c>
      <c r="AD508" s="1">
        <v>11.037037037037036</v>
      </c>
      <c r="AE508">
        <v>2</v>
      </c>
      <c r="AF508">
        <f>COUNTIFS(tblStock[sku],tblSKU[[#This Row],[sku]])</f>
        <v>1</v>
      </c>
      <c r="AG508" cm="1">
        <f t="array" ref="AG508">SUM(SUMIFS(tblStock[qty_units],tblStock[sku],tblSKU[[#This Row],[sku]],tblStock[stock_type],{"Saleable","FOC"}))</f>
        <v>149</v>
      </c>
      <c r="AH508" s="3">
        <f>SUMIFS(tblStock[value_nzd],tblStock[sku],tblSKU[[#This Row],[sku]])</f>
        <v>5912.32</v>
      </c>
      <c r="AI508" s="4">
        <f>SUMIFS(tblStock[cbm],tblStock[sku],tblSKU[[#This Row],[sku]])</f>
        <v>0.11553708333333333</v>
      </c>
      <c r="AJ508" s="1">
        <f>SUMIFS(tblStock[positions],tblStock[sku],tblSKU[[#This Row],[sku]])</f>
        <v>0</v>
      </c>
      <c r="AK508" s="3">
        <f>SUMIFS(tblStock[value_nzd],tblStock[sku],tblSKU[[#This Row],[sku]],tblStock[stock_type],"Expired")</f>
        <v>0</v>
      </c>
      <c r="AL508" s="3" cm="1">
        <f t="array" ref="AL508">SUM(SUMIFS(tblStock[value_nzd],tblStock[sku],tblSKU[[#This Row],[sku]],tblStock[stock_type],{"Saleable","FOC"},tblStock[expiry_date],"&lt;"&amp;EDATE(SnapshotDate,6)))</f>
        <v>0</v>
      </c>
    </row>
    <row r="509" spans="1:38">
      <c r="A509" s="1" t="s">
        <v>1079</v>
      </c>
      <c r="B509" s="1" t="s">
        <v>1080</v>
      </c>
      <c r="C509" s="1" t="s">
        <v>1077</v>
      </c>
      <c r="D509" s="1" t="s">
        <v>37</v>
      </c>
      <c r="E509" s="1" t="s">
        <v>1078</v>
      </c>
      <c r="F509" s="1" t="s">
        <v>1081</v>
      </c>
      <c r="G509">
        <v>6</v>
      </c>
      <c r="H509">
        <v>44.7</v>
      </c>
      <c r="I509">
        <v>32.9</v>
      </c>
      <c r="J509">
        <v>29.2</v>
      </c>
      <c r="K509">
        <v>4.2939999999999999E-2</v>
      </c>
      <c r="L509">
        <v>16.41</v>
      </c>
      <c r="M509">
        <v>17.309999999999999</v>
      </c>
      <c r="N509">
        <v>6</v>
      </c>
      <c r="O509">
        <v>3</v>
      </c>
      <c r="P509">
        <v>18</v>
      </c>
      <c r="Q509">
        <v>102.6</v>
      </c>
      <c r="R509">
        <v>320.38</v>
      </c>
      <c r="S509">
        <v>0.77291999999999994</v>
      </c>
      <c r="T509">
        <v>2</v>
      </c>
      <c r="U509">
        <v>14</v>
      </c>
      <c r="V509">
        <v>242.33999999999997</v>
      </c>
      <c r="W509" s="1" t="s">
        <v>1262</v>
      </c>
      <c r="X509" s="1" t="s">
        <v>1262</v>
      </c>
      <c r="Y509">
        <v>2.3529411764705882E-2</v>
      </c>
      <c r="Z509">
        <v>7.6252723311546851E-3</v>
      </c>
      <c r="AA509" s="1" t="s">
        <v>1263</v>
      </c>
      <c r="AB509">
        <v>0</v>
      </c>
      <c r="AC509">
        <v>0</v>
      </c>
      <c r="AD509" s="1">
        <v>11.714285714285714</v>
      </c>
      <c r="AE509">
        <v>2</v>
      </c>
      <c r="AF509">
        <f>COUNTIFS(tblStock[sku],tblSKU[[#This Row],[sku]])</f>
        <v>2</v>
      </c>
      <c r="AG509" cm="1">
        <f t="array" ref="AG509">SUM(SUMIFS(tblStock[qty_units],tblStock[sku],tblSKU[[#This Row],[sku]],tblStock[stock_type],{"Saleable","FOC"}))</f>
        <v>41</v>
      </c>
      <c r="AH509" s="3">
        <f>SUMIFS(tblStock[value_nzd],tblStock[sku],tblSKU[[#This Row],[sku]])</f>
        <v>709.70999999999992</v>
      </c>
      <c r="AI509" s="4">
        <f>SUMIFS(tblStock[cbm],tblStock[sku],tblSKU[[#This Row],[sku]])</f>
        <v>0.29342333333333331</v>
      </c>
      <c r="AJ509" s="1">
        <f>SUMIFS(tblStock[positions],tblStock[sku],tblSKU[[#This Row],[sku]])</f>
        <v>1</v>
      </c>
      <c r="AK509" s="3">
        <f>SUMIFS(tblStock[value_nzd],tblStock[sku],tblSKU[[#This Row],[sku]],tblStock[stock_type],"Expired")</f>
        <v>0</v>
      </c>
      <c r="AL509" s="3" cm="1">
        <f t="array" ref="AL509">SUM(SUMIFS(tblStock[value_nzd],tblStock[sku],tblSKU[[#This Row],[sku]],tblStock[stock_type],{"Saleable","FOC"},tblStock[expiry_date],"&lt;"&amp;EDATE(SnapshotDate,6)))</f>
        <v>0</v>
      </c>
    </row>
    <row r="510" spans="1:38">
      <c r="A510" s="1" t="s">
        <v>1082</v>
      </c>
      <c r="B510" s="1" t="s">
        <v>1083</v>
      </c>
      <c r="C510" s="1" t="s">
        <v>1077</v>
      </c>
      <c r="D510" s="1" t="s">
        <v>37</v>
      </c>
      <c r="E510" s="1" t="s">
        <v>1078</v>
      </c>
      <c r="F510" s="1" t="s">
        <v>1081</v>
      </c>
      <c r="G510">
        <v>6</v>
      </c>
      <c r="H510">
        <v>39.700000000000003</v>
      </c>
      <c r="I510">
        <v>34.200000000000003</v>
      </c>
      <c r="J510">
        <v>27.1</v>
      </c>
      <c r="K510">
        <v>3.6790000000000003E-2</v>
      </c>
      <c r="L510">
        <v>17.809999999999999</v>
      </c>
      <c r="M510">
        <v>29.37</v>
      </c>
      <c r="N510">
        <v>6</v>
      </c>
      <c r="O510">
        <v>3</v>
      </c>
      <c r="P510">
        <v>18</v>
      </c>
      <c r="Q510">
        <v>96.300000000000011</v>
      </c>
      <c r="R510">
        <v>345.58</v>
      </c>
      <c r="S510">
        <v>0.66222000000000003</v>
      </c>
      <c r="T510">
        <v>66</v>
      </c>
      <c r="U510">
        <v>2113</v>
      </c>
      <c r="V510">
        <v>62058.810000000005</v>
      </c>
      <c r="W510" s="1" t="s">
        <v>1258</v>
      </c>
      <c r="X510" s="1" t="s">
        <v>1258</v>
      </c>
      <c r="Y510">
        <v>0.77647058823529413</v>
      </c>
      <c r="Z510">
        <v>1.1508714596949892</v>
      </c>
      <c r="AA510" s="1" t="s">
        <v>1259</v>
      </c>
      <c r="AB510">
        <v>0</v>
      </c>
      <c r="AC510">
        <v>1</v>
      </c>
      <c r="AD510" s="1">
        <v>5.0279223852342643</v>
      </c>
      <c r="AE510">
        <v>4</v>
      </c>
      <c r="AF510">
        <f>COUNTIFS(tblStock[sku],tblSKU[[#This Row],[sku]])</f>
        <v>2</v>
      </c>
      <c r="AG510" cm="1">
        <f t="array" ref="AG510">SUM(SUMIFS(tblStock[qty_units],tblStock[sku],tblSKU[[#This Row],[sku]],tblStock[stock_type],{"Saleable","FOC"}))</f>
        <v>2656</v>
      </c>
      <c r="AH510" s="3">
        <f>SUMIFS(tblStock[value_nzd],tblStock[sku],tblSKU[[#This Row],[sku]])</f>
        <v>78006.720000000001</v>
      </c>
      <c r="AI510" s="4">
        <f>SUMIFS(tblStock[cbm],tblStock[sku],tblSKU[[#This Row],[sku]])</f>
        <v>16.28570666666667</v>
      </c>
      <c r="AJ510" s="1">
        <f>SUMIFS(tblStock[positions],tblStock[sku],tblSKU[[#This Row],[sku]])</f>
        <v>25</v>
      </c>
      <c r="AK510" s="3">
        <f>SUMIFS(tblStock[value_nzd],tblStock[sku],tblSKU[[#This Row],[sku]],tblStock[stock_type],"Expired")</f>
        <v>0</v>
      </c>
      <c r="AL510" s="3" cm="1">
        <f t="array" ref="AL510">SUM(SUMIFS(tblStock[value_nzd],tblStock[sku],tblSKU[[#This Row],[sku]],tblStock[stock_type],{"Saleable","FOC"},tblStock[expiry_date],"&lt;"&amp;EDATE(SnapshotDate,6)))</f>
        <v>0</v>
      </c>
    </row>
    <row r="511" spans="1:38">
      <c r="A511" s="1" t="s">
        <v>1084</v>
      </c>
      <c r="B511" s="1" t="s">
        <v>1085</v>
      </c>
      <c r="C511" s="1" t="s">
        <v>1077</v>
      </c>
      <c r="D511" s="1" t="s">
        <v>37</v>
      </c>
      <c r="E511" s="1" t="s">
        <v>1078</v>
      </c>
      <c r="F511" s="1" t="s">
        <v>39</v>
      </c>
      <c r="G511">
        <v>6</v>
      </c>
      <c r="H511">
        <v>42.4</v>
      </c>
      <c r="I511">
        <v>32.700000000000003</v>
      </c>
      <c r="J511">
        <v>29.3</v>
      </c>
      <c r="K511">
        <v>4.0620000000000003E-2</v>
      </c>
      <c r="L511">
        <v>18.28</v>
      </c>
      <c r="M511">
        <v>15.91</v>
      </c>
      <c r="N511">
        <v>6</v>
      </c>
      <c r="O511">
        <v>3</v>
      </c>
      <c r="P511">
        <v>18</v>
      </c>
      <c r="Q511">
        <v>102.9</v>
      </c>
      <c r="R511">
        <v>354.04</v>
      </c>
      <c r="S511">
        <v>0.73116000000000003</v>
      </c>
      <c r="T511">
        <v>83</v>
      </c>
      <c r="U511">
        <v>3049</v>
      </c>
      <c r="V511">
        <v>48509.590000000004</v>
      </c>
      <c r="W511" s="1" t="s">
        <v>1264</v>
      </c>
      <c r="X511" s="1" t="s">
        <v>1258</v>
      </c>
      <c r="Y511">
        <v>0.97647058823529409</v>
      </c>
      <c r="Z511">
        <v>1.6606753812636166</v>
      </c>
      <c r="AA511" s="1" t="s">
        <v>1265</v>
      </c>
      <c r="AB511">
        <v>1</v>
      </c>
      <c r="AC511">
        <v>0</v>
      </c>
      <c r="AD511" s="1">
        <v>5.3971794030829781</v>
      </c>
      <c r="AE511">
        <v>4</v>
      </c>
      <c r="AF511">
        <f>COUNTIFS(tblStock[sku],tblSKU[[#This Row],[sku]])</f>
        <v>4</v>
      </c>
      <c r="AG511" cm="1">
        <f t="array" ref="AG511">SUM(SUMIFS(tblStock[qty_units],tblStock[sku],tblSKU[[#This Row],[sku]],tblStock[stock_type],{"Saleable","FOC"}))</f>
        <v>4114</v>
      </c>
      <c r="AH511" s="3">
        <f>SUMIFS(tblStock[value_nzd],tblStock[sku],tblSKU[[#This Row],[sku]])</f>
        <v>68556.19</v>
      </c>
      <c r="AI511" s="4">
        <f>SUMIFS(tblStock[cbm],tblStock[sku],tblSKU[[#This Row],[sku]])</f>
        <v>29.171930000000003</v>
      </c>
      <c r="AJ511" s="1">
        <f>SUMIFS(tblStock[positions],tblStock[sku],tblSKU[[#This Row],[sku]])</f>
        <v>40</v>
      </c>
      <c r="AK511" s="3">
        <f>SUMIFS(tblStock[value_nzd],tblStock[sku],tblSKU[[#This Row],[sku]],tblStock[stock_type],"Expired")</f>
        <v>0</v>
      </c>
      <c r="AL511" s="3" cm="1">
        <f t="array" ref="AL511">SUM(SUMIFS(tblStock[value_nzd],tblStock[sku],tblSKU[[#This Row],[sku]],tblStock[stock_type],{"Saleable","FOC"},tblStock[expiry_date],"&lt;"&amp;EDATE(SnapshotDate,6)))</f>
        <v>0</v>
      </c>
    </row>
    <row r="512" spans="1:38">
      <c r="A512" s="1" t="s">
        <v>1086</v>
      </c>
      <c r="B512" s="1" t="s">
        <v>1087</v>
      </c>
      <c r="C512" s="1" t="s">
        <v>1077</v>
      </c>
      <c r="D512" s="1" t="s">
        <v>37</v>
      </c>
      <c r="E512" s="1" t="s">
        <v>1078</v>
      </c>
      <c r="F512" s="1" t="s">
        <v>39</v>
      </c>
      <c r="G512">
        <v>24</v>
      </c>
      <c r="H512">
        <v>40.700000000000003</v>
      </c>
      <c r="I512">
        <v>29.5</v>
      </c>
      <c r="J512">
        <v>25</v>
      </c>
      <c r="K512">
        <v>3.0020000000000002E-2</v>
      </c>
      <c r="L512">
        <v>12.74</v>
      </c>
      <c r="M512">
        <v>20.58</v>
      </c>
      <c r="N512">
        <v>8</v>
      </c>
      <c r="O512">
        <v>4</v>
      </c>
      <c r="P512">
        <v>32</v>
      </c>
      <c r="Q512">
        <v>115</v>
      </c>
      <c r="R512">
        <v>432.68</v>
      </c>
      <c r="S512">
        <v>0.96064000000000005</v>
      </c>
      <c r="T512">
        <v>81</v>
      </c>
      <c r="U512">
        <v>3497</v>
      </c>
      <c r="V512">
        <v>71968.259999999995</v>
      </c>
      <c r="W512" s="1" t="s">
        <v>1264</v>
      </c>
      <c r="X512" s="1" t="s">
        <v>1258</v>
      </c>
      <c r="Y512">
        <v>0.95294117647058818</v>
      </c>
      <c r="Z512">
        <v>0.26784620098039219</v>
      </c>
      <c r="AA512" s="1" t="s">
        <v>1265</v>
      </c>
      <c r="AB512">
        <v>1</v>
      </c>
      <c r="AC512">
        <v>0</v>
      </c>
      <c r="AD512" s="1">
        <v>4.5158707463540173</v>
      </c>
      <c r="AE512">
        <v>4</v>
      </c>
      <c r="AF512">
        <f>COUNTIFS(tblStock[sku],tblSKU[[#This Row],[sku]])</f>
        <v>2</v>
      </c>
      <c r="AG512" cm="1">
        <f t="array" ref="AG512">SUM(SUMIFS(tblStock[qty_units],tblStock[sku],tblSKU[[#This Row],[sku]],tblStock[stock_type],{"Saleable","FOC"}))</f>
        <v>3948</v>
      </c>
      <c r="AH512" s="3">
        <f>SUMIFS(tblStock[value_nzd],tblStock[sku],tblSKU[[#This Row],[sku]])</f>
        <v>82855.08</v>
      </c>
      <c r="AI512" s="4">
        <f>SUMIFS(tblStock[cbm],tblStock[sku],tblSKU[[#This Row],[sku]])</f>
        <v>5.0358550000000006</v>
      </c>
      <c r="AJ512" s="1">
        <f>SUMIFS(tblStock[positions],tblStock[sku],tblSKU[[#This Row],[sku]])</f>
        <v>6</v>
      </c>
      <c r="AK512" s="3">
        <f>SUMIFS(tblStock[value_nzd],tblStock[sku],tblSKU[[#This Row],[sku]],tblStock[stock_type],"Expired")</f>
        <v>0</v>
      </c>
      <c r="AL512" s="3" cm="1">
        <f t="array" ref="AL512">SUM(SUMIFS(tblStock[value_nzd],tblStock[sku],tblSKU[[#This Row],[sku]],tblStock[stock_type],{"Saleable","FOC"},tblStock[expiry_date],"&lt;"&amp;EDATE(SnapshotDate,6)))</f>
        <v>0</v>
      </c>
    </row>
    <row r="513" spans="1:38">
      <c r="A513" s="1" t="s">
        <v>1088</v>
      </c>
      <c r="B513" s="1" t="s">
        <v>1089</v>
      </c>
      <c r="C513" s="1" t="s">
        <v>1077</v>
      </c>
      <c r="D513" s="1" t="s">
        <v>37</v>
      </c>
      <c r="E513" s="1" t="s">
        <v>1078</v>
      </c>
      <c r="F513" s="1" t="s">
        <v>1081</v>
      </c>
      <c r="G513">
        <v>24</v>
      </c>
      <c r="H513">
        <v>39.5</v>
      </c>
      <c r="I513">
        <v>31</v>
      </c>
      <c r="J513">
        <v>20.2</v>
      </c>
      <c r="K513">
        <v>2.4729999999999999E-2</v>
      </c>
      <c r="L513">
        <v>12.02</v>
      </c>
      <c r="M513">
        <v>38.57</v>
      </c>
      <c r="N513">
        <v>9</v>
      </c>
      <c r="O513">
        <v>6</v>
      </c>
      <c r="P513">
        <v>54</v>
      </c>
      <c r="Q513">
        <v>136.19999999999999</v>
      </c>
      <c r="R513">
        <v>674.07999999999993</v>
      </c>
      <c r="S513">
        <v>1.3354199999999998</v>
      </c>
      <c r="T513">
        <v>31</v>
      </c>
      <c r="U513">
        <v>1397</v>
      </c>
      <c r="V513">
        <v>53882.29</v>
      </c>
      <c r="W513" s="1" t="s">
        <v>1258</v>
      </c>
      <c r="X513" s="1" t="s">
        <v>1258</v>
      </c>
      <c r="Y513">
        <v>0.36470588235294116</v>
      </c>
      <c r="Z513">
        <v>6.3407770515613651E-2</v>
      </c>
      <c r="AA513" s="1" t="s">
        <v>1259</v>
      </c>
      <c r="AB513">
        <v>0</v>
      </c>
      <c r="AC513">
        <v>1</v>
      </c>
      <c r="AD513" s="1">
        <v>7.3614889047959915</v>
      </c>
      <c r="AE513">
        <v>4</v>
      </c>
      <c r="AF513">
        <f>COUNTIFS(tblStock[sku],tblSKU[[#This Row],[sku]])</f>
        <v>2</v>
      </c>
      <c r="AG513" cm="1">
        <f t="array" ref="AG513">SUM(SUMIFS(tblStock[qty_units],tblStock[sku],tblSKU[[#This Row],[sku]],tblStock[stock_type],{"Saleable","FOC"}))</f>
        <v>2571</v>
      </c>
      <c r="AH513" s="3">
        <f>SUMIFS(tblStock[value_nzd],tblStock[sku],tblSKU[[#This Row],[sku]])</f>
        <v>99163.47</v>
      </c>
      <c r="AI513" s="4">
        <f>SUMIFS(tblStock[cbm],tblStock[sku],tblSKU[[#This Row],[sku]])</f>
        <v>2.64920125</v>
      </c>
      <c r="AJ513" s="1">
        <f>SUMIFS(tblStock[positions],tblStock[sku],tblSKU[[#This Row],[sku]])</f>
        <v>3</v>
      </c>
      <c r="AK513" s="3">
        <f>SUMIFS(tblStock[value_nzd],tblStock[sku],tblSKU[[#This Row],[sku]],tblStock[stock_type],"Expired")</f>
        <v>0</v>
      </c>
      <c r="AL513" s="3" cm="1">
        <f t="array" ref="AL513">SUM(SUMIFS(tblStock[value_nzd],tblStock[sku],tblSKU[[#This Row],[sku]],tblStock[stock_type],{"Saleable","FOC"},tblStock[expiry_date],"&lt;"&amp;EDATE(SnapshotDate,6)))</f>
        <v>0</v>
      </c>
    </row>
    <row r="514" spans="1:38">
      <c r="A514" s="1" t="s">
        <v>1090</v>
      </c>
      <c r="B514" s="1" t="s">
        <v>1091</v>
      </c>
      <c r="C514" s="1" t="s">
        <v>1077</v>
      </c>
      <c r="D514" s="1" t="s">
        <v>37</v>
      </c>
      <c r="E514" s="1" t="s">
        <v>1078</v>
      </c>
      <c r="F514" s="1" t="s">
        <v>1081</v>
      </c>
      <c r="G514">
        <v>24</v>
      </c>
      <c r="H514">
        <v>36.799999999999997</v>
      </c>
      <c r="I514">
        <v>27.3</v>
      </c>
      <c r="J514">
        <v>24</v>
      </c>
      <c r="K514">
        <v>2.4109999999999999E-2</v>
      </c>
      <c r="L514">
        <v>10.86</v>
      </c>
      <c r="M514">
        <v>35.6</v>
      </c>
      <c r="N514">
        <v>9</v>
      </c>
      <c r="O514">
        <v>2</v>
      </c>
      <c r="P514">
        <v>18</v>
      </c>
      <c r="Q514">
        <v>63</v>
      </c>
      <c r="R514">
        <v>220.48</v>
      </c>
      <c r="S514">
        <v>0.43397999999999998</v>
      </c>
      <c r="T514">
        <v>63</v>
      </c>
      <c r="U514">
        <v>1781</v>
      </c>
      <c r="V514">
        <v>63403.600000000006</v>
      </c>
      <c r="W514" s="1" t="s">
        <v>1258</v>
      </c>
      <c r="X514" s="1" t="s">
        <v>1258</v>
      </c>
      <c r="Y514">
        <v>0.74117647058823533</v>
      </c>
      <c r="Z514">
        <v>0.24251089324618733</v>
      </c>
      <c r="AA514" s="1" t="s">
        <v>1259</v>
      </c>
      <c r="AB514">
        <v>0</v>
      </c>
      <c r="AC514">
        <v>1</v>
      </c>
      <c r="AD514" s="1">
        <v>1.940482874789444</v>
      </c>
      <c r="AE514">
        <v>4</v>
      </c>
      <c r="AF514">
        <f>COUNTIFS(tblStock[sku],tblSKU[[#This Row],[sku]])</f>
        <v>2</v>
      </c>
      <c r="AG514" cm="1">
        <f t="array" ref="AG514">SUM(SUMIFS(tblStock[qty_units],tblStock[sku],tblSKU[[#This Row],[sku]],tblStock[stock_type],{"Saleable","FOC"}))</f>
        <v>864</v>
      </c>
      <c r="AH514" s="3">
        <f>SUMIFS(tblStock[value_nzd],tblStock[sku],tblSKU[[#This Row],[sku]])</f>
        <v>30758.400000000001</v>
      </c>
      <c r="AI514" s="4">
        <f>SUMIFS(tblStock[cbm],tblStock[sku],tblSKU[[#This Row],[sku]])</f>
        <v>0.86796000000000006</v>
      </c>
      <c r="AJ514" s="1">
        <f>SUMIFS(tblStock[positions],tblStock[sku],tblSKU[[#This Row],[sku]])</f>
        <v>3</v>
      </c>
      <c r="AK514" s="3">
        <f>SUMIFS(tblStock[value_nzd],tblStock[sku],tblSKU[[#This Row],[sku]],tblStock[stock_type],"Expired")</f>
        <v>0</v>
      </c>
      <c r="AL514" s="3" cm="1">
        <f t="array" ref="AL514">SUM(SUMIFS(tblStock[value_nzd],tblStock[sku],tblSKU[[#This Row],[sku]],tblStock[stock_type],{"Saleable","FOC"},tblStock[expiry_date],"&lt;"&amp;EDATE(SnapshotDate,6)))</f>
        <v>11534.4</v>
      </c>
    </row>
    <row r="515" spans="1:38">
      <c r="A515" s="1" t="s">
        <v>1092</v>
      </c>
      <c r="B515" s="1" t="s">
        <v>1093</v>
      </c>
      <c r="C515" s="1" t="s">
        <v>1077</v>
      </c>
      <c r="D515" s="1" t="s">
        <v>37</v>
      </c>
      <c r="E515" s="1" t="s">
        <v>1078</v>
      </c>
      <c r="F515" s="1" t="s">
        <v>1081</v>
      </c>
      <c r="G515">
        <v>6</v>
      </c>
      <c r="H515">
        <v>41.5</v>
      </c>
      <c r="I515">
        <v>29.3</v>
      </c>
      <c r="J515">
        <v>21.1</v>
      </c>
      <c r="K515">
        <v>2.5659999999999999E-2</v>
      </c>
      <c r="L515">
        <v>11.12</v>
      </c>
      <c r="M515">
        <v>32.6</v>
      </c>
      <c r="N515">
        <v>8</v>
      </c>
      <c r="O515">
        <v>6</v>
      </c>
      <c r="P515">
        <v>48</v>
      </c>
      <c r="Q515">
        <v>141.60000000000002</v>
      </c>
      <c r="R515">
        <v>558.76</v>
      </c>
      <c r="S515">
        <v>1.2316799999999999</v>
      </c>
      <c r="T515">
        <v>14</v>
      </c>
      <c r="U515">
        <v>868</v>
      </c>
      <c r="V515">
        <v>28296.800000000003</v>
      </c>
      <c r="W515" s="1" t="s">
        <v>1262</v>
      </c>
      <c r="X515" s="1" t="s">
        <v>1262</v>
      </c>
      <c r="Y515">
        <v>0.16470588235294117</v>
      </c>
      <c r="Z515">
        <v>0.17728758169934641</v>
      </c>
      <c r="AA515" s="1" t="s">
        <v>1263</v>
      </c>
      <c r="AB515">
        <v>0</v>
      </c>
      <c r="AC515">
        <v>0</v>
      </c>
      <c r="AD515" s="1">
        <v>2.8341013824884791</v>
      </c>
      <c r="AE515">
        <v>2</v>
      </c>
      <c r="AF515">
        <f>COUNTIFS(tblStock[sku],tblSKU[[#This Row],[sku]])</f>
        <v>2</v>
      </c>
      <c r="AG515" cm="1">
        <f t="array" ref="AG515">SUM(SUMIFS(tblStock[qty_units],tblStock[sku],tblSKU[[#This Row],[sku]],tblStock[stock_type],{"Saleable","FOC"}))</f>
        <v>615</v>
      </c>
      <c r="AH515" s="3">
        <f>SUMIFS(tblStock[value_nzd],tblStock[sku],tblSKU[[#This Row],[sku]])</f>
        <v>20049</v>
      </c>
      <c r="AI515" s="4">
        <f>SUMIFS(tblStock[cbm],tblStock[sku],tblSKU[[#This Row],[sku]])</f>
        <v>2.6301499999999995</v>
      </c>
      <c r="AJ515" s="1">
        <f>SUMIFS(tblStock[positions],tblStock[sku],tblSKU[[#This Row],[sku]])</f>
        <v>3</v>
      </c>
      <c r="AK515" s="3">
        <f>SUMIFS(tblStock[value_nzd],tblStock[sku],tblSKU[[#This Row],[sku]],tblStock[stock_type],"Expired")</f>
        <v>0</v>
      </c>
      <c r="AL515" s="3" cm="1">
        <f t="array" ref="AL515">SUM(SUMIFS(tblStock[value_nzd],tblStock[sku],tblSKU[[#This Row],[sku]],tblStock[stock_type],{"Saleable","FOC"},tblStock[expiry_date],"&lt;"&amp;EDATE(SnapshotDate,6)))</f>
        <v>0</v>
      </c>
    </row>
    <row r="516" spans="1:38">
      <c r="A516" s="1" t="s">
        <v>1094</v>
      </c>
      <c r="B516" s="1" t="s">
        <v>1095</v>
      </c>
      <c r="C516" s="1" t="s">
        <v>1077</v>
      </c>
      <c r="D516" s="1" t="s">
        <v>37</v>
      </c>
      <c r="E516" s="1" t="s">
        <v>1078</v>
      </c>
      <c r="F516" s="1" t="s">
        <v>1081</v>
      </c>
      <c r="G516">
        <v>6</v>
      </c>
      <c r="H516">
        <v>30.9</v>
      </c>
      <c r="I516">
        <v>28.2</v>
      </c>
      <c r="J516">
        <v>28.6</v>
      </c>
      <c r="K516">
        <v>2.4921467999999999E-2</v>
      </c>
      <c r="L516">
        <v>9.83</v>
      </c>
      <c r="M516">
        <v>44.78</v>
      </c>
      <c r="N516">
        <v>12</v>
      </c>
      <c r="O516">
        <v>4</v>
      </c>
      <c r="P516">
        <v>48</v>
      </c>
      <c r="Q516">
        <v>129.4</v>
      </c>
      <c r="R516">
        <v>496.84000000000003</v>
      </c>
      <c r="S516">
        <v>1.1962304639999999</v>
      </c>
      <c r="T516">
        <v>3</v>
      </c>
      <c r="U516">
        <v>41</v>
      </c>
      <c r="V516">
        <v>1835.98</v>
      </c>
      <c r="W516" s="1" t="s">
        <v>1262</v>
      </c>
      <c r="X516" s="1" t="s">
        <v>1262</v>
      </c>
      <c r="Y516">
        <v>3.5294117647058823E-2</v>
      </c>
      <c r="Z516">
        <v>8.3741830065359475E-3</v>
      </c>
      <c r="AA516" s="1" t="s">
        <v>1263</v>
      </c>
      <c r="AB516">
        <v>0</v>
      </c>
      <c r="AC516">
        <v>0</v>
      </c>
      <c r="AD516" s="1">
        <v>12.585365853658537</v>
      </c>
      <c r="AE516">
        <v>2</v>
      </c>
      <c r="AF516">
        <f>COUNTIFS(tblStock[sku],tblSKU[[#This Row],[sku]])</f>
        <v>5</v>
      </c>
      <c r="AG516" cm="1">
        <f t="array" ref="AG516">SUM(SUMIFS(tblStock[qty_units],tblStock[sku],tblSKU[[#This Row],[sku]],tblStock[stock_type],{"Saleable","FOC"}))</f>
        <v>129</v>
      </c>
      <c r="AH516" s="3">
        <f>SUMIFS(tblStock[value_nzd],tblStock[sku],tblSKU[[#This Row],[sku]])</f>
        <v>6224.42</v>
      </c>
      <c r="AI516" s="4">
        <f>SUMIFS(tblStock[cbm],tblStock[sku],tblSKU[[#This Row],[sku]])</f>
        <v>0.57734734200000004</v>
      </c>
      <c r="AJ516" s="1">
        <f>SUMIFS(tblStock[positions],tblStock[sku],tblSKU[[#This Row],[sku]])</f>
        <v>1</v>
      </c>
      <c r="AK516" s="3">
        <f>SUMIFS(tblStock[value_nzd],tblStock[sku],tblSKU[[#This Row],[sku]],tblStock[stock_type],"Expired")</f>
        <v>447.8</v>
      </c>
      <c r="AL516" s="3" cm="1">
        <f t="array" ref="AL516">SUM(SUMIFS(tblStock[value_nzd],tblStock[sku],tblSKU[[#This Row],[sku]],tblStock[stock_type],{"Saleable","FOC"},tblStock[expiry_date],"&lt;"&amp;EDATE(SnapshotDate,6)))</f>
        <v>0</v>
      </c>
    </row>
    <row r="517" spans="1:38">
      <c r="A517" s="1" t="s">
        <v>1096</v>
      </c>
      <c r="B517" s="1" t="s">
        <v>1097</v>
      </c>
      <c r="C517" s="1" t="s">
        <v>1077</v>
      </c>
      <c r="D517" s="1" t="s">
        <v>37</v>
      </c>
      <c r="E517" s="1" t="s">
        <v>1078</v>
      </c>
      <c r="F517" s="1" t="s">
        <v>1081</v>
      </c>
      <c r="G517">
        <v>24</v>
      </c>
      <c r="H517">
        <v>42.8</v>
      </c>
      <c r="I517">
        <v>31</v>
      </c>
      <c r="J517">
        <v>29.3</v>
      </c>
      <c r="K517">
        <v>3.8879999999999998E-2</v>
      </c>
      <c r="L517">
        <v>20.399999999999999</v>
      </c>
      <c r="M517">
        <v>38.68</v>
      </c>
      <c r="N517">
        <v>6</v>
      </c>
      <c r="O517">
        <v>4</v>
      </c>
      <c r="P517">
        <v>24</v>
      </c>
      <c r="Q517">
        <v>132.19999999999999</v>
      </c>
      <c r="R517">
        <v>514.59999999999991</v>
      </c>
      <c r="S517">
        <v>0.93311999999999995</v>
      </c>
      <c r="T517">
        <v>46</v>
      </c>
      <c r="U517">
        <v>2060</v>
      </c>
      <c r="V517">
        <v>79680.800000000003</v>
      </c>
      <c r="W517" s="1" t="s">
        <v>1258</v>
      </c>
      <c r="X517" s="1" t="s">
        <v>1258</v>
      </c>
      <c r="Y517">
        <v>0.54117647058823526</v>
      </c>
      <c r="Z517">
        <v>0.21037581699346405</v>
      </c>
      <c r="AA517" s="1" t="s">
        <v>1259</v>
      </c>
      <c r="AB517">
        <v>0</v>
      </c>
      <c r="AC517">
        <v>1</v>
      </c>
      <c r="AD517" s="1">
        <v>2.8155339805825244</v>
      </c>
      <c r="AE517">
        <v>4</v>
      </c>
      <c r="AF517">
        <f>COUNTIFS(tblStock[sku],tblSKU[[#This Row],[sku]])</f>
        <v>1</v>
      </c>
      <c r="AG517" cm="1">
        <f t="array" ref="AG517">SUM(SUMIFS(tblStock[qty_units],tblStock[sku],tblSKU[[#This Row],[sku]],tblStock[stock_type],{"Saleable","FOC"}))</f>
        <v>1450</v>
      </c>
      <c r="AH517" s="3">
        <f>SUMIFS(tblStock[value_nzd],tblStock[sku],tblSKU[[#This Row],[sku]])</f>
        <v>56086</v>
      </c>
      <c r="AI517" s="4">
        <f>SUMIFS(tblStock[cbm],tblStock[sku],tblSKU[[#This Row],[sku]])</f>
        <v>2.3489999999999998</v>
      </c>
      <c r="AJ517" s="1">
        <f>SUMIFS(tblStock[positions],tblStock[sku],tblSKU[[#This Row],[sku]])</f>
        <v>3</v>
      </c>
      <c r="AK517" s="3">
        <f>SUMIFS(tblStock[value_nzd],tblStock[sku],tblSKU[[#This Row],[sku]],tblStock[stock_type],"Expired")</f>
        <v>0</v>
      </c>
      <c r="AL517" s="3" cm="1">
        <f t="array" ref="AL517">SUM(SUMIFS(tblStock[value_nzd],tblStock[sku],tblSKU[[#This Row],[sku]],tblStock[stock_type],{"Saleable","FOC"},tblStock[expiry_date],"&lt;"&amp;EDATE(SnapshotDate,6)))</f>
        <v>0</v>
      </c>
    </row>
    <row r="518" spans="1:38">
      <c r="A518" s="1" t="s">
        <v>1098</v>
      </c>
      <c r="B518" s="1" t="s">
        <v>1099</v>
      </c>
      <c r="C518" s="1" t="s">
        <v>1077</v>
      </c>
      <c r="D518" s="1" t="s">
        <v>37</v>
      </c>
      <c r="E518" s="1" t="s">
        <v>1078</v>
      </c>
      <c r="F518" s="1" t="s">
        <v>39</v>
      </c>
      <c r="G518">
        <v>24</v>
      </c>
      <c r="H518">
        <v>41.3</v>
      </c>
      <c r="I518">
        <v>30.2</v>
      </c>
      <c r="J518">
        <v>26.3</v>
      </c>
      <c r="K518">
        <v>3.2800000000000003E-2</v>
      </c>
      <c r="L518">
        <v>14.6</v>
      </c>
      <c r="M518">
        <v>21.93</v>
      </c>
      <c r="N518">
        <v>6</v>
      </c>
      <c r="O518">
        <v>5</v>
      </c>
      <c r="P518">
        <v>30</v>
      </c>
      <c r="Q518">
        <v>146.5</v>
      </c>
      <c r="R518">
        <v>463</v>
      </c>
      <c r="S518">
        <v>0.9840000000000001</v>
      </c>
      <c r="T518">
        <v>170</v>
      </c>
      <c r="U518">
        <v>5571</v>
      </c>
      <c r="V518">
        <v>122172.03</v>
      </c>
      <c r="W518" s="1" t="s">
        <v>1264</v>
      </c>
      <c r="X518" s="1" t="s">
        <v>1264</v>
      </c>
      <c r="Y518">
        <v>2</v>
      </c>
      <c r="Z518">
        <v>0.4551470588235294</v>
      </c>
      <c r="AA518" s="1" t="s">
        <v>1265</v>
      </c>
      <c r="AB518">
        <v>1</v>
      </c>
      <c r="AC518">
        <v>0</v>
      </c>
      <c r="AD518" s="1">
        <v>4.0710823909531504</v>
      </c>
      <c r="AE518">
        <v>12</v>
      </c>
      <c r="AF518">
        <f>COUNTIFS(tblStock[sku],tblSKU[[#This Row],[sku]])</f>
        <v>2</v>
      </c>
      <c r="AG518" cm="1">
        <f t="array" ref="AG518">SUM(SUMIFS(tblStock[qty_units],tblStock[sku],tblSKU[[#This Row],[sku]],tblStock[stock_type],{"Saleable","FOC"}))</f>
        <v>5670</v>
      </c>
      <c r="AH518" s="3">
        <f>SUMIFS(tblStock[value_nzd],tblStock[sku],tblSKU[[#This Row],[sku]])</f>
        <v>124343.1</v>
      </c>
      <c r="AI518" s="4">
        <f>SUMIFS(tblStock[cbm],tblStock[sku],tblSKU[[#This Row],[sku]])</f>
        <v>7.7490000000000006</v>
      </c>
      <c r="AJ518" s="1">
        <f>SUMIFS(tblStock[positions],tblStock[sku],tblSKU[[#This Row],[sku]])</f>
        <v>9</v>
      </c>
      <c r="AK518" s="3">
        <f>SUMIFS(tblStock[value_nzd],tblStock[sku],tblSKU[[#This Row],[sku]],tblStock[stock_type],"Expired")</f>
        <v>0</v>
      </c>
      <c r="AL518" s="3" cm="1">
        <f t="array" ref="AL518">SUM(SUMIFS(tblStock[value_nzd],tblStock[sku],tblSKU[[#This Row],[sku]],tblStock[stock_type],{"Saleable","FOC"},tblStock[expiry_date],"&lt;"&amp;EDATE(SnapshotDate,6)))</f>
        <v>0</v>
      </c>
    </row>
    <row r="519" spans="1:38">
      <c r="A519" s="1" t="s">
        <v>1100</v>
      </c>
      <c r="B519" s="1" t="s">
        <v>1101</v>
      </c>
      <c r="C519" s="1" t="s">
        <v>1077</v>
      </c>
      <c r="D519" s="1" t="s">
        <v>37</v>
      </c>
      <c r="E519" s="1" t="s">
        <v>1078</v>
      </c>
      <c r="F519" s="1" t="s">
        <v>1081</v>
      </c>
      <c r="G519">
        <v>12</v>
      </c>
      <c r="H519">
        <v>30.5</v>
      </c>
      <c r="I519">
        <v>30.4</v>
      </c>
      <c r="J519">
        <v>26</v>
      </c>
      <c r="K519">
        <v>2.4109999999999999E-2</v>
      </c>
      <c r="L519">
        <v>11.28</v>
      </c>
      <c r="M519">
        <v>21.28</v>
      </c>
      <c r="N519">
        <v>9</v>
      </c>
      <c r="O519">
        <v>5</v>
      </c>
      <c r="P519">
        <v>45</v>
      </c>
      <c r="Q519">
        <v>145</v>
      </c>
      <c r="R519">
        <v>532.59999999999991</v>
      </c>
      <c r="S519">
        <v>1.0849500000000001</v>
      </c>
      <c r="T519">
        <v>290</v>
      </c>
      <c r="U519">
        <v>8683</v>
      </c>
      <c r="V519">
        <v>184774.24000000002</v>
      </c>
      <c r="W519" s="1" t="s">
        <v>1264</v>
      </c>
      <c r="X519" s="1" t="s">
        <v>1264</v>
      </c>
      <c r="Y519">
        <v>3.4117647058823528</v>
      </c>
      <c r="Z519">
        <v>0.9458605664488019</v>
      </c>
      <c r="AA519" s="1" t="s">
        <v>1265</v>
      </c>
      <c r="AB519">
        <v>1</v>
      </c>
      <c r="AC519">
        <v>0</v>
      </c>
      <c r="AD519" s="1">
        <v>4.7605666244385585</v>
      </c>
      <c r="AE519">
        <v>12</v>
      </c>
      <c r="AF519">
        <f>COUNTIFS(tblStock[sku],tblSKU[[#This Row],[sku]])</f>
        <v>2</v>
      </c>
      <c r="AG519" cm="1">
        <f t="array" ref="AG519">SUM(SUMIFS(tblStock[qty_units],tblStock[sku],tblSKU[[#This Row],[sku]],tblStock[stock_type],{"Saleable","FOC"}))</f>
        <v>10334</v>
      </c>
      <c r="AH519" s="3">
        <f>SUMIFS(tblStock[value_nzd],tblStock[sku],tblSKU[[#This Row],[sku]])</f>
        <v>219907.52000000002</v>
      </c>
      <c r="AI519" s="4">
        <f>SUMIFS(tblStock[cbm],tblStock[sku],tblSKU[[#This Row],[sku]])</f>
        <v>20.762728333333332</v>
      </c>
      <c r="AJ519" s="1">
        <f>SUMIFS(tblStock[positions],tblStock[sku],tblSKU[[#This Row],[sku]])</f>
        <v>20</v>
      </c>
      <c r="AK519" s="3">
        <f>SUMIFS(tblStock[value_nzd],tblStock[sku],tblSKU[[#This Row],[sku]],tblStock[stock_type],"Expired")</f>
        <v>0</v>
      </c>
      <c r="AL519" s="3" cm="1">
        <f t="array" ref="AL519">SUM(SUMIFS(tblStock[value_nzd],tblStock[sku],tblSKU[[#This Row],[sku]],tblStock[stock_type],{"Saleable","FOC"},tblStock[expiry_date],"&lt;"&amp;EDATE(SnapshotDate,6)))</f>
        <v>0</v>
      </c>
    </row>
    <row r="520" spans="1:38">
      <c r="A520" s="1" t="s">
        <v>1102</v>
      </c>
      <c r="B520" s="1" t="s">
        <v>1103</v>
      </c>
      <c r="C520" s="1" t="s">
        <v>1077</v>
      </c>
      <c r="D520" s="1" t="s">
        <v>37</v>
      </c>
      <c r="E520" s="1" t="s">
        <v>1078</v>
      </c>
      <c r="F520" s="1" t="s">
        <v>39</v>
      </c>
      <c r="G520">
        <v>12</v>
      </c>
      <c r="H520">
        <v>33</v>
      </c>
      <c r="I520">
        <v>30</v>
      </c>
      <c r="J520">
        <v>28.7</v>
      </c>
      <c r="K520">
        <v>2.8410000000000001E-2</v>
      </c>
      <c r="L520">
        <v>15</v>
      </c>
      <c r="M520">
        <v>25.64</v>
      </c>
      <c r="N520">
        <v>12</v>
      </c>
      <c r="O520">
        <v>3</v>
      </c>
      <c r="P520">
        <v>36</v>
      </c>
      <c r="Q520">
        <v>101.1</v>
      </c>
      <c r="R520">
        <v>565</v>
      </c>
      <c r="S520">
        <v>1.0227600000000001</v>
      </c>
      <c r="T520">
        <v>68</v>
      </c>
      <c r="U520">
        <v>2437</v>
      </c>
      <c r="V520">
        <v>62484.68</v>
      </c>
      <c r="W520" s="1" t="s">
        <v>1258</v>
      </c>
      <c r="X520" s="1" t="s">
        <v>1258</v>
      </c>
      <c r="Y520">
        <v>0.8</v>
      </c>
      <c r="Z520">
        <v>0.33183551198257077</v>
      </c>
      <c r="AA520" s="1" t="s">
        <v>1259</v>
      </c>
      <c r="AB520">
        <v>0</v>
      </c>
      <c r="AC520">
        <v>1</v>
      </c>
      <c r="AD520" s="1">
        <v>8.4694296265900704</v>
      </c>
      <c r="AE520">
        <v>4</v>
      </c>
      <c r="AF520">
        <f>COUNTIFS(tblStock[sku],tblSKU[[#This Row],[sku]])</f>
        <v>2</v>
      </c>
      <c r="AG520" cm="1">
        <f t="array" ref="AG520">SUM(SUMIFS(tblStock[qty_units],tblStock[sku],tblSKU[[#This Row],[sku]],tblStock[stock_type],{"Saleable","FOC"}))</f>
        <v>5160</v>
      </c>
      <c r="AH520" s="3">
        <f>SUMIFS(tblStock[value_nzd],tblStock[sku],tblSKU[[#This Row],[sku]])</f>
        <v>142866.07999999999</v>
      </c>
      <c r="AI520" s="4">
        <f>SUMIFS(tblStock[cbm],tblStock[sku],tblSKU[[#This Row],[sku]])</f>
        <v>13.19171</v>
      </c>
      <c r="AJ520" s="1">
        <f>SUMIFS(tblStock[positions],tblStock[sku],tblSKU[[#This Row],[sku]])</f>
        <v>12</v>
      </c>
      <c r="AK520" s="3">
        <f>SUMIFS(tblStock[value_nzd],tblStock[sku],tblSKU[[#This Row],[sku]],tblStock[stock_type],"Expired")</f>
        <v>10563.68</v>
      </c>
      <c r="AL520" s="3" cm="1">
        <f t="array" ref="AL520">SUM(SUMIFS(tblStock[value_nzd],tblStock[sku],tblSKU[[#This Row],[sku]],tblStock[stock_type],{"Saleable","FOC"},tblStock[expiry_date],"&lt;"&amp;EDATE(SnapshotDate,6)))</f>
        <v>0</v>
      </c>
    </row>
    <row r="521" spans="1:38">
      <c r="A521" s="1" t="s">
        <v>1104</v>
      </c>
      <c r="B521" s="1" t="s">
        <v>1105</v>
      </c>
      <c r="C521" s="1" t="s">
        <v>1077</v>
      </c>
      <c r="D521" s="1" t="s">
        <v>37</v>
      </c>
      <c r="E521" s="1" t="s">
        <v>1078</v>
      </c>
      <c r="F521" s="1" t="s">
        <v>1081</v>
      </c>
      <c r="G521">
        <v>6</v>
      </c>
      <c r="H521">
        <v>34.5</v>
      </c>
      <c r="I521">
        <v>32.9</v>
      </c>
      <c r="J521">
        <v>27.5</v>
      </c>
      <c r="K521">
        <v>3.1210000000000002E-2</v>
      </c>
      <c r="L521">
        <v>16.63</v>
      </c>
      <c r="M521">
        <v>31.67</v>
      </c>
      <c r="N521">
        <v>9</v>
      </c>
      <c r="O521">
        <v>2</v>
      </c>
      <c r="P521">
        <v>18</v>
      </c>
      <c r="Q521">
        <v>70</v>
      </c>
      <c r="R521">
        <v>324.33999999999997</v>
      </c>
      <c r="S521">
        <v>0.56178000000000006</v>
      </c>
      <c r="T521">
        <v>3</v>
      </c>
      <c r="U521">
        <v>144</v>
      </c>
      <c r="V521">
        <v>4560.4800000000005</v>
      </c>
      <c r="W521" s="1" t="s">
        <v>1262</v>
      </c>
      <c r="X521" s="1" t="s">
        <v>1262</v>
      </c>
      <c r="Y521">
        <v>3.5294117647058823E-2</v>
      </c>
      <c r="Z521">
        <v>7.8431372549019607E-2</v>
      </c>
      <c r="AA521" s="1" t="s">
        <v>1263</v>
      </c>
      <c r="AB521">
        <v>0</v>
      </c>
      <c r="AC521">
        <v>0</v>
      </c>
      <c r="AD521" s="1">
        <v>15.833333333333334</v>
      </c>
      <c r="AE521">
        <v>2</v>
      </c>
      <c r="AF521">
        <f>COUNTIFS(tblStock[sku],tblSKU[[#This Row],[sku]])</f>
        <v>2</v>
      </c>
      <c r="AG521" cm="1">
        <f t="array" ref="AG521">SUM(SUMIFS(tblStock[qty_units],tblStock[sku],tblSKU[[#This Row],[sku]],tblStock[stock_type],{"Saleable","FOC"}))</f>
        <v>570</v>
      </c>
      <c r="AH521" s="3">
        <f>SUMIFS(tblStock[value_nzd],tblStock[sku],tblSKU[[#This Row],[sku]])</f>
        <v>18051.900000000001</v>
      </c>
      <c r="AI521" s="4">
        <f>SUMIFS(tblStock[cbm],tblStock[sku],tblSKU[[#This Row],[sku]])</f>
        <v>2.96495</v>
      </c>
      <c r="AJ521" s="1">
        <f>SUMIFS(tblStock[positions],tblStock[sku],tblSKU[[#This Row],[sku]])</f>
        <v>6</v>
      </c>
      <c r="AK521" s="3">
        <f>SUMIFS(tblStock[value_nzd],tblStock[sku],tblSKU[[#This Row],[sku]],tblStock[stock_type],"Expired")</f>
        <v>0</v>
      </c>
      <c r="AL521" s="3" cm="1">
        <f t="array" ref="AL521">SUM(SUMIFS(tblStock[value_nzd],tblStock[sku],tblSKU[[#This Row],[sku]],tblStock[stock_type],{"Saleable","FOC"},tblStock[expiry_date],"&lt;"&amp;EDATE(SnapshotDate,6)))</f>
        <v>0</v>
      </c>
    </row>
    <row r="522" spans="1:38">
      <c r="A522" s="1" t="s">
        <v>1106</v>
      </c>
      <c r="B522" s="1" t="s">
        <v>1107</v>
      </c>
      <c r="C522" s="1" t="s">
        <v>1077</v>
      </c>
      <c r="D522" s="1" t="s">
        <v>37</v>
      </c>
      <c r="E522" s="1" t="s">
        <v>1078</v>
      </c>
      <c r="F522" s="1" t="s">
        <v>39</v>
      </c>
      <c r="G522">
        <v>24</v>
      </c>
      <c r="H522">
        <v>35</v>
      </c>
      <c r="I522">
        <v>28.6</v>
      </c>
      <c r="J522">
        <v>23.2</v>
      </c>
      <c r="K522">
        <v>2.3220000000000001E-2</v>
      </c>
      <c r="L522">
        <v>9.32</v>
      </c>
      <c r="M522">
        <v>37.44</v>
      </c>
      <c r="N522">
        <v>9</v>
      </c>
      <c r="O522">
        <v>4</v>
      </c>
      <c r="P522">
        <v>36</v>
      </c>
      <c r="Q522">
        <v>107.8</v>
      </c>
      <c r="R522">
        <v>360.52</v>
      </c>
      <c r="S522">
        <v>0.83592</v>
      </c>
      <c r="T522">
        <v>32</v>
      </c>
      <c r="U522">
        <v>1877</v>
      </c>
      <c r="V522">
        <v>70274.87999999999</v>
      </c>
      <c r="W522" s="1" t="s">
        <v>1258</v>
      </c>
      <c r="X522" s="1" t="s">
        <v>1258</v>
      </c>
      <c r="Y522">
        <v>0.37647058823529411</v>
      </c>
      <c r="Z522">
        <v>0.12779139433551198</v>
      </c>
      <c r="AA522" s="1" t="s">
        <v>1259</v>
      </c>
      <c r="AB522">
        <v>0</v>
      </c>
      <c r="AC522">
        <v>1</v>
      </c>
      <c r="AD522" s="1">
        <v>8.5903036760788485</v>
      </c>
      <c r="AE522">
        <v>4</v>
      </c>
      <c r="AF522">
        <f>COUNTIFS(tblStock[sku],tblSKU[[#This Row],[sku]])</f>
        <v>4</v>
      </c>
      <c r="AG522" cm="1">
        <f t="array" ref="AG522">SUM(SUMIFS(tblStock[qty_units],tblStock[sku],tblSKU[[#This Row],[sku]],tblStock[stock_type],{"Saleable","FOC"}))</f>
        <v>4031</v>
      </c>
      <c r="AH522" s="3">
        <f>SUMIFS(tblStock[value_nzd],tblStock[sku],tblSKU[[#This Row],[sku]])</f>
        <v>153915.84</v>
      </c>
      <c r="AI522" s="4">
        <f>SUMIFS(tblStock[cbm],tblStock[sku],tblSKU[[#This Row],[sku]])</f>
        <v>3.9773925000000006</v>
      </c>
      <c r="AJ522" s="1">
        <f>SUMIFS(tblStock[positions],tblStock[sku],tblSKU[[#This Row],[sku]])</f>
        <v>6</v>
      </c>
      <c r="AK522" s="3">
        <f>SUMIFS(tblStock[value_nzd],tblStock[sku],tblSKU[[#This Row],[sku]],tblStock[stock_type],"Expired")</f>
        <v>0</v>
      </c>
      <c r="AL522" s="3" cm="1">
        <f t="array" ref="AL522">SUM(SUMIFS(tblStock[value_nzd],tblStock[sku],tblSKU[[#This Row],[sku]],tblStock[stock_type],{"Saleable","FOC"},tblStock[expiry_date],"&lt;"&amp;EDATE(SnapshotDate,6)))</f>
        <v>0</v>
      </c>
    </row>
    <row r="523" spans="1:38">
      <c r="A523" s="1" t="s">
        <v>1108</v>
      </c>
      <c r="B523" s="1" t="s">
        <v>1109</v>
      </c>
      <c r="C523" s="1" t="s">
        <v>1110</v>
      </c>
      <c r="D523" s="1" t="s">
        <v>1111</v>
      </c>
      <c r="E523" s="1" t="s">
        <v>1111</v>
      </c>
      <c r="F523" s="1" t="s">
        <v>1081</v>
      </c>
      <c r="G523">
        <v>10</v>
      </c>
      <c r="H523">
        <v>46</v>
      </c>
      <c r="I523">
        <v>43.3</v>
      </c>
      <c r="J523">
        <v>33.700000000000003</v>
      </c>
      <c r="K523">
        <v>6.7119999999999999E-2</v>
      </c>
      <c r="L523">
        <v>8.91</v>
      </c>
      <c r="M523">
        <v>6.3</v>
      </c>
      <c r="N523">
        <v>4</v>
      </c>
      <c r="O523">
        <v>4</v>
      </c>
      <c r="P523">
        <v>16</v>
      </c>
      <c r="Q523">
        <v>149.80000000000001</v>
      </c>
      <c r="R523">
        <v>167.56</v>
      </c>
      <c r="S523">
        <v>1.07392</v>
      </c>
      <c r="T523">
        <v>19</v>
      </c>
      <c r="U523">
        <v>660</v>
      </c>
      <c r="V523">
        <v>4158</v>
      </c>
      <c r="W523" s="1" t="s">
        <v>1262</v>
      </c>
      <c r="X523" s="1" t="s">
        <v>1262</v>
      </c>
      <c r="Y523">
        <v>0.22352941176470589</v>
      </c>
      <c r="Z523">
        <v>0.24264705882352941</v>
      </c>
      <c r="AA523" s="1" t="s">
        <v>1263</v>
      </c>
      <c r="AB523">
        <v>0</v>
      </c>
      <c r="AC523">
        <v>0</v>
      </c>
      <c r="AD523" s="1">
        <v>9.0848484848484841</v>
      </c>
      <c r="AE523">
        <v>2</v>
      </c>
      <c r="AF523">
        <f>COUNTIFS(tblStock[sku],tblSKU[[#This Row],[sku]])</f>
        <v>3</v>
      </c>
      <c r="AG523" cm="1">
        <f t="array" ref="AG523">SUM(SUMIFS(tblStock[qty_units],tblStock[sku],tblSKU[[#This Row],[sku]],tblStock[stock_type],{"Saleable","FOC"}))</f>
        <v>1499</v>
      </c>
      <c r="AH523" s="3">
        <f>SUMIFS(tblStock[value_nzd],tblStock[sku],tblSKU[[#This Row],[sku]])</f>
        <v>9632.7000000000007</v>
      </c>
      <c r="AI523" s="4">
        <f>SUMIFS(tblStock[cbm],tblStock[sku],tblSKU[[#This Row],[sku]])</f>
        <v>10.262647999999999</v>
      </c>
      <c r="AJ523" s="1">
        <f>SUMIFS(tblStock[positions],tblStock[sku],tblSKU[[#This Row],[sku]])</f>
        <v>10</v>
      </c>
      <c r="AK523" s="3">
        <f>SUMIFS(tblStock[value_nzd],tblStock[sku],tblSKU[[#This Row],[sku]],tblStock[stock_type],"Expired")</f>
        <v>0</v>
      </c>
      <c r="AL523" s="3" cm="1">
        <f t="array" ref="AL523">SUM(SUMIFS(tblStock[value_nzd],tblStock[sku],tblSKU[[#This Row],[sku]],tblStock[stock_type],{"Saleable","FOC"},tblStock[expiry_date],"&lt;"&amp;EDATE(SnapshotDate,6)))</f>
        <v>0</v>
      </c>
    </row>
    <row r="524" spans="1:38">
      <c r="A524" s="1" t="s">
        <v>1112</v>
      </c>
      <c r="B524" s="1" t="s">
        <v>1113</v>
      </c>
      <c r="C524" s="1" t="s">
        <v>1110</v>
      </c>
      <c r="D524" s="1" t="s">
        <v>1111</v>
      </c>
      <c r="E524" s="1" t="s">
        <v>1111</v>
      </c>
      <c r="F524" s="1" t="s">
        <v>1081</v>
      </c>
      <c r="G524">
        <v>50</v>
      </c>
      <c r="H524">
        <v>40.700000000000003</v>
      </c>
      <c r="I524">
        <v>43.5</v>
      </c>
      <c r="J524">
        <v>28.6</v>
      </c>
      <c r="K524">
        <v>5.0630000000000001E-2</v>
      </c>
      <c r="L524">
        <v>8.27</v>
      </c>
      <c r="M524">
        <v>2.17</v>
      </c>
      <c r="N524">
        <v>4</v>
      </c>
      <c r="O524">
        <v>5</v>
      </c>
      <c r="P524">
        <v>20</v>
      </c>
      <c r="Q524">
        <v>158</v>
      </c>
      <c r="R524">
        <v>190.39999999999998</v>
      </c>
      <c r="S524">
        <v>1.0125999999999999</v>
      </c>
      <c r="T524">
        <v>9</v>
      </c>
      <c r="U524">
        <v>155</v>
      </c>
      <c r="V524">
        <v>336.34999999999997</v>
      </c>
      <c r="W524" s="1" t="s">
        <v>1262</v>
      </c>
      <c r="X524" s="1" t="s">
        <v>1262</v>
      </c>
      <c r="Y524">
        <v>0.10588235294117647</v>
      </c>
      <c r="Z524">
        <v>9.1176470588235289E-3</v>
      </c>
      <c r="AA524" s="1" t="s">
        <v>1263</v>
      </c>
      <c r="AB524">
        <v>0</v>
      </c>
      <c r="AC524">
        <v>0</v>
      </c>
      <c r="AD524" s="1">
        <v>7.4838709677419351</v>
      </c>
      <c r="AE524">
        <v>2</v>
      </c>
      <c r="AF524">
        <f>COUNTIFS(tblStock[sku],tblSKU[[#This Row],[sku]])</f>
        <v>1</v>
      </c>
      <c r="AG524" cm="1">
        <f t="array" ref="AG524">SUM(SUMIFS(tblStock[qty_units],tblStock[sku],tblSKU[[#This Row],[sku]],tblStock[stock_type],{"Saleable","FOC"}))</f>
        <v>290</v>
      </c>
      <c r="AH524" s="3">
        <f>SUMIFS(tblStock[value_nzd],tblStock[sku],tblSKU[[#This Row],[sku]])</f>
        <v>629.29999999999995</v>
      </c>
      <c r="AI524" s="4">
        <f>SUMIFS(tblStock[cbm],tblStock[sku],tblSKU[[#This Row],[sku]])</f>
        <v>0.29365400000000003</v>
      </c>
      <c r="AJ524" s="1">
        <f>SUMIFS(tblStock[positions],tblStock[sku],tblSKU[[#This Row],[sku]])</f>
        <v>1</v>
      </c>
      <c r="AK524" s="3">
        <f>SUMIFS(tblStock[value_nzd],tblStock[sku],tblSKU[[#This Row],[sku]],tblStock[stock_type],"Expired")</f>
        <v>0</v>
      </c>
      <c r="AL524" s="3" cm="1">
        <f t="array" ref="AL524">SUM(SUMIFS(tblStock[value_nzd],tblStock[sku],tblSKU[[#This Row],[sku]],tblStock[stock_type],{"Saleable","FOC"},tblStock[expiry_date],"&lt;"&amp;EDATE(SnapshotDate,6)))</f>
        <v>0</v>
      </c>
    </row>
    <row r="525" spans="1:38">
      <c r="A525" s="1" t="s">
        <v>1114</v>
      </c>
      <c r="B525" s="1" t="s">
        <v>1115</v>
      </c>
      <c r="C525" s="1" t="s">
        <v>1110</v>
      </c>
      <c r="D525" s="1" t="s">
        <v>1111</v>
      </c>
      <c r="E525" s="1" t="s">
        <v>1111</v>
      </c>
      <c r="F525" s="1" t="s">
        <v>1081</v>
      </c>
      <c r="G525">
        <v>50</v>
      </c>
      <c r="H525">
        <v>57</v>
      </c>
      <c r="I525">
        <v>39.799999999999997</v>
      </c>
      <c r="J525">
        <v>43.9</v>
      </c>
      <c r="K525">
        <v>9.9589999999999998E-2</v>
      </c>
      <c r="L525">
        <v>8.11</v>
      </c>
      <c r="M525">
        <v>1.79</v>
      </c>
      <c r="N525">
        <v>4</v>
      </c>
      <c r="O525">
        <v>2</v>
      </c>
      <c r="P525">
        <v>8</v>
      </c>
      <c r="Q525">
        <v>102.8</v>
      </c>
      <c r="R525">
        <v>89.88</v>
      </c>
      <c r="S525">
        <v>0.79671999999999998</v>
      </c>
      <c r="T525">
        <v>33</v>
      </c>
      <c r="U525">
        <v>2018</v>
      </c>
      <c r="V525">
        <v>3612.2200000000003</v>
      </c>
      <c r="W525" s="1" t="s">
        <v>1258</v>
      </c>
      <c r="X525" s="1" t="s">
        <v>1262</v>
      </c>
      <c r="Y525">
        <v>0.38823529411764707</v>
      </c>
      <c r="Z525">
        <v>0.29676470588235293</v>
      </c>
      <c r="AA525" s="1" t="s">
        <v>1259</v>
      </c>
      <c r="AB525">
        <v>0</v>
      </c>
      <c r="AC525">
        <v>1</v>
      </c>
      <c r="AD525" s="1">
        <v>1.9167492566897919</v>
      </c>
      <c r="AE525">
        <v>2</v>
      </c>
      <c r="AF525">
        <f>COUNTIFS(tblStock[sku],tblSKU[[#This Row],[sku]])</f>
        <v>2</v>
      </c>
      <c r="AG525" cm="1">
        <f t="array" ref="AG525">SUM(SUMIFS(tblStock[qty_units],tblStock[sku],tblSKU[[#This Row],[sku]],tblStock[stock_type],{"Saleable","FOC"}))</f>
        <v>967</v>
      </c>
      <c r="AH525" s="3">
        <f>SUMIFS(tblStock[value_nzd],tblStock[sku],tblSKU[[#This Row],[sku]])</f>
        <v>1730.9299999999998</v>
      </c>
      <c r="AI525" s="4">
        <f>SUMIFS(tblStock[cbm],tblStock[sku],tblSKU[[#This Row],[sku]])</f>
        <v>1.9260706000000001</v>
      </c>
      <c r="AJ525" s="1">
        <f>SUMIFS(tblStock[positions],tblStock[sku],tblSKU[[#This Row],[sku]])</f>
        <v>3</v>
      </c>
      <c r="AK525" s="3">
        <f>SUMIFS(tblStock[value_nzd],tblStock[sku],tblSKU[[#This Row],[sku]],tblStock[stock_type],"Expired")</f>
        <v>0</v>
      </c>
      <c r="AL525" s="3" cm="1">
        <f t="array" ref="AL525">SUM(SUMIFS(tblStock[value_nzd],tblStock[sku],tblSKU[[#This Row],[sku]],tblStock[stock_type],{"Saleable","FOC"},tblStock[expiry_date],"&lt;"&amp;EDATE(SnapshotDate,6)))</f>
        <v>0</v>
      </c>
    </row>
    <row r="526" spans="1:38">
      <c r="A526" s="1" t="s">
        <v>1116</v>
      </c>
      <c r="B526" s="1" t="s">
        <v>1117</v>
      </c>
      <c r="C526" s="1" t="s">
        <v>1110</v>
      </c>
      <c r="D526" s="1" t="s">
        <v>1111</v>
      </c>
      <c r="E526" s="1" t="s">
        <v>1111</v>
      </c>
      <c r="F526" s="1" t="s">
        <v>1081</v>
      </c>
      <c r="G526">
        <v>10</v>
      </c>
      <c r="H526">
        <v>44.1</v>
      </c>
      <c r="I526">
        <v>30.3</v>
      </c>
      <c r="J526">
        <v>36.299999999999997</v>
      </c>
      <c r="K526">
        <v>4.8509999999999998E-2</v>
      </c>
      <c r="L526">
        <v>5.7</v>
      </c>
      <c r="M526">
        <v>6.99</v>
      </c>
      <c r="N526">
        <v>6</v>
      </c>
      <c r="O526">
        <v>3</v>
      </c>
      <c r="P526">
        <v>18</v>
      </c>
      <c r="Q526">
        <v>123.89999999999999</v>
      </c>
      <c r="R526">
        <v>127.60000000000001</v>
      </c>
      <c r="S526">
        <v>0.87317999999999996</v>
      </c>
      <c r="T526">
        <v>10</v>
      </c>
      <c r="U526">
        <v>314</v>
      </c>
      <c r="V526">
        <v>2194.86</v>
      </c>
      <c r="W526" s="1" t="s">
        <v>1262</v>
      </c>
      <c r="X526" s="1" t="s">
        <v>1262</v>
      </c>
      <c r="Y526">
        <v>0.11764705882352941</v>
      </c>
      <c r="Z526">
        <v>0.10261437908496732</v>
      </c>
      <c r="AA526" s="1" t="s">
        <v>1263</v>
      </c>
      <c r="AB526">
        <v>0</v>
      </c>
      <c r="AC526">
        <v>0</v>
      </c>
      <c r="AD526" s="1">
        <v>25.821656050955415</v>
      </c>
      <c r="AE526">
        <v>2</v>
      </c>
      <c r="AF526">
        <f>COUNTIFS(tblStock[sku],tblSKU[[#This Row],[sku]])</f>
        <v>1</v>
      </c>
      <c r="AG526" cm="1">
        <f t="array" ref="AG526">SUM(SUMIFS(tblStock[qty_units],tblStock[sku],tblSKU[[#This Row],[sku]],tblStock[stock_type],{"Saleable","FOC"}))</f>
        <v>2027</v>
      </c>
      <c r="AH526" s="3">
        <f>SUMIFS(tblStock[value_nzd],tblStock[sku],tblSKU[[#This Row],[sku]])</f>
        <v>14168.73</v>
      </c>
      <c r="AI526" s="4">
        <f>SUMIFS(tblStock[cbm],tblStock[sku],tblSKU[[#This Row],[sku]])</f>
        <v>9.8329769999999996</v>
      </c>
      <c r="AJ526" s="1">
        <f>SUMIFS(tblStock[positions],tblStock[sku],tblSKU[[#This Row],[sku]])</f>
        <v>12</v>
      </c>
      <c r="AK526" s="3">
        <f>SUMIFS(tblStock[value_nzd],tblStock[sku],tblSKU[[#This Row],[sku]],tblStock[stock_type],"Expired")</f>
        <v>0</v>
      </c>
      <c r="AL526" s="3" cm="1">
        <f t="array" ref="AL526">SUM(SUMIFS(tblStock[value_nzd],tblStock[sku],tblSKU[[#This Row],[sku]],tblStock[stock_type],{"Saleable","FOC"},tblStock[expiry_date],"&lt;"&amp;EDATE(SnapshotDate,6)))</f>
        <v>0</v>
      </c>
    </row>
    <row r="527" spans="1:38">
      <c r="A527" s="1" t="s">
        <v>1118</v>
      </c>
      <c r="B527" s="1" t="s">
        <v>1119</v>
      </c>
      <c r="C527" s="1" t="s">
        <v>1110</v>
      </c>
      <c r="D527" s="1" t="s">
        <v>1111</v>
      </c>
      <c r="E527" s="1" t="s">
        <v>1111</v>
      </c>
      <c r="F527" s="1" t="s">
        <v>1081</v>
      </c>
      <c r="G527">
        <v>20</v>
      </c>
      <c r="H527">
        <v>44.1</v>
      </c>
      <c r="I527">
        <v>36.9</v>
      </c>
      <c r="J527">
        <v>33.299999999999997</v>
      </c>
      <c r="K527">
        <v>5.4190000000000002E-2</v>
      </c>
      <c r="L527">
        <v>8.1300000000000008</v>
      </c>
      <c r="M527">
        <v>7.3</v>
      </c>
      <c r="N527">
        <v>4</v>
      </c>
      <c r="O527">
        <v>4</v>
      </c>
      <c r="P527">
        <v>16</v>
      </c>
      <c r="Q527">
        <v>148.19999999999999</v>
      </c>
      <c r="R527">
        <v>155.08000000000001</v>
      </c>
      <c r="S527">
        <v>0.86704000000000003</v>
      </c>
      <c r="T527">
        <v>19</v>
      </c>
      <c r="U527">
        <v>774</v>
      </c>
      <c r="V527">
        <v>5650.2</v>
      </c>
      <c r="W527" s="1" t="s">
        <v>1262</v>
      </c>
      <c r="X527" s="1" t="s">
        <v>1262</v>
      </c>
      <c r="Y527">
        <v>0.22352941176470589</v>
      </c>
      <c r="Z527">
        <v>0.14227941176470588</v>
      </c>
      <c r="AA527" s="1" t="s">
        <v>1263</v>
      </c>
      <c r="AB527">
        <v>0</v>
      </c>
      <c r="AC527">
        <v>0</v>
      </c>
      <c r="AD527" s="1">
        <v>4.2790697674418601</v>
      </c>
      <c r="AE527">
        <v>2</v>
      </c>
      <c r="AF527">
        <f>COUNTIFS(tblStock[sku],tblSKU[[#This Row],[sku]])</f>
        <v>2</v>
      </c>
      <c r="AG527" cm="1">
        <f t="array" ref="AG527">SUM(SUMIFS(tblStock[qty_units],tblStock[sku],tblSKU[[#This Row],[sku]],tblStock[stock_type],{"Saleable","FOC"}))</f>
        <v>828</v>
      </c>
      <c r="AH527" s="3">
        <f>SUMIFS(tblStock[value_nzd],tblStock[sku],tblSKU[[#This Row],[sku]])</f>
        <v>6044.4</v>
      </c>
      <c r="AI527" s="4">
        <f>SUMIFS(tblStock[cbm],tblStock[sku],tblSKU[[#This Row],[sku]])</f>
        <v>2.2434660000000002</v>
      </c>
      <c r="AJ527" s="1">
        <f>SUMIFS(tblStock[positions],tblStock[sku],tblSKU[[#This Row],[sku]])</f>
        <v>3</v>
      </c>
      <c r="AK527" s="3">
        <f>SUMIFS(tblStock[value_nzd],tblStock[sku],tblSKU[[#This Row],[sku]],tblStock[stock_type],"Expired")</f>
        <v>0</v>
      </c>
      <c r="AL527" s="3" cm="1">
        <f t="array" ref="AL527">SUM(SUMIFS(tblStock[value_nzd],tblStock[sku],tblSKU[[#This Row],[sku]],tblStock[stock_type],{"Saleable","FOC"},tblStock[expiry_date],"&lt;"&amp;EDATE(SnapshotDate,6)))</f>
        <v>0</v>
      </c>
    </row>
    <row r="528" spans="1:38">
      <c r="A528" s="1" t="s">
        <v>1120</v>
      </c>
      <c r="B528" s="1" t="s">
        <v>1121</v>
      </c>
      <c r="C528" s="1" t="s">
        <v>1110</v>
      </c>
      <c r="D528" s="1" t="s">
        <v>1111</v>
      </c>
      <c r="E528" s="1" t="s">
        <v>1111</v>
      </c>
      <c r="F528" s="1" t="s">
        <v>1081</v>
      </c>
      <c r="G528">
        <v>100</v>
      </c>
      <c r="H528">
        <v>47</v>
      </c>
      <c r="I528">
        <v>31.3</v>
      </c>
      <c r="J528">
        <v>42.3</v>
      </c>
      <c r="K528">
        <v>6.2230000000000001E-2</v>
      </c>
      <c r="L528">
        <v>9.9700000000000006</v>
      </c>
      <c r="M528">
        <v>6.94</v>
      </c>
      <c r="N528">
        <v>6</v>
      </c>
      <c r="O528">
        <v>3</v>
      </c>
      <c r="P528">
        <v>18</v>
      </c>
      <c r="Q528">
        <v>141.89999999999998</v>
      </c>
      <c r="R528">
        <v>204.46</v>
      </c>
      <c r="S528">
        <v>1.1201399999999999</v>
      </c>
      <c r="T528">
        <v>115</v>
      </c>
      <c r="U528">
        <v>5875</v>
      </c>
      <c r="V528">
        <v>40772.5</v>
      </c>
      <c r="W528" s="1" t="s">
        <v>1264</v>
      </c>
      <c r="X528" s="1" t="s">
        <v>1258</v>
      </c>
      <c r="Y528">
        <v>1.3529411764705883</v>
      </c>
      <c r="Z528">
        <v>0.19199346405228759</v>
      </c>
      <c r="AA528" s="1" t="s">
        <v>1265</v>
      </c>
      <c r="AB528">
        <v>1</v>
      </c>
      <c r="AC528">
        <v>0</v>
      </c>
      <c r="AD528" s="1">
        <v>6.3244255319148932</v>
      </c>
      <c r="AE528">
        <v>4</v>
      </c>
      <c r="AF528">
        <f>COUNTIFS(tblStock[sku],tblSKU[[#This Row],[sku]])</f>
        <v>1</v>
      </c>
      <c r="AG528" cm="1">
        <f t="array" ref="AG528">SUM(SUMIFS(tblStock[qty_units],tblStock[sku],tblSKU[[#This Row],[sku]],tblStock[stock_type],{"Saleable","FOC"}))</f>
        <v>9289</v>
      </c>
      <c r="AH528" s="3">
        <f>SUMIFS(tblStock[value_nzd],tblStock[sku],tblSKU[[#This Row],[sku]])</f>
        <v>64465.66</v>
      </c>
      <c r="AI528" s="4">
        <f>SUMIFS(tblStock[cbm],tblStock[sku],tblSKU[[#This Row],[sku]])</f>
        <v>5.7805447000000001</v>
      </c>
      <c r="AJ528" s="1">
        <f>SUMIFS(tblStock[positions],tblStock[sku],tblSKU[[#This Row],[sku]])</f>
        <v>6</v>
      </c>
      <c r="AK528" s="3">
        <f>SUMIFS(tblStock[value_nzd],tblStock[sku],tblSKU[[#This Row],[sku]],tblStock[stock_type],"Expired")</f>
        <v>0</v>
      </c>
      <c r="AL528" s="3" cm="1">
        <f t="array" ref="AL528">SUM(SUMIFS(tblStock[value_nzd],tblStock[sku],tblSKU[[#This Row],[sku]],tblStock[stock_type],{"Saleable","FOC"},tblStock[expiry_date],"&lt;"&amp;EDATE(SnapshotDate,6)))</f>
        <v>0</v>
      </c>
    </row>
    <row r="529" spans="1:38">
      <c r="A529" s="1" t="s">
        <v>1122</v>
      </c>
      <c r="B529" s="1" t="s">
        <v>1123</v>
      </c>
      <c r="C529" s="1" t="s">
        <v>1110</v>
      </c>
      <c r="D529" s="1" t="s">
        <v>1111</v>
      </c>
      <c r="E529" s="1" t="s">
        <v>1111</v>
      </c>
      <c r="F529" s="1" t="s">
        <v>1081</v>
      </c>
      <c r="G529">
        <v>20</v>
      </c>
      <c r="H529">
        <v>57</v>
      </c>
      <c r="I529">
        <v>36.1</v>
      </c>
      <c r="J529">
        <v>29.5</v>
      </c>
      <c r="K529">
        <v>6.0699999999999997E-2</v>
      </c>
      <c r="L529">
        <v>7.39</v>
      </c>
      <c r="M529">
        <v>3.93</v>
      </c>
      <c r="N529">
        <v>4</v>
      </c>
      <c r="O529">
        <v>3</v>
      </c>
      <c r="P529">
        <v>12</v>
      </c>
      <c r="Q529">
        <v>103.5</v>
      </c>
      <c r="R529">
        <v>113.67999999999999</v>
      </c>
      <c r="S529">
        <v>0.72839999999999994</v>
      </c>
      <c r="T529">
        <v>5</v>
      </c>
      <c r="U529">
        <v>283</v>
      </c>
      <c r="V529">
        <v>1112.19</v>
      </c>
      <c r="W529" s="1" t="s">
        <v>1262</v>
      </c>
      <c r="X529" s="1" t="s">
        <v>1262</v>
      </c>
      <c r="Y529">
        <v>5.8823529411764705E-2</v>
      </c>
      <c r="Z529">
        <v>6.9362745098039219E-2</v>
      </c>
      <c r="AA529" s="1" t="s">
        <v>1263</v>
      </c>
      <c r="AB529">
        <v>0</v>
      </c>
      <c r="AC529">
        <v>0</v>
      </c>
      <c r="AD529" s="1">
        <v>20.551236749116608</v>
      </c>
      <c r="AE529">
        <v>2</v>
      </c>
      <c r="AF529">
        <f>COUNTIFS(tblStock[sku],tblSKU[[#This Row],[sku]])</f>
        <v>3</v>
      </c>
      <c r="AG529" cm="1">
        <f t="array" ref="AG529">SUM(SUMIFS(tblStock[qty_units],tblStock[sku],tblSKU[[#This Row],[sku]],tblStock[stock_type],{"Saleable","FOC"}))</f>
        <v>1454</v>
      </c>
      <c r="AH529" s="3">
        <f>SUMIFS(tblStock[value_nzd],tblStock[sku],tblSKU[[#This Row],[sku]])</f>
        <v>5714.22</v>
      </c>
      <c r="AI529" s="4">
        <f>SUMIFS(tblStock[cbm],tblStock[sku],tblSKU[[#This Row],[sku]])</f>
        <v>4.4128899999999991</v>
      </c>
      <c r="AJ529" s="1">
        <f>SUMIFS(tblStock[positions],tblStock[sku],tblSKU[[#This Row],[sku]])</f>
        <v>8</v>
      </c>
      <c r="AK529" s="3">
        <f>SUMIFS(tblStock[value_nzd],tblStock[sku],tblSKU[[#This Row],[sku]],tblStock[stock_type],"Expired")</f>
        <v>0</v>
      </c>
      <c r="AL529" s="3" cm="1">
        <f t="array" ref="AL529">SUM(SUMIFS(tblStock[value_nzd],tblStock[sku],tblSKU[[#This Row],[sku]],tblStock[stock_type],{"Saleable","FOC"},tblStock[expiry_date],"&lt;"&amp;EDATE(SnapshotDate,6)))</f>
        <v>0</v>
      </c>
    </row>
    <row r="530" spans="1:38">
      <c r="A530" s="1" t="s">
        <v>1124</v>
      </c>
      <c r="B530" s="1" t="s">
        <v>1125</v>
      </c>
      <c r="C530" s="1" t="s">
        <v>1110</v>
      </c>
      <c r="D530" s="1" t="s">
        <v>1111</v>
      </c>
      <c r="E530" s="1" t="s">
        <v>1111</v>
      </c>
      <c r="F530" s="1" t="s">
        <v>1081</v>
      </c>
      <c r="G530">
        <v>50</v>
      </c>
      <c r="H530">
        <v>40.700000000000003</v>
      </c>
      <c r="I530">
        <v>32.6</v>
      </c>
      <c r="J530">
        <v>37.9</v>
      </c>
      <c r="K530">
        <v>5.0290000000000001E-2</v>
      </c>
      <c r="L530">
        <v>4.08</v>
      </c>
      <c r="M530">
        <v>0.54</v>
      </c>
      <c r="N530">
        <v>5</v>
      </c>
      <c r="O530">
        <v>2</v>
      </c>
      <c r="P530">
        <v>10</v>
      </c>
      <c r="Q530">
        <v>90.8</v>
      </c>
      <c r="R530">
        <v>65.8</v>
      </c>
      <c r="S530">
        <v>0.50290000000000001</v>
      </c>
      <c r="T530">
        <v>107</v>
      </c>
      <c r="U530">
        <v>5419</v>
      </c>
      <c r="V530">
        <v>2926.26</v>
      </c>
      <c r="W530" s="1" t="s">
        <v>1264</v>
      </c>
      <c r="X530" s="1" t="s">
        <v>1262</v>
      </c>
      <c r="Y530">
        <v>1.2588235294117647</v>
      </c>
      <c r="Z530">
        <v>0.6375294117647059</v>
      </c>
      <c r="AA530" s="1" t="s">
        <v>1265</v>
      </c>
      <c r="AB530">
        <v>1</v>
      </c>
      <c r="AC530">
        <v>0</v>
      </c>
      <c r="AD530" s="1">
        <v>6.001107215353386</v>
      </c>
      <c r="AE530">
        <v>2</v>
      </c>
      <c r="AF530">
        <f>COUNTIFS(tblStock[sku],tblSKU[[#This Row],[sku]])</f>
        <v>1</v>
      </c>
      <c r="AG530" cm="1">
        <f t="array" ref="AG530">SUM(SUMIFS(tblStock[qty_units],tblStock[sku],tblSKU[[#This Row],[sku]],tblStock[stock_type],{"Saleable","FOC"}))</f>
        <v>8130</v>
      </c>
      <c r="AH530" s="3">
        <f>SUMIFS(tblStock[value_nzd],tblStock[sku],tblSKU[[#This Row],[sku]])</f>
        <v>4390.2000000000007</v>
      </c>
      <c r="AI530" s="4">
        <f>SUMIFS(tblStock[cbm],tblStock[sku],tblSKU[[#This Row],[sku]])</f>
        <v>8.1771539999999998</v>
      </c>
      <c r="AJ530" s="1">
        <f>SUMIFS(tblStock[positions],tblStock[sku],tblSKU[[#This Row],[sku]])</f>
        <v>17</v>
      </c>
      <c r="AK530" s="3">
        <f>SUMIFS(tblStock[value_nzd],tblStock[sku],tblSKU[[#This Row],[sku]],tblStock[stock_type],"Expired")</f>
        <v>0</v>
      </c>
      <c r="AL530" s="3" cm="1">
        <f t="array" ref="AL530">SUM(SUMIFS(tblStock[value_nzd],tblStock[sku],tblSKU[[#This Row],[sku]],tblStock[stock_type],{"Saleable","FOC"},tblStock[expiry_date],"&lt;"&amp;EDATE(SnapshotDate,6)))</f>
        <v>0</v>
      </c>
    </row>
    <row r="531" spans="1:38">
      <c r="A531" s="1" t="s">
        <v>1126</v>
      </c>
      <c r="B531" s="1" t="s">
        <v>1127</v>
      </c>
      <c r="C531" s="1" t="s">
        <v>1110</v>
      </c>
      <c r="D531" s="1" t="s">
        <v>1111</v>
      </c>
      <c r="E531" s="1" t="s">
        <v>1111</v>
      </c>
      <c r="F531" s="1" t="s">
        <v>1081</v>
      </c>
      <c r="G531">
        <v>100</v>
      </c>
      <c r="H531">
        <v>45</v>
      </c>
      <c r="I531">
        <v>31.7</v>
      </c>
      <c r="J531">
        <v>33.1</v>
      </c>
      <c r="K531">
        <v>4.7219999999999998E-2</v>
      </c>
      <c r="L531">
        <v>3.35</v>
      </c>
      <c r="M531">
        <v>0.67</v>
      </c>
      <c r="N531">
        <v>6</v>
      </c>
      <c r="O531">
        <v>3</v>
      </c>
      <c r="P531">
        <v>18</v>
      </c>
      <c r="Q531">
        <v>114.30000000000001</v>
      </c>
      <c r="R531">
        <v>85.300000000000011</v>
      </c>
      <c r="S531">
        <v>0.84995999999999994</v>
      </c>
      <c r="T531">
        <v>16</v>
      </c>
      <c r="U531">
        <v>1688</v>
      </c>
      <c r="V531">
        <v>1130.96</v>
      </c>
      <c r="W531" s="1" t="s">
        <v>1262</v>
      </c>
      <c r="X531" s="1" t="s">
        <v>1262</v>
      </c>
      <c r="Y531">
        <v>0.18823529411764706</v>
      </c>
      <c r="Z531">
        <v>5.5163398692810457E-2</v>
      </c>
      <c r="AA531" s="1" t="s">
        <v>1263</v>
      </c>
      <c r="AB531">
        <v>0</v>
      </c>
      <c r="AC531">
        <v>0</v>
      </c>
      <c r="AD531" s="1">
        <v>12.445497630331754</v>
      </c>
      <c r="AE531">
        <v>2</v>
      </c>
      <c r="AF531">
        <f>COUNTIFS(tblStock[sku],tblSKU[[#This Row],[sku]])</f>
        <v>1</v>
      </c>
      <c r="AG531" cm="1">
        <f t="array" ref="AG531">SUM(SUMIFS(tblStock[qty_units],tblStock[sku],tblSKU[[#This Row],[sku]],tblStock[stock_type],{"Saleable","FOC"}))</f>
        <v>5252</v>
      </c>
      <c r="AH531" s="3">
        <f>SUMIFS(tblStock[value_nzd],tblStock[sku],tblSKU[[#This Row],[sku]])</f>
        <v>3518.84</v>
      </c>
      <c r="AI531" s="4">
        <f>SUMIFS(tblStock[cbm],tblStock[sku],tblSKU[[#This Row],[sku]])</f>
        <v>2.4799944000000003</v>
      </c>
      <c r="AJ531" s="1">
        <f>SUMIFS(tblStock[positions],tblStock[sku],tblSKU[[#This Row],[sku]])</f>
        <v>3</v>
      </c>
      <c r="AK531" s="3">
        <f>SUMIFS(tblStock[value_nzd],tblStock[sku],tblSKU[[#This Row],[sku]],tblStock[stock_type],"Expired")</f>
        <v>0</v>
      </c>
      <c r="AL531" s="3" cm="1">
        <f t="array" ref="AL531">SUM(SUMIFS(tblStock[value_nzd],tblStock[sku],tblSKU[[#This Row],[sku]],tblStock[stock_type],{"Saleable","FOC"},tblStock[expiry_date],"&lt;"&amp;EDATE(SnapshotDate,6)))</f>
        <v>0</v>
      </c>
    </row>
    <row r="532" spans="1:38">
      <c r="A532" s="1" t="s">
        <v>1128</v>
      </c>
      <c r="B532" s="1" t="s">
        <v>1129</v>
      </c>
      <c r="C532" s="1" t="s">
        <v>1110</v>
      </c>
      <c r="D532" s="1" t="s">
        <v>1111</v>
      </c>
      <c r="E532" s="1" t="s">
        <v>1111</v>
      </c>
      <c r="F532" s="1" t="s">
        <v>1081</v>
      </c>
      <c r="G532">
        <v>100</v>
      </c>
      <c r="H532">
        <v>61.6</v>
      </c>
      <c r="I532">
        <v>32.6</v>
      </c>
      <c r="J532">
        <v>27.3</v>
      </c>
      <c r="K532">
        <v>5.4820000000000001E-2</v>
      </c>
      <c r="L532">
        <v>4</v>
      </c>
      <c r="M532">
        <v>5.77</v>
      </c>
      <c r="N532">
        <v>3</v>
      </c>
      <c r="O532">
        <v>5</v>
      </c>
      <c r="P532">
        <v>15</v>
      </c>
      <c r="Q532">
        <v>151.5</v>
      </c>
      <c r="R532">
        <v>85</v>
      </c>
      <c r="S532">
        <v>0.82230000000000003</v>
      </c>
      <c r="T532">
        <v>48</v>
      </c>
      <c r="U532">
        <v>2670</v>
      </c>
      <c r="V532">
        <v>15405.9</v>
      </c>
      <c r="W532" s="1" t="s">
        <v>1258</v>
      </c>
      <c r="X532" s="1" t="s">
        <v>1262</v>
      </c>
      <c r="Y532">
        <v>0.56470588235294117</v>
      </c>
      <c r="Z532">
        <v>0.10470588235294116</v>
      </c>
      <c r="AA532" s="1" t="s">
        <v>1259</v>
      </c>
      <c r="AB532">
        <v>0</v>
      </c>
      <c r="AC532">
        <v>1</v>
      </c>
      <c r="AD532" s="1">
        <v>17.998501872659176</v>
      </c>
      <c r="AE532">
        <v>2</v>
      </c>
      <c r="AF532">
        <f>COUNTIFS(tblStock[sku],tblSKU[[#This Row],[sku]])</f>
        <v>2</v>
      </c>
      <c r="AG532" cm="1">
        <f t="array" ref="AG532">SUM(SUMIFS(tblStock[qty_units],tblStock[sku],tblSKU[[#This Row],[sku]],tblStock[stock_type],{"Saleable","FOC"}))</f>
        <v>12014</v>
      </c>
      <c r="AH532" s="3">
        <f>SUMIFS(tblStock[value_nzd],tblStock[sku],tblSKU[[#This Row],[sku]])</f>
        <v>69320.78</v>
      </c>
      <c r="AI532" s="4">
        <f>SUMIFS(tblStock[cbm],tblStock[sku],tblSKU[[#This Row],[sku]])</f>
        <v>6.5860748000000005</v>
      </c>
      <c r="AJ532" s="1">
        <f>SUMIFS(tblStock[positions],tblStock[sku],tblSKU[[#This Row],[sku]])</f>
        <v>9</v>
      </c>
      <c r="AK532" s="3">
        <f>SUMIFS(tblStock[value_nzd],tblStock[sku],tblSKU[[#This Row],[sku]],tblStock[stock_type],"Expired")</f>
        <v>0</v>
      </c>
      <c r="AL532" s="3" cm="1">
        <f t="array" ref="AL532">SUM(SUMIFS(tblStock[value_nzd],tblStock[sku],tblSKU[[#This Row],[sku]],tblStock[stock_type],{"Saleable","FOC"},tblStock[expiry_date],"&lt;"&amp;EDATE(SnapshotDate,6)))</f>
        <v>0</v>
      </c>
    </row>
    <row r="533" spans="1:38">
      <c r="A533" s="1" t="s">
        <v>1130</v>
      </c>
      <c r="B533" s="1" t="s">
        <v>1131</v>
      </c>
      <c r="C533" s="1" t="s">
        <v>1110</v>
      </c>
      <c r="D533" s="1" t="s">
        <v>1111</v>
      </c>
      <c r="E533" s="1" t="s">
        <v>1111</v>
      </c>
      <c r="F533" s="1" t="s">
        <v>1081</v>
      </c>
      <c r="G533">
        <v>20</v>
      </c>
      <c r="H533">
        <v>56.5</v>
      </c>
      <c r="I533">
        <v>35.9</v>
      </c>
      <c r="J533">
        <v>26.6</v>
      </c>
      <c r="K533">
        <v>5.395411E-2</v>
      </c>
      <c r="L533">
        <v>7.71</v>
      </c>
      <c r="M533">
        <v>5.29</v>
      </c>
      <c r="N533">
        <v>3</v>
      </c>
      <c r="O533">
        <v>2</v>
      </c>
      <c r="P533">
        <v>6</v>
      </c>
      <c r="Q533">
        <v>68.2</v>
      </c>
      <c r="R533">
        <v>71.259999999999991</v>
      </c>
      <c r="S533">
        <v>0.32372466</v>
      </c>
      <c r="T533">
        <v>443</v>
      </c>
      <c r="U533">
        <v>16035</v>
      </c>
      <c r="V533">
        <v>84825.15</v>
      </c>
      <c r="W533" s="1" t="s">
        <v>1264</v>
      </c>
      <c r="X533" s="1" t="s">
        <v>1258</v>
      </c>
      <c r="Y533">
        <v>5.2117647058823531</v>
      </c>
      <c r="Z533">
        <v>7.860294117647058</v>
      </c>
      <c r="AA533" s="1" t="s">
        <v>1265</v>
      </c>
      <c r="AB533">
        <v>2</v>
      </c>
      <c r="AC533">
        <v>0</v>
      </c>
      <c r="AD533" s="1">
        <v>2.8619893981914561</v>
      </c>
      <c r="AE533">
        <v>4</v>
      </c>
      <c r="AF533">
        <f>COUNTIFS(tblStock[sku],tblSKU[[#This Row],[sku]])</f>
        <v>1</v>
      </c>
      <c r="AG533" cm="1">
        <f t="array" ref="AG533">SUM(SUMIFS(tblStock[qty_units],tblStock[sku],tblSKU[[#This Row],[sku]],tblStock[stock_type],{"Saleable","FOC"}))</f>
        <v>11473</v>
      </c>
      <c r="AH533" s="3">
        <f>SUMIFS(tblStock[value_nzd],tblStock[sku],tblSKU[[#This Row],[sku]])</f>
        <v>60692.17</v>
      </c>
      <c r="AI533" s="4">
        <f>SUMIFS(tblStock[cbm],tblStock[sku],tblSKU[[#This Row],[sku]])</f>
        <v>30.950775201499997</v>
      </c>
      <c r="AJ533" s="1">
        <f>SUMIFS(tblStock[positions],tblStock[sku],tblSKU[[#This Row],[sku]])</f>
        <v>96</v>
      </c>
      <c r="AK533" s="3">
        <f>SUMIFS(tblStock[value_nzd],tblStock[sku],tblSKU[[#This Row],[sku]],tblStock[stock_type],"Expired")</f>
        <v>0</v>
      </c>
      <c r="AL533" s="3" cm="1">
        <f t="array" ref="AL533">SUM(SUMIFS(tblStock[value_nzd],tblStock[sku],tblSKU[[#This Row],[sku]],tblStock[stock_type],{"Saleable","FOC"},tblStock[expiry_date],"&lt;"&amp;EDATE(SnapshotDate,6)))</f>
        <v>60692.17</v>
      </c>
    </row>
    <row r="534" spans="1:38">
      <c r="A534" s="1" t="s">
        <v>1132</v>
      </c>
      <c r="B534" s="1" t="s">
        <v>1133</v>
      </c>
      <c r="C534" s="1" t="s">
        <v>1110</v>
      </c>
      <c r="D534" s="1" t="s">
        <v>1111</v>
      </c>
      <c r="E534" s="1" t="s">
        <v>1111</v>
      </c>
      <c r="F534" s="1" t="s">
        <v>1081</v>
      </c>
      <c r="G534">
        <v>10</v>
      </c>
      <c r="H534">
        <v>46</v>
      </c>
      <c r="I534">
        <v>35.200000000000003</v>
      </c>
      <c r="J534">
        <v>39.200000000000003</v>
      </c>
      <c r="K534">
        <v>6.3469999999999999E-2</v>
      </c>
      <c r="L534">
        <v>10.47</v>
      </c>
      <c r="M534">
        <v>6.79</v>
      </c>
      <c r="N534">
        <v>6</v>
      </c>
      <c r="O534">
        <v>2</v>
      </c>
      <c r="P534">
        <v>12</v>
      </c>
      <c r="Q534">
        <v>93.4</v>
      </c>
      <c r="R534">
        <v>150.64000000000001</v>
      </c>
      <c r="S534">
        <v>0.76163999999999998</v>
      </c>
      <c r="T534">
        <v>11</v>
      </c>
      <c r="U534">
        <v>426</v>
      </c>
      <c r="V534">
        <v>2892.54</v>
      </c>
      <c r="W534" s="1" t="s">
        <v>1262</v>
      </c>
      <c r="X534" s="1" t="s">
        <v>1262</v>
      </c>
      <c r="Y534">
        <v>0.12941176470588237</v>
      </c>
      <c r="Z534">
        <v>0.20882352941176471</v>
      </c>
      <c r="AA534" s="1" t="s">
        <v>1263</v>
      </c>
      <c r="AB534">
        <v>0</v>
      </c>
      <c r="AC534">
        <v>0</v>
      </c>
      <c r="AD534" s="1">
        <v>19.802816901408452</v>
      </c>
      <c r="AE534">
        <v>2</v>
      </c>
      <c r="AF534">
        <f>COUNTIFS(tblStock[sku],tblSKU[[#This Row],[sku]])</f>
        <v>2</v>
      </c>
      <c r="AG534" cm="1">
        <f t="array" ref="AG534">SUM(SUMIFS(tblStock[qty_units],tblStock[sku],tblSKU[[#This Row],[sku]],tblStock[stock_type],{"Saleable","FOC"}))</f>
        <v>2109</v>
      </c>
      <c r="AH534" s="3">
        <f>SUMIFS(tblStock[value_nzd],tblStock[sku],tblSKU[[#This Row],[sku]])</f>
        <v>14320.11</v>
      </c>
      <c r="AI534" s="4">
        <f>SUMIFS(tblStock[cbm],tblStock[sku],tblSKU[[#This Row],[sku]])</f>
        <v>13.385823</v>
      </c>
      <c r="AJ534" s="1">
        <f>SUMIFS(tblStock[positions],tblStock[sku],tblSKU[[#This Row],[sku]])</f>
        <v>18</v>
      </c>
      <c r="AK534" s="3">
        <f>SUMIFS(tblStock[value_nzd],tblStock[sku],tblSKU[[#This Row],[sku]],tblStock[stock_type],"Expired")</f>
        <v>0</v>
      </c>
      <c r="AL534" s="3" cm="1">
        <f t="array" ref="AL534">SUM(SUMIFS(tblStock[value_nzd],tblStock[sku],tblSKU[[#This Row],[sku]],tblStock[stock_type],{"Saleable","FOC"},tblStock[expiry_date],"&lt;"&amp;EDATE(SnapshotDate,6)))</f>
        <v>0</v>
      </c>
    </row>
    <row r="535" spans="1:38">
      <c r="A535" s="1" t="s">
        <v>1134</v>
      </c>
      <c r="B535" s="1" t="s">
        <v>1135</v>
      </c>
      <c r="C535" s="1" t="s">
        <v>1110</v>
      </c>
      <c r="D535" s="1" t="s">
        <v>1111</v>
      </c>
      <c r="E535" s="1" t="s">
        <v>1111</v>
      </c>
      <c r="F535" s="1" t="s">
        <v>1081</v>
      </c>
      <c r="G535">
        <v>20</v>
      </c>
      <c r="H535">
        <v>64.3</v>
      </c>
      <c r="I535">
        <v>31.2</v>
      </c>
      <c r="J535">
        <v>31.4</v>
      </c>
      <c r="K535">
        <v>6.2990000000000004E-2</v>
      </c>
      <c r="L535">
        <v>7.25</v>
      </c>
      <c r="M535">
        <v>1.29</v>
      </c>
      <c r="N535">
        <v>3</v>
      </c>
      <c r="O535">
        <v>4</v>
      </c>
      <c r="P535">
        <v>12</v>
      </c>
      <c r="Q535">
        <v>140.6</v>
      </c>
      <c r="R535">
        <v>112</v>
      </c>
      <c r="S535">
        <v>0.75588000000000011</v>
      </c>
      <c r="T535">
        <v>32</v>
      </c>
      <c r="U535">
        <v>1492</v>
      </c>
      <c r="V535">
        <v>1924.68</v>
      </c>
      <c r="W535" s="1" t="s">
        <v>1258</v>
      </c>
      <c r="X535" s="1" t="s">
        <v>1262</v>
      </c>
      <c r="Y535">
        <v>0.37647058823529411</v>
      </c>
      <c r="Z535">
        <v>0.3656862745098039</v>
      </c>
      <c r="AA535" s="1" t="s">
        <v>1259</v>
      </c>
      <c r="AB535">
        <v>0</v>
      </c>
      <c r="AC535">
        <v>1</v>
      </c>
      <c r="AD535" s="1">
        <v>6.1474530831099194</v>
      </c>
      <c r="AE535">
        <v>2</v>
      </c>
      <c r="AF535">
        <f>COUNTIFS(tblStock[sku],tblSKU[[#This Row],[sku]])</f>
        <v>1</v>
      </c>
      <c r="AG535" cm="1">
        <f t="array" ref="AG535">SUM(SUMIFS(tblStock[qty_units],tblStock[sku],tblSKU[[#This Row],[sku]],tblStock[stock_type],{"Saleable","FOC"}))</f>
        <v>2293</v>
      </c>
      <c r="AH535" s="3">
        <f>SUMIFS(tblStock[value_nzd],tblStock[sku],tblSKU[[#This Row],[sku]])</f>
        <v>2957.9700000000003</v>
      </c>
      <c r="AI535" s="4">
        <f>SUMIFS(tblStock[cbm],tblStock[sku],tblSKU[[#This Row],[sku]])</f>
        <v>7.2218035000000009</v>
      </c>
      <c r="AJ535" s="1">
        <f>SUMIFS(tblStock[positions],tblStock[sku],tblSKU[[#This Row],[sku]])</f>
        <v>10</v>
      </c>
      <c r="AK535" s="3">
        <f>SUMIFS(tblStock[value_nzd],tblStock[sku],tblSKU[[#This Row],[sku]],tblStock[stock_type],"Expired")</f>
        <v>0</v>
      </c>
      <c r="AL535" s="3" cm="1">
        <f t="array" ref="AL535">SUM(SUMIFS(tblStock[value_nzd],tblStock[sku],tblSKU[[#This Row],[sku]],tblStock[stock_type],{"Saleable","FOC"},tblStock[expiry_date],"&lt;"&amp;EDATE(SnapshotDate,6)))</f>
        <v>0</v>
      </c>
    </row>
    <row r="536" spans="1:38">
      <c r="A536" s="1" t="s">
        <v>1136</v>
      </c>
      <c r="B536" s="1" t="s">
        <v>1137</v>
      </c>
      <c r="C536" s="1" t="s">
        <v>1110</v>
      </c>
      <c r="D536" s="1" t="s">
        <v>1111</v>
      </c>
      <c r="E536" s="1" t="s">
        <v>1111</v>
      </c>
      <c r="F536" s="1" t="s">
        <v>1081</v>
      </c>
      <c r="G536">
        <v>50</v>
      </c>
      <c r="H536">
        <v>61.6</v>
      </c>
      <c r="I536">
        <v>36</v>
      </c>
      <c r="J536">
        <v>28.5</v>
      </c>
      <c r="K536">
        <v>6.3200000000000006E-2</v>
      </c>
      <c r="L536">
        <v>9.31</v>
      </c>
      <c r="M536">
        <v>1.73</v>
      </c>
      <c r="N536">
        <v>3</v>
      </c>
      <c r="O536">
        <v>3</v>
      </c>
      <c r="P536">
        <v>9</v>
      </c>
      <c r="Q536">
        <v>100.5</v>
      </c>
      <c r="R536">
        <v>108.79</v>
      </c>
      <c r="S536">
        <v>0.56880000000000008</v>
      </c>
      <c r="T536">
        <v>95</v>
      </c>
      <c r="U536">
        <v>3933</v>
      </c>
      <c r="V536">
        <v>6804.09</v>
      </c>
      <c r="W536" s="1" t="s">
        <v>1264</v>
      </c>
      <c r="X536" s="1" t="s">
        <v>1262</v>
      </c>
      <c r="Y536">
        <v>1.1176470588235294</v>
      </c>
      <c r="Z536">
        <v>0.51411764705882357</v>
      </c>
      <c r="AA536" s="1" t="s">
        <v>1265</v>
      </c>
      <c r="AB536">
        <v>1</v>
      </c>
      <c r="AC536">
        <v>0</v>
      </c>
      <c r="AD536" s="1">
        <v>4.4495296211543351</v>
      </c>
      <c r="AE536">
        <v>2</v>
      </c>
      <c r="AF536">
        <f>COUNTIFS(tblStock[sku],tblSKU[[#This Row],[sku]])</f>
        <v>2</v>
      </c>
      <c r="AG536" cm="1">
        <f t="array" ref="AG536">SUM(SUMIFS(tblStock[qty_units],tblStock[sku],tblSKU[[#This Row],[sku]],tblStock[stock_type],{"Saleable","FOC"}))</f>
        <v>4375</v>
      </c>
      <c r="AH536" s="3">
        <f>SUMIFS(tblStock[value_nzd],tblStock[sku],tblSKU[[#This Row],[sku]])</f>
        <v>7568.75</v>
      </c>
      <c r="AI536" s="4">
        <f>SUMIFS(tblStock[cbm],tblStock[sku],tblSKU[[#This Row],[sku]])</f>
        <v>5.53</v>
      </c>
      <c r="AJ536" s="1">
        <f>SUMIFS(tblStock[positions],tblStock[sku],tblSKU[[#This Row],[sku]])</f>
        <v>11</v>
      </c>
      <c r="AK536" s="3">
        <f>SUMIFS(tblStock[value_nzd],tblStock[sku],tblSKU[[#This Row],[sku]],tblStock[stock_type],"Expired")</f>
        <v>0</v>
      </c>
      <c r="AL536" s="3" cm="1">
        <f t="array" ref="AL536">SUM(SUMIFS(tblStock[value_nzd],tblStock[sku],tblSKU[[#This Row],[sku]],tblStock[stock_type],{"Saleable","FOC"},tblStock[expiry_date],"&lt;"&amp;EDATE(SnapshotDate,6)))</f>
        <v>5141.5600000000004</v>
      </c>
    </row>
    <row r="537" spans="1:38">
      <c r="A537" s="1" t="s">
        <v>1138</v>
      </c>
      <c r="B537" s="1" t="s">
        <v>1139</v>
      </c>
      <c r="C537" s="1" t="s">
        <v>1110</v>
      </c>
      <c r="D537" s="1" t="s">
        <v>1111</v>
      </c>
      <c r="E537" s="1" t="s">
        <v>1111</v>
      </c>
      <c r="F537" s="1" t="s">
        <v>1081</v>
      </c>
      <c r="G537">
        <v>20</v>
      </c>
      <c r="H537">
        <v>46.3</v>
      </c>
      <c r="I537">
        <v>36</v>
      </c>
      <c r="J537">
        <v>32.700000000000003</v>
      </c>
      <c r="K537">
        <v>5.45E-2</v>
      </c>
      <c r="L537">
        <v>7.63</v>
      </c>
      <c r="M537">
        <v>2.2200000000000002</v>
      </c>
      <c r="N537">
        <v>4</v>
      </c>
      <c r="O537">
        <v>2</v>
      </c>
      <c r="P537">
        <v>8</v>
      </c>
      <c r="Q537">
        <v>80.400000000000006</v>
      </c>
      <c r="R537">
        <v>86.039999999999992</v>
      </c>
      <c r="S537">
        <v>0.436</v>
      </c>
      <c r="T537">
        <v>72</v>
      </c>
      <c r="U537">
        <v>2605</v>
      </c>
      <c r="V537">
        <v>5783.1</v>
      </c>
      <c r="W537" s="1" t="s">
        <v>1258</v>
      </c>
      <c r="X537" s="1" t="s">
        <v>1262</v>
      </c>
      <c r="Y537">
        <v>0.84705882352941175</v>
      </c>
      <c r="Z537">
        <v>0.95772058823529416</v>
      </c>
      <c r="AA537" s="1" t="s">
        <v>1259</v>
      </c>
      <c r="AB537">
        <v>0</v>
      </c>
      <c r="AC537">
        <v>1</v>
      </c>
      <c r="AD537" s="1">
        <v>4.4698656429942423</v>
      </c>
      <c r="AE537">
        <v>2</v>
      </c>
      <c r="AF537">
        <f>COUNTIFS(tblStock[sku],tblSKU[[#This Row],[sku]])</f>
        <v>2</v>
      </c>
      <c r="AG537" cm="1">
        <f t="array" ref="AG537">SUM(SUMIFS(tblStock[qty_units],tblStock[sku],tblSKU[[#This Row],[sku]],tblStock[stock_type],{"Saleable","FOC"}))</f>
        <v>2911</v>
      </c>
      <c r="AH537" s="3">
        <f>SUMIFS(tblStock[value_nzd],tblStock[sku],tblSKU[[#This Row],[sku]])</f>
        <v>6977.4600000000009</v>
      </c>
      <c r="AI537" s="4">
        <f>SUMIFS(tblStock[cbm],tblStock[sku],tblSKU[[#This Row],[sku]])</f>
        <v>8.5646749999999994</v>
      </c>
      <c r="AJ537" s="1">
        <f>SUMIFS(tblStock[positions],tblStock[sku],tblSKU[[#This Row],[sku]])</f>
        <v>19</v>
      </c>
      <c r="AK537" s="3">
        <f>SUMIFS(tblStock[value_nzd],tblStock[sku],tblSKU[[#This Row],[sku]],tblStock[stock_type],"Expired")</f>
        <v>515.04000000000008</v>
      </c>
      <c r="AL537" s="3" cm="1">
        <f t="array" ref="AL537">SUM(SUMIFS(tblStock[value_nzd],tblStock[sku],tblSKU[[#This Row],[sku]],tblStock[stock_type],{"Saleable","FOC"},tblStock[expiry_date],"&lt;"&amp;EDATE(SnapshotDate,6)))</f>
        <v>0</v>
      </c>
    </row>
    <row r="538" spans="1:38">
      <c r="A538" s="1" t="s">
        <v>1140</v>
      </c>
      <c r="B538" s="1" t="s">
        <v>1141</v>
      </c>
      <c r="C538" s="1" t="s">
        <v>1110</v>
      </c>
      <c r="D538" s="1" t="s">
        <v>1111</v>
      </c>
      <c r="E538" s="1" t="s">
        <v>1111</v>
      </c>
      <c r="F538" s="1" t="s">
        <v>1081</v>
      </c>
      <c r="G538">
        <v>50</v>
      </c>
      <c r="H538">
        <v>46.7</v>
      </c>
      <c r="I538">
        <v>45</v>
      </c>
      <c r="J538">
        <v>37.9</v>
      </c>
      <c r="K538">
        <v>7.9649999999999999E-2</v>
      </c>
      <c r="L538">
        <v>12.38</v>
      </c>
      <c r="M538">
        <v>0.68</v>
      </c>
      <c r="N538">
        <v>4</v>
      </c>
      <c r="O538">
        <v>2</v>
      </c>
      <c r="P538">
        <v>8</v>
      </c>
      <c r="Q538">
        <v>90.8</v>
      </c>
      <c r="R538">
        <v>124.04</v>
      </c>
      <c r="S538">
        <v>0.63719999999999999</v>
      </c>
      <c r="T538">
        <v>1179</v>
      </c>
      <c r="U538">
        <v>54400</v>
      </c>
      <c r="V538">
        <v>36992</v>
      </c>
      <c r="W538" s="1" t="s">
        <v>1264</v>
      </c>
      <c r="X538" s="1" t="s">
        <v>1258</v>
      </c>
      <c r="Y538">
        <v>13.870588235294118</v>
      </c>
      <c r="Z538">
        <v>8</v>
      </c>
      <c r="AA538" s="1" t="s">
        <v>1265</v>
      </c>
      <c r="AB538">
        <v>2</v>
      </c>
      <c r="AC538">
        <v>0</v>
      </c>
      <c r="AD538" s="1">
        <v>0.97801470588235295</v>
      </c>
      <c r="AE538">
        <v>4</v>
      </c>
      <c r="AF538">
        <f>COUNTIFS(tblStock[sku],tblSKU[[#This Row],[sku]])</f>
        <v>2</v>
      </c>
      <c r="AG538" cm="1">
        <f t="array" ref="AG538">SUM(SUMIFS(tblStock[qty_units],tblStock[sku],tblSKU[[#This Row],[sku]],tblStock[stock_type],{"Saleable","FOC"}))</f>
        <v>13301</v>
      </c>
      <c r="AH538" s="3">
        <f>SUMIFS(tblStock[value_nzd],tblStock[sku],tblSKU[[#This Row],[sku]])</f>
        <v>9044.68</v>
      </c>
      <c r="AI538" s="4">
        <f>SUMIFS(tblStock[cbm],tblStock[sku],tblSKU[[#This Row],[sku]])</f>
        <v>21.188492999999998</v>
      </c>
      <c r="AJ538" s="1">
        <f>SUMIFS(tblStock[positions],tblStock[sku],tblSKU[[#This Row],[sku]])</f>
        <v>34</v>
      </c>
      <c r="AK538" s="3">
        <f>SUMIFS(tblStock[value_nzd],tblStock[sku],tblSKU[[#This Row],[sku]],tblStock[stock_type],"Expired")</f>
        <v>0</v>
      </c>
      <c r="AL538" s="3" cm="1">
        <f t="array" ref="AL538">SUM(SUMIFS(tblStock[value_nzd],tblStock[sku],tblSKU[[#This Row],[sku]],tblStock[stock_type],{"Saleable","FOC"},tblStock[expiry_date],"&lt;"&amp;EDATE(SnapshotDate,6)))</f>
        <v>0</v>
      </c>
    </row>
    <row r="539" spans="1:38">
      <c r="A539" s="1" t="s">
        <v>1142</v>
      </c>
      <c r="B539" s="1" t="s">
        <v>1143</v>
      </c>
      <c r="C539" s="1" t="s">
        <v>1110</v>
      </c>
      <c r="D539" s="1" t="s">
        <v>1111</v>
      </c>
      <c r="E539" s="1" t="s">
        <v>1111</v>
      </c>
      <c r="F539" s="1" t="s">
        <v>1081</v>
      </c>
      <c r="G539">
        <v>20</v>
      </c>
      <c r="H539">
        <v>60.8</v>
      </c>
      <c r="I539">
        <v>33.700000000000003</v>
      </c>
      <c r="J539">
        <v>30.5</v>
      </c>
      <c r="K539">
        <v>6.2489999999999997E-2</v>
      </c>
      <c r="L539">
        <v>7.7</v>
      </c>
      <c r="M539">
        <v>3.45</v>
      </c>
      <c r="N539">
        <v>3</v>
      </c>
      <c r="O539">
        <v>2</v>
      </c>
      <c r="P539">
        <v>6</v>
      </c>
      <c r="Q539">
        <v>76</v>
      </c>
      <c r="R539">
        <v>71.2</v>
      </c>
      <c r="S539">
        <v>0.37494</v>
      </c>
      <c r="T539">
        <v>90</v>
      </c>
      <c r="U539">
        <v>3115</v>
      </c>
      <c r="V539">
        <v>10746.75</v>
      </c>
      <c r="W539" s="1" t="s">
        <v>1264</v>
      </c>
      <c r="X539" s="1" t="s">
        <v>1262</v>
      </c>
      <c r="Y539">
        <v>1.0588235294117647</v>
      </c>
      <c r="Z539">
        <v>1.5269607843137256</v>
      </c>
      <c r="AA539" s="1" t="s">
        <v>1265</v>
      </c>
      <c r="AB539">
        <v>1</v>
      </c>
      <c r="AC539">
        <v>0</v>
      </c>
      <c r="AD539" s="1">
        <v>9.4626003210272867</v>
      </c>
      <c r="AE539">
        <v>2</v>
      </c>
      <c r="AF539">
        <f>COUNTIFS(tblStock[sku],tblSKU[[#This Row],[sku]])</f>
        <v>1</v>
      </c>
      <c r="AG539" cm="1">
        <f t="array" ref="AG539">SUM(SUMIFS(tblStock[qty_units],tblStock[sku],tblSKU[[#This Row],[sku]],tblStock[stock_type],{"Saleable","FOC"}))</f>
        <v>7369</v>
      </c>
      <c r="AH539" s="3">
        <f>SUMIFS(tblStock[value_nzd],tblStock[sku],tblSKU[[#This Row],[sku]])</f>
        <v>25423.050000000003</v>
      </c>
      <c r="AI539" s="4">
        <f>SUMIFS(tblStock[cbm],tblStock[sku],tblSKU[[#This Row],[sku]])</f>
        <v>23.024440499999997</v>
      </c>
      <c r="AJ539" s="1">
        <f>SUMIFS(tblStock[positions],tblStock[sku],tblSKU[[#This Row],[sku]])</f>
        <v>62</v>
      </c>
      <c r="AK539" s="3">
        <f>SUMIFS(tblStock[value_nzd],tblStock[sku],tblSKU[[#This Row],[sku]],tblStock[stock_type],"Expired")</f>
        <v>0</v>
      </c>
      <c r="AL539" s="3" cm="1">
        <f t="array" ref="AL539">SUM(SUMIFS(tblStock[value_nzd],tblStock[sku],tblSKU[[#This Row],[sku]],tblStock[stock_type],{"Saleable","FOC"},tblStock[expiry_date],"&lt;"&amp;EDATE(SnapshotDate,6)))</f>
        <v>0</v>
      </c>
    </row>
    <row r="540" spans="1:38">
      <c r="A540" s="1" t="s">
        <v>1144</v>
      </c>
      <c r="B540" s="1" t="s">
        <v>1145</v>
      </c>
      <c r="C540" s="1" t="s">
        <v>1110</v>
      </c>
      <c r="D540" s="1" t="s">
        <v>1111</v>
      </c>
      <c r="E540" s="1" t="s">
        <v>1111</v>
      </c>
      <c r="F540" s="1" t="s">
        <v>1081</v>
      </c>
      <c r="G540">
        <v>20</v>
      </c>
      <c r="H540">
        <v>59.8</v>
      </c>
      <c r="I540">
        <v>40.700000000000003</v>
      </c>
      <c r="J540">
        <v>34.700000000000003</v>
      </c>
      <c r="K540">
        <v>8.4449999999999997E-2</v>
      </c>
      <c r="L540">
        <v>7.96</v>
      </c>
      <c r="M540">
        <v>7.5</v>
      </c>
      <c r="N540">
        <v>2</v>
      </c>
      <c r="O540">
        <v>4</v>
      </c>
      <c r="P540">
        <v>8</v>
      </c>
      <c r="Q540">
        <v>153.80000000000001</v>
      </c>
      <c r="R540">
        <v>88.68</v>
      </c>
      <c r="S540">
        <v>0.67559999999999998</v>
      </c>
      <c r="T540">
        <v>31</v>
      </c>
      <c r="U540">
        <v>1292</v>
      </c>
      <c r="V540">
        <v>9690</v>
      </c>
      <c r="W540" s="1" t="s">
        <v>1258</v>
      </c>
      <c r="X540" s="1" t="s">
        <v>1262</v>
      </c>
      <c r="Y540">
        <v>0.36470588235294116</v>
      </c>
      <c r="Z540">
        <v>0.47499999999999992</v>
      </c>
      <c r="AA540" s="1" t="s">
        <v>1259</v>
      </c>
      <c r="AB540">
        <v>0</v>
      </c>
      <c r="AC540">
        <v>1</v>
      </c>
      <c r="AD540" s="1">
        <v>3.6934984520123839</v>
      </c>
      <c r="AE540">
        <v>2</v>
      </c>
      <c r="AF540">
        <f>COUNTIFS(tblStock[sku],tblSKU[[#This Row],[sku]])</f>
        <v>2</v>
      </c>
      <c r="AG540" cm="1">
        <f t="array" ref="AG540">SUM(SUMIFS(tblStock[qty_units],tblStock[sku],tblSKU[[#This Row],[sku]],tblStock[stock_type],{"Saleable","FOC"}))</f>
        <v>1193</v>
      </c>
      <c r="AH540" s="3">
        <f>SUMIFS(tblStock[value_nzd],tblStock[sku],tblSKU[[#This Row],[sku]])</f>
        <v>8947.5</v>
      </c>
      <c r="AI540" s="4">
        <f>SUMIFS(tblStock[cbm],tblStock[sku],tblSKU[[#This Row],[sku]])</f>
        <v>5.0374424999999992</v>
      </c>
      <c r="AJ540" s="1">
        <f>SUMIFS(tblStock[positions],tblStock[sku],tblSKU[[#This Row],[sku]])</f>
        <v>9</v>
      </c>
      <c r="AK540" s="3">
        <f>SUMIFS(tblStock[value_nzd],tblStock[sku],tblSKU[[#This Row],[sku]],tblStock[stock_type],"Expired")</f>
        <v>0</v>
      </c>
      <c r="AL540" s="3" cm="1">
        <f t="array" ref="AL540">SUM(SUMIFS(tblStock[value_nzd],tblStock[sku],tblSKU[[#This Row],[sku]],tblStock[stock_type],{"Saleable","FOC"},tblStock[expiry_date],"&lt;"&amp;EDATE(SnapshotDate,6)))</f>
        <v>0</v>
      </c>
    </row>
    <row r="541" spans="1:38">
      <c r="A541" s="1" t="s">
        <v>1146</v>
      </c>
      <c r="B541" s="1" t="s">
        <v>1147</v>
      </c>
      <c r="C541" s="1" t="s">
        <v>1110</v>
      </c>
      <c r="D541" s="1" t="s">
        <v>1111</v>
      </c>
      <c r="E541" s="1" t="s">
        <v>1111</v>
      </c>
      <c r="F541" s="1" t="s">
        <v>1081</v>
      </c>
      <c r="G541">
        <v>50</v>
      </c>
      <c r="H541">
        <v>57.8</v>
      </c>
      <c r="I541">
        <v>30.2</v>
      </c>
      <c r="J541">
        <v>38.700000000000003</v>
      </c>
      <c r="K541">
        <v>6.7549999999999999E-2</v>
      </c>
      <c r="L541">
        <v>5.64</v>
      </c>
      <c r="M541">
        <v>1.83</v>
      </c>
      <c r="N541">
        <v>6</v>
      </c>
      <c r="O541">
        <v>2</v>
      </c>
      <c r="P541">
        <v>12</v>
      </c>
      <c r="Q541">
        <v>92.4</v>
      </c>
      <c r="R541">
        <v>92.679999999999993</v>
      </c>
      <c r="S541">
        <v>0.81059999999999999</v>
      </c>
      <c r="T541">
        <v>8</v>
      </c>
      <c r="U541">
        <v>361</v>
      </c>
      <c r="V541">
        <v>660.63</v>
      </c>
      <c r="W541" s="1" t="s">
        <v>1262</v>
      </c>
      <c r="X541" s="1" t="s">
        <v>1262</v>
      </c>
      <c r="Y541">
        <v>9.4117647058823528E-2</v>
      </c>
      <c r="Z541">
        <v>3.5392156862745099E-2</v>
      </c>
      <c r="AA541" s="1" t="s">
        <v>1263</v>
      </c>
      <c r="AB541">
        <v>0</v>
      </c>
      <c r="AC541">
        <v>0</v>
      </c>
      <c r="AD541" s="1">
        <v>13.728531855955678</v>
      </c>
      <c r="AE541">
        <v>2</v>
      </c>
      <c r="AF541">
        <f>COUNTIFS(tblStock[sku],tblSKU[[#This Row],[sku]])</f>
        <v>1</v>
      </c>
      <c r="AG541" cm="1">
        <f t="array" ref="AG541">SUM(SUMIFS(tblStock[qty_units],tblStock[sku],tblSKU[[#This Row],[sku]],tblStock[stock_type],{"Saleable","FOC"}))</f>
        <v>1239</v>
      </c>
      <c r="AH541" s="3">
        <f>SUMIFS(tblStock[value_nzd],tblStock[sku],tblSKU[[#This Row],[sku]])</f>
        <v>2267.37</v>
      </c>
      <c r="AI541" s="4">
        <f>SUMIFS(tblStock[cbm],tblStock[sku],tblSKU[[#This Row],[sku]])</f>
        <v>1.673889</v>
      </c>
      <c r="AJ541" s="1">
        <f>SUMIFS(tblStock[positions],tblStock[sku],tblSKU[[#This Row],[sku]])</f>
        <v>3</v>
      </c>
      <c r="AK541" s="3">
        <f>SUMIFS(tblStock[value_nzd],tblStock[sku],tblSKU[[#This Row],[sku]],tblStock[stock_type],"Expired")</f>
        <v>0</v>
      </c>
      <c r="AL541" s="3" cm="1">
        <f t="array" ref="AL541">SUM(SUMIFS(tblStock[value_nzd],tblStock[sku],tblSKU[[#This Row],[sku]],tblStock[stock_type],{"Saleable","FOC"},tblStock[expiry_date],"&lt;"&amp;EDATE(SnapshotDate,6)))</f>
        <v>0</v>
      </c>
    </row>
    <row r="542" spans="1:38">
      <c r="A542" s="1" t="s">
        <v>1148</v>
      </c>
      <c r="B542" s="1" t="s">
        <v>1149</v>
      </c>
      <c r="C542" s="1" t="s">
        <v>1110</v>
      </c>
      <c r="D542" s="1" t="s">
        <v>1111</v>
      </c>
      <c r="E542" s="1" t="s">
        <v>1111</v>
      </c>
      <c r="F542" s="1" t="s">
        <v>1081</v>
      </c>
      <c r="G542">
        <v>100</v>
      </c>
      <c r="H542">
        <v>57.4</v>
      </c>
      <c r="I542">
        <v>36.6</v>
      </c>
      <c r="J542">
        <v>35.700000000000003</v>
      </c>
      <c r="K542">
        <v>7.4999999999999997E-2</v>
      </c>
      <c r="L542">
        <v>6.42</v>
      </c>
      <c r="M542">
        <v>7.89</v>
      </c>
      <c r="N542">
        <v>4</v>
      </c>
      <c r="O542">
        <v>3</v>
      </c>
      <c r="P542">
        <v>12</v>
      </c>
      <c r="Q542">
        <v>122.10000000000001</v>
      </c>
      <c r="R542">
        <v>102.03999999999999</v>
      </c>
      <c r="S542">
        <v>0.89999999999999991</v>
      </c>
      <c r="T542">
        <v>58</v>
      </c>
      <c r="U542">
        <v>3417</v>
      </c>
      <c r="V542">
        <v>26960.129999999997</v>
      </c>
      <c r="W542" s="1" t="s">
        <v>1258</v>
      </c>
      <c r="X542" s="1" t="s">
        <v>1262</v>
      </c>
      <c r="Y542">
        <v>0.68235294117647061</v>
      </c>
      <c r="Z542">
        <v>0.16750000000000001</v>
      </c>
      <c r="AA542" s="1" t="s">
        <v>1259</v>
      </c>
      <c r="AB542">
        <v>0</v>
      </c>
      <c r="AC542">
        <v>1</v>
      </c>
      <c r="AD542" s="1">
        <v>12.431957857769973</v>
      </c>
      <c r="AE542">
        <v>2</v>
      </c>
      <c r="AF542">
        <f>COUNTIFS(tblStock[sku],tblSKU[[#This Row],[sku]])</f>
        <v>2</v>
      </c>
      <c r="AG542" cm="1">
        <f t="array" ref="AG542">SUM(SUMIFS(tblStock[qty_units],tblStock[sku],tblSKU[[#This Row],[sku]],tblStock[stock_type],{"Saleable","FOC"}))</f>
        <v>10620</v>
      </c>
      <c r="AH542" s="3">
        <f>SUMIFS(tblStock[value_nzd],tblStock[sku],tblSKU[[#This Row],[sku]])</f>
        <v>83791.799999999988</v>
      </c>
      <c r="AI542" s="4">
        <f>SUMIFS(tblStock[cbm],tblStock[sku],tblSKU[[#This Row],[sku]])</f>
        <v>7.9649999999999999</v>
      </c>
      <c r="AJ542" s="1">
        <f>SUMIFS(tblStock[positions],tblStock[sku],tblSKU[[#This Row],[sku]])</f>
        <v>10</v>
      </c>
      <c r="AK542" s="3">
        <f>SUMIFS(tblStock[value_nzd],tblStock[sku],tblSKU[[#This Row],[sku]],tblStock[stock_type],"Expired")</f>
        <v>0</v>
      </c>
      <c r="AL542" s="3" cm="1">
        <f t="array" ref="AL542">SUM(SUMIFS(tblStock[value_nzd],tblStock[sku],tblSKU[[#This Row],[sku]],tblStock[stock_type],{"Saleable","FOC"},tblStock[expiry_date],"&lt;"&amp;EDATE(SnapshotDate,6)))</f>
        <v>0</v>
      </c>
    </row>
    <row r="543" spans="1:38">
      <c r="A543" s="1" t="s">
        <v>1150</v>
      </c>
      <c r="B543" s="1" t="s">
        <v>1151</v>
      </c>
      <c r="C543" s="1" t="s">
        <v>1110</v>
      </c>
      <c r="D543" s="1" t="s">
        <v>1111</v>
      </c>
      <c r="E543" s="1" t="s">
        <v>1111</v>
      </c>
      <c r="F543" s="1" t="s">
        <v>1081</v>
      </c>
      <c r="G543">
        <v>10</v>
      </c>
      <c r="H543">
        <v>40.700000000000003</v>
      </c>
      <c r="I543">
        <v>43.1</v>
      </c>
      <c r="J543">
        <v>30.8</v>
      </c>
      <c r="K543">
        <v>5.4030000000000002E-2</v>
      </c>
      <c r="L543">
        <v>6.72</v>
      </c>
      <c r="M543">
        <v>0.82</v>
      </c>
      <c r="N543">
        <v>4</v>
      </c>
      <c r="O543">
        <v>2</v>
      </c>
      <c r="P543">
        <v>8</v>
      </c>
      <c r="Q543">
        <v>76.599999999999994</v>
      </c>
      <c r="R543">
        <v>78.759999999999991</v>
      </c>
      <c r="S543">
        <v>0.43224000000000001</v>
      </c>
      <c r="T543">
        <v>792</v>
      </c>
      <c r="U543">
        <v>26285</v>
      </c>
      <c r="V543">
        <v>21553.699999999997</v>
      </c>
      <c r="W543" s="1" t="s">
        <v>1264</v>
      </c>
      <c r="X543" s="1" t="s">
        <v>1262</v>
      </c>
      <c r="Y543">
        <v>9.3176470588235301</v>
      </c>
      <c r="Z543">
        <v>19.327205882352942</v>
      </c>
      <c r="AA543" s="1" t="s">
        <v>1265</v>
      </c>
      <c r="AB543">
        <v>2</v>
      </c>
      <c r="AC543">
        <v>0</v>
      </c>
      <c r="AD543" s="1">
        <v>7.8289518736922199</v>
      </c>
      <c r="AE543">
        <v>2</v>
      </c>
      <c r="AF543">
        <f>COUNTIFS(tblStock[sku],tblSKU[[#This Row],[sku]])</f>
        <v>2</v>
      </c>
      <c r="AG543" cm="1">
        <f t="array" ref="AG543">SUM(SUMIFS(tblStock[qty_units],tblStock[sku],tblSKU[[#This Row],[sku]],tblStock[stock_type],{"Saleable","FOC"}))</f>
        <v>51446</v>
      </c>
      <c r="AH543" s="3">
        <f>SUMIFS(tblStock[value_nzd],tblStock[sku],tblSKU[[#This Row],[sku]])</f>
        <v>42185.719999999994</v>
      </c>
      <c r="AI543" s="4">
        <f>SUMIFS(tblStock[cbm],tblStock[sku],tblSKU[[#This Row],[sku]])</f>
        <v>277.96273800000006</v>
      </c>
      <c r="AJ543" s="1">
        <f>SUMIFS(tblStock[positions],tblStock[sku],tblSKU[[#This Row],[sku]])</f>
        <v>644</v>
      </c>
      <c r="AK543" s="3">
        <f>SUMIFS(tblStock[value_nzd],tblStock[sku],tblSKU[[#This Row],[sku]],tblStock[stock_type],"Expired")</f>
        <v>0</v>
      </c>
      <c r="AL543" s="3" cm="1">
        <f t="array" ref="AL543">SUM(SUMIFS(tblStock[value_nzd],tblStock[sku],tblSKU[[#This Row],[sku]],tblStock[stock_type],{"Saleable","FOC"},tblStock[expiry_date],"&lt;"&amp;EDATE(SnapshotDate,6)))</f>
        <v>0</v>
      </c>
    </row>
    <row r="544" spans="1:38">
      <c r="A544" s="1" t="s">
        <v>1152</v>
      </c>
      <c r="B544" s="1" t="s">
        <v>1153</v>
      </c>
      <c r="C544" s="1" t="s">
        <v>1110</v>
      </c>
      <c r="D544" s="1" t="s">
        <v>1111</v>
      </c>
      <c r="E544" s="1" t="s">
        <v>1111</v>
      </c>
      <c r="F544" s="1" t="s">
        <v>1081</v>
      </c>
      <c r="G544">
        <v>20</v>
      </c>
      <c r="H544">
        <v>55.3</v>
      </c>
      <c r="I544">
        <v>40.6</v>
      </c>
      <c r="J544">
        <v>31.4</v>
      </c>
      <c r="K544">
        <v>7.0499999999999993E-2</v>
      </c>
      <c r="L544">
        <v>10.029999999999999</v>
      </c>
      <c r="M544">
        <v>3.88</v>
      </c>
      <c r="N544">
        <v>4</v>
      </c>
      <c r="O544">
        <v>4</v>
      </c>
      <c r="P544">
        <v>16</v>
      </c>
      <c r="Q544">
        <v>140.6</v>
      </c>
      <c r="R544">
        <v>185.48</v>
      </c>
      <c r="S544">
        <v>1.1279999999999999</v>
      </c>
      <c r="T544">
        <v>57</v>
      </c>
      <c r="U544">
        <v>2686</v>
      </c>
      <c r="V544">
        <v>10421.68</v>
      </c>
      <c r="W544" s="1" t="s">
        <v>1258</v>
      </c>
      <c r="X544" s="1" t="s">
        <v>1262</v>
      </c>
      <c r="Y544">
        <v>0.6705882352941176</v>
      </c>
      <c r="Z544">
        <v>0.49375000000000002</v>
      </c>
      <c r="AA544" s="1" t="s">
        <v>1259</v>
      </c>
      <c r="AB544">
        <v>0</v>
      </c>
      <c r="AC544">
        <v>1</v>
      </c>
      <c r="AD544" s="1">
        <v>9.0498883097542819</v>
      </c>
      <c r="AE544">
        <v>2</v>
      </c>
      <c r="AF544">
        <f>COUNTIFS(tblStock[sku],tblSKU[[#This Row],[sku]])</f>
        <v>2</v>
      </c>
      <c r="AG544" cm="1">
        <f t="array" ref="AG544">SUM(SUMIFS(tblStock[qty_units],tblStock[sku],tblSKU[[#This Row],[sku]],tblStock[stock_type],{"Saleable","FOC"}))</f>
        <v>6077</v>
      </c>
      <c r="AH544" s="3">
        <f>SUMIFS(tblStock[value_nzd],tblStock[sku],tblSKU[[#This Row],[sku]])</f>
        <v>23578.760000000002</v>
      </c>
      <c r="AI544" s="4">
        <f>SUMIFS(tblStock[cbm],tblStock[sku],tblSKU[[#This Row],[sku]])</f>
        <v>21.421424999999999</v>
      </c>
      <c r="AJ544" s="1">
        <f>SUMIFS(tblStock[positions],tblStock[sku],tblSKU[[#This Row],[sku]])</f>
        <v>20</v>
      </c>
      <c r="AK544" s="3">
        <f>SUMIFS(tblStock[value_nzd],tblStock[sku],tblSKU[[#This Row],[sku]],tblStock[stock_type],"Expired")</f>
        <v>0</v>
      </c>
      <c r="AL544" s="3" cm="1">
        <f t="array" ref="AL544">SUM(SUMIFS(tblStock[value_nzd],tblStock[sku],tblSKU[[#This Row],[sku]],tblStock[stock_type],{"Saleable","FOC"},tblStock[expiry_date],"&lt;"&amp;EDATE(SnapshotDate,6)))</f>
        <v>0</v>
      </c>
    </row>
    <row r="545" spans="1:38">
      <c r="A545" s="1" t="s">
        <v>1154</v>
      </c>
      <c r="B545" s="1" t="s">
        <v>1155</v>
      </c>
      <c r="C545" s="1" t="s">
        <v>1110</v>
      </c>
      <c r="D545" s="1" t="s">
        <v>1111</v>
      </c>
      <c r="E545" s="1" t="s">
        <v>1111</v>
      </c>
      <c r="F545" s="1" t="s">
        <v>1081</v>
      </c>
      <c r="G545">
        <v>10</v>
      </c>
      <c r="H545">
        <v>52.8</v>
      </c>
      <c r="I545">
        <v>30.5</v>
      </c>
      <c r="J545">
        <v>33.200000000000003</v>
      </c>
      <c r="K545">
        <v>5.3469999999999997E-2</v>
      </c>
      <c r="L545">
        <v>6.45</v>
      </c>
      <c r="M545">
        <v>0.69</v>
      </c>
      <c r="N545">
        <v>5</v>
      </c>
      <c r="O545">
        <v>3</v>
      </c>
      <c r="P545">
        <v>15</v>
      </c>
      <c r="Q545">
        <v>114.60000000000001</v>
      </c>
      <c r="R545">
        <v>121.75</v>
      </c>
      <c r="S545">
        <v>0.80204999999999993</v>
      </c>
      <c r="T545">
        <v>5</v>
      </c>
      <c r="U545">
        <v>227</v>
      </c>
      <c r="V545">
        <v>156.63</v>
      </c>
      <c r="W545" s="1" t="s">
        <v>1262</v>
      </c>
      <c r="X545" s="1" t="s">
        <v>1262</v>
      </c>
      <c r="Y545">
        <v>5.8823529411764705E-2</v>
      </c>
      <c r="Z545">
        <v>8.9019607843137255E-2</v>
      </c>
      <c r="AA545" s="1" t="s">
        <v>1263</v>
      </c>
      <c r="AB545">
        <v>0</v>
      </c>
      <c r="AC545">
        <v>0</v>
      </c>
      <c r="AD545" s="1">
        <v>16.792951541850222</v>
      </c>
      <c r="AE545">
        <v>2</v>
      </c>
      <c r="AF545">
        <f>COUNTIFS(tblStock[sku],tblSKU[[#This Row],[sku]])</f>
        <v>2</v>
      </c>
      <c r="AG545" cm="1">
        <f t="array" ref="AG545">SUM(SUMIFS(tblStock[qty_units],tblStock[sku],tblSKU[[#This Row],[sku]],tblStock[stock_type],{"Saleable","FOC"}))</f>
        <v>953</v>
      </c>
      <c r="AH545" s="3">
        <f>SUMIFS(tblStock[value_nzd],tblStock[sku],tblSKU[[#This Row],[sku]])</f>
        <v>710.01</v>
      </c>
      <c r="AI545" s="4">
        <f>SUMIFS(tblStock[cbm],tblStock[sku],tblSKU[[#This Row],[sku]])</f>
        <v>5.5020629999999997</v>
      </c>
      <c r="AJ545" s="1">
        <f>SUMIFS(tblStock[positions],tblStock[sku],tblSKU[[#This Row],[sku]])</f>
        <v>7</v>
      </c>
      <c r="AK545" s="3">
        <f>SUMIFS(tblStock[value_nzd],tblStock[sku],tblSKU[[#This Row],[sku]],tblStock[stock_type],"Expired")</f>
        <v>52.44</v>
      </c>
      <c r="AL545" s="3" cm="1">
        <f t="array" ref="AL545">SUM(SUMIFS(tblStock[value_nzd],tblStock[sku],tblSKU[[#This Row],[sku]],tblStock[stock_type],{"Saleable","FOC"},tblStock[expiry_date],"&lt;"&amp;EDATE(SnapshotDate,6)))</f>
        <v>0</v>
      </c>
    </row>
    <row r="546" spans="1:38">
      <c r="A546" s="1" t="s">
        <v>1156</v>
      </c>
      <c r="B546" s="1" t="s">
        <v>1157</v>
      </c>
      <c r="C546" s="1" t="s">
        <v>1110</v>
      </c>
      <c r="D546" s="1" t="s">
        <v>1111</v>
      </c>
      <c r="E546" s="1" t="s">
        <v>1111</v>
      </c>
      <c r="F546" s="1" t="s">
        <v>1081</v>
      </c>
      <c r="G546">
        <v>100</v>
      </c>
      <c r="H546">
        <v>47.5</v>
      </c>
      <c r="I546">
        <v>31.5</v>
      </c>
      <c r="J546">
        <v>38.4</v>
      </c>
      <c r="K546">
        <v>5.7459999999999997E-2</v>
      </c>
      <c r="L546">
        <v>6.65</v>
      </c>
      <c r="M546">
        <v>6.47</v>
      </c>
      <c r="N546">
        <v>6</v>
      </c>
      <c r="O546">
        <v>3</v>
      </c>
      <c r="P546">
        <v>18</v>
      </c>
      <c r="Q546">
        <v>130.19999999999999</v>
      </c>
      <c r="R546">
        <v>144.69999999999999</v>
      </c>
      <c r="S546">
        <v>1.0342799999999999</v>
      </c>
      <c r="T546">
        <v>19</v>
      </c>
      <c r="U546">
        <v>640</v>
      </c>
      <c r="V546">
        <v>4140.8</v>
      </c>
      <c r="W546" s="1" t="s">
        <v>1262</v>
      </c>
      <c r="X546" s="1" t="s">
        <v>1262</v>
      </c>
      <c r="Y546">
        <v>0.22352941176470589</v>
      </c>
      <c r="Z546">
        <v>2.0915032679738564E-2</v>
      </c>
      <c r="AA546" s="1" t="s">
        <v>1263</v>
      </c>
      <c r="AB546">
        <v>0</v>
      </c>
      <c r="AC546">
        <v>0</v>
      </c>
      <c r="AD546" s="1">
        <v>7.5250000000000004</v>
      </c>
      <c r="AE546">
        <v>2</v>
      </c>
      <c r="AF546">
        <f>COUNTIFS(tblStock[sku],tblSKU[[#This Row],[sku]])</f>
        <v>1</v>
      </c>
      <c r="AG546" cm="1">
        <f t="array" ref="AG546">SUM(SUMIFS(tblStock[qty_units],tblStock[sku],tblSKU[[#This Row],[sku]],tblStock[stock_type],{"Saleable","FOC"}))</f>
        <v>1204</v>
      </c>
      <c r="AH546" s="3">
        <f>SUMIFS(tblStock[value_nzd],tblStock[sku],tblSKU[[#This Row],[sku]])</f>
        <v>7789.88</v>
      </c>
      <c r="AI546" s="4">
        <f>SUMIFS(tblStock[cbm],tblStock[sku],tblSKU[[#This Row],[sku]])</f>
        <v>0.69181840000000006</v>
      </c>
      <c r="AJ546" s="1">
        <f>SUMIFS(tblStock[positions],tblStock[sku],tblSKU[[#This Row],[sku]])</f>
        <v>1</v>
      </c>
      <c r="AK546" s="3">
        <f>SUMIFS(tblStock[value_nzd],tblStock[sku],tblSKU[[#This Row],[sku]],tblStock[stock_type],"Expired")</f>
        <v>0</v>
      </c>
      <c r="AL546" s="3" cm="1">
        <f t="array" ref="AL546">SUM(SUMIFS(tblStock[value_nzd],tblStock[sku],tblSKU[[#This Row],[sku]],tblStock[stock_type],{"Saleable","FOC"},tblStock[expiry_date],"&lt;"&amp;EDATE(SnapshotDate,6)))</f>
        <v>0</v>
      </c>
    </row>
    <row r="547" spans="1:38">
      <c r="A547" s="1" t="s">
        <v>1158</v>
      </c>
      <c r="B547" s="1" t="s">
        <v>1159</v>
      </c>
      <c r="C547" s="1" t="s">
        <v>1110</v>
      </c>
      <c r="D547" s="1" t="s">
        <v>1111</v>
      </c>
      <c r="E547" s="1" t="s">
        <v>1111</v>
      </c>
      <c r="F547" s="1" t="s">
        <v>1081</v>
      </c>
      <c r="G547">
        <v>20</v>
      </c>
      <c r="H547">
        <v>41.8</v>
      </c>
      <c r="I547">
        <v>35.700000000000003</v>
      </c>
      <c r="J547">
        <v>30</v>
      </c>
      <c r="K547">
        <v>4.4769999999999997E-2</v>
      </c>
      <c r="L547">
        <v>7</v>
      </c>
      <c r="M547">
        <v>2.33</v>
      </c>
      <c r="N547">
        <v>4</v>
      </c>
      <c r="O547">
        <v>3</v>
      </c>
      <c r="P547">
        <v>12</v>
      </c>
      <c r="Q547">
        <v>105</v>
      </c>
      <c r="R547">
        <v>109</v>
      </c>
      <c r="S547">
        <v>0.53723999999999994</v>
      </c>
      <c r="T547">
        <v>15</v>
      </c>
      <c r="U547">
        <v>548</v>
      </c>
      <c r="V547">
        <v>1276.8400000000001</v>
      </c>
      <c r="W547" s="1" t="s">
        <v>1262</v>
      </c>
      <c r="X547" s="1" t="s">
        <v>1262</v>
      </c>
      <c r="Y547">
        <v>0.17647058823529413</v>
      </c>
      <c r="Z547">
        <v>0.13431372549019607</v>
      </c>
      <c r="AA547" s="1" t="s">
        <v>1263</v>
      </c>
      <c r="AB547">
        <v>0</v>
      </c>
      <c r="AC547">
        <v>0</v>
      </c>
      <c r="AD547" s="1">
        <v>6.1824817518248176</v>
      </c>
      <c r="AE547">
        <v>2</v>
      </c>
      <c r="AF547">
        <f>COUNTIFS(tblStock[sku],tblSKU[[#This Row],[sku]])</f>
        <v>4</v>
      </c>
      <c r="AG547" cm="1">
        <f t="array" ref="AG547">SUM(SUMIFS(tblStock[qty_units],tblStock[sku],tblSKU[[#This Row],[sku]],tblStock[stock_type],{"Saleable","FOC"}))</f>
        <v>847</v>
      </c>
      <c r="AH547" s="3">
        <f>SUMIFS(tblStock[value_nzd],tblStock[sku],tblSKU[[#This Row],[sku]])</f>
        <v>1973.5099999999998</v>
      </c>
      <c r="AI547" s="4">
        <f>SUMIFS(tblStock[cbm],tblStock[sku],tblSKU[[#This Row],[sku]])</f>
        <v>1.8960094999999999</v>
      </c>
      <c r="AJ547" s="1">
        <f>SUMIFS(tblStock[positions],tblStock[sku],tblSKU[[#This Row],[sku]])</f>
        <v>4</v>
      </c>
      <c r="AK547" s="3">
        <f>SUMIFS(tblStock[value_nzd],tblStock[sku],tblSKU[[#This Row],[sku]],tblStock[stock_type],"Expired")</f>
        <v>0</v>
      </c>
      <c r="AL547" s="3" cm="1">
        <f t="array" ref="AL547">SUM(SUMIFS(tblStock[value_nzd],tblStock[sku],tblSKU[[#This Row],[sku]],tblStock[stock_type],{"Saleable","FOC"},tblStock[expiry_date],"&lt;"&amp;EDATE(SnapshotDate,6)))</f>
        <v>0</v>
      </c>
    </row>
    <row r="548" spans="1:38">
      <c r="A548" s="1" t="s">
        <v>1160</v>
      </c>
      <c r="B548" s="1" t="s">
        <v>1161</v>
      </c>
      <c r="C548" s="1" t="s">
        <v>1110</v>
      </c>
      <c r="D548" s="1" t="s">
        <v>1111</v>
      </c>
      <c r="E548" s="1" t="s">
        <v>1111</v>
      </c>
      <c r="F548" s="1" t="s">
        <v>1081</v>
      </c>
      <c r="G548">
        <v>50</v>
      </c>
      <c r="H548">
        <v>53.3</v>
      </c>
      <c r="I548">
        <v>41.6</v>
      </c>
      <c r="J548">
        <v>35.6</v>
      </c>
      <c r="K548">
        <v>7.8939999999999996E-2</v>
      </c>
      <c r="L548">
        <v>6.56</v>
      </c>
      <c r="M548">
        <v>3.53</v>
      </c>
      <c r="N548">
        <v>4</v>
      </c>
      <c r="O548">
        <v>4</v>
      </c>
      <c r="P548">
        <v>16</v>
      </c>
      <c r="Q548">
        <v>157.4</v>
      </c>
      <c r="R548">
        <v>129.95999999999998</v>
      </c>
      <c r="S548">
        <v>1.2630399999999999</v>
      </c>
      <c r="T548">
        <v>42</v>
      </c>
      <c r="U548">
        <v>2274</v>
      </c>
      <c r="V548">
        <v>8027.2199999999993</v>
      </c>
      <c r="W548" s="1" t="s">
        <v>1258</v>
      </c>
      <c r="X548" s="1" t="s">
        <v>1262</v>
      </c>
      <c r="Y548">
        <v>0.49411764705882355</v>
      </c>
      <c r="Z548">
        <v>0.16720588235294115</v>
      </c>
      <c r="AA548" s="1" t="s">
        <v>1259</v>
      </c>
      <c r="AB548">
        <v>0</v>
      </c>
      <c r="AC548">
        <v>1</v>
      </c>
      <c r="AD548" s="1">
        <v>5.6429199648197006</v>
      </c>
      <c r="AE548">
        <v>2</v>
      </c>
      <c r="AF548">
        <f>COUNTIFS(tblStock[sku],tblSKU[[#This Row],[sku]])</f>
        <v>3</v>
      </c>
      <c r="AG548" cm="1">
        <f t="array" ref="AG548">SUM(SUMIFS(tblStock[qty_units],tblStock[sku],tblSKU[[#This Row],[sku]],tblStock[stock_type],{"Saleable","FOC"}))</f>
        <v>3208</v>
      </c>
      <c r="AH548" s="3">
        <f>SUMIFS(tblStock[value_nzd],tblStock[sku],tblSKU[[#This Row],[sku]])</f>
        <v>11324.24</v>
      </c>
      <c r="AI548" s="4">
        <f>SUMIFS(tblStock[cbm],tblStock[sku],tblSKU[[#This Row],[sku]])</f>
        <v>5.0647903999999997</v>
      </c>
      <c r="AJ548" s="1">
        <f>SUMIFS(tblStock[positions],tblStock[sku],tblSKU[[#This Row],[sku]])</f>
        <v>5</v>
      </c>
      <c r="AK548" s="3">
        <f>SUMIFS(tblStock[value_nzd],tblStock[sku],tblSKU[[#This Row],[sku]],tblStock[stock_type],"Expired")</f>
        <v>0</v>
      </c>
      <c r="AL548" s="3" cm="1">
        <f t="array" ref="AL548">SUM(SUMIFS(tblStock[value_nzd],tblStock[sku],tblSKU[[#This Row],[sku]],tblStock[stock_type],{"Saleable","FOC"},tblStock[expiry_date],"&lt;"&amp;EDATE(SnapshotDate,6)))</f>
        <v>0</v>
      </c>
    </row>
    <row r="549" spans="1:38">
      <c r="A549" s="1" t="s">
        <v>1162</v>
      </c>
      <c r="B549" s="1" t="s">
        <v>1163</v>
      </c>
      <c r="C549" s="1" t="s">
        <v>1110</v>
      </c>
      <c r="D549" s="1" t="s">
        <v>1111</v>
      </c>
      <c r="E549" s="1" t="s">
        <v>1111</v>
      </c>
      <c r="F549" s="1" t="s">
        <v>1081</v>
      </c>
      <c r="G549">
        <v>50</v>
      </c>
      <c r="H549">
        <v>47.4</v>
      </c>
      <c r="I549">
        <v>35</v>
      </c>
      <c r="J549">
        <v>37.4</v>
      </c>
      <c r="K549">
        <v>6.2050000000000001E-2</v>
      </c>
      <c r="L549">
        <v>6.53</v>
      </c>
      <c r="M549">
        <v>2.16</v>
      </c>
      <c r="N549">
        <v>6</v>
      </c>
      <c r="O549">
        <v>3</v>
      </c>
      <c r="P549">
        <v>18</v>
      </c>
      <c r="Q549">
        <v>127.19999999999999</v>
      </c>
      <c r="R549">
        <v>142.54000000000002</v>
      </c>
      <c r="S549">
        <v>1.1169</v>
      </c>
      <c r="T549">
        <v>33</v>
      </c>
      <c r="U549">
        <v>1900</v>
      </c>
      <c r="V549">
        <v>4104</v>
      </c>
      <c r="W549" s="1" t="s">
        <v>1258</v>
      </c>
      <c r="X549" s="1" t="s">
        <v>1262</v>
      </c>
      <c r="Y549">
        <v>0.38823529411764707</v>
      </c>
      <c r="Z549">
        <v>0.12418300653594772</v>
      </c>
      <c r="AA549" s="1" t="s">
        <v>1259</v>
      </c>
      <c r="AB549">
        <v>0</v>
      </c>
      <c r="AC549">
        <v>1</v>
      </c>
      <c r="AD549" s="1">
        <v>2.1663157894736842</v>
      </c>
      <c r="AE549">
        <v>2</v>
      </c>
      <c r="AF549">
        <f>COUNTIFS(tblStock[sku],tblSKU[[#This Row],[sku]])</f>
        <v>1</v>
      </c>
      <c r="AG549" cm="1">
        <f t="array" ref="AG549">SUM(SUMIFS(tblStock[qty_units],tblStock[sku],tblSKU[[#This Row],[sku]],tblStock[stock_type],{"Saleable","FOC"}))</f>
        <v>1029</v>
      </c>
      <c r="AH549" s="3">
        <f>SUMIFS(tblStock[value_nzd],tblStock[sku],tblSKU[[#This Row],[sku]])</f>
        <v>2222.6400000000003</v>
      </c>
      <c r="AI549" s="4">
        <f>SUMIFS(tblStock[cbm],tblStock[sku],tblSKU[[#This Row],[sku]])</f>
        <v>1.2769889999999999</v>
      </c>
      <c r="AJ549" s="1">
        <f>SUMIFS(tblStock[positions],tblStock[sku],tblSKU[[#This Row],[sku]])</f>
        <v>2</v>
      </c>
      <c r="AK549" s="3">
        <f>SUMIFS(tblStock[value_nzd],tblStock[sku],tblSKU[[#This Row],[sku]],tblStock[stock_type],"Expired")</f>
        <v>0</v>
      </c>
      <c r="AL549" s="3" cm="1">
        <f t="array" ref="AL549">SUM(SUMIFS(tblStock[value_nzd],tblStock[sku],tblSKU[[#This Row],[sku]],tblStock[stock_type],{"Saleable","FOC"},tblStock[expiry_date],"&lt;"&amp;EDATE(SnapshotDate,6)))</f>
        <v>0</v>
      </c>
    </row>
    <row r="550" spans="1:38">
      <c r="A550" s="1" t="s">
        <v>1164</v>
      </c>
      <c r="B550" s="1" t="s">
        <v>1165</v>
      </c>
      <c r="C550" s="1" t="s">
        <v>1110</v>
      </c>
      <c r="D550" s="1" t="s">
        <v>1111</v>
      </c>
      <c r="E550" s="1" t="s">
        <v>1111</v>
      </c>
      <c r="F550" s="1" t="s">
        <v>1081</v>
      </c>
      <c r="G550">
        <v>50</v>
      </c>
      <c r="H550">
        <v>55.6</v>
      </c>
      <c r="I550">
        <v>41</v>
      </c>
      <c r="J550">
        <v>38.4</v>
      </c>
      <c r="K550">
        <v>8.7540000000000007E-2</v>
      </c>
      <c r="L550">
        <v>6.03</v>
      </c>
      <c r="M550">
        <v>6.65</v>
      </c>
      <c r="N550">
        <v>4</v>
      </c>
      <c r="O550">
        <v>1</v>
      </c>
      <c r="P550">
        <v>4</v>
      </c>
      <c r="Q550">
        <v>53.4</v>
      </c>
      <c r="R550">
        <v>49.120000000000005</v>
      </c>
      <c r="S550">
        <v>0.35016000000000003</v>
      </c>
      <c r="T550">
        <v>9</v>
      </c>
      <c r="U550">
        <v>261</v>
      </c>
      <c r="V550">
        <v>1735.65</v>
      </c>
      <c r="W550" s="1" t="s">
        <v>1262</v>
      </c>
      <c r="X550" s="1" t="s">
        <v>1262</v>
      </c>
      <c r="Y550">
        <v>0.10588235294117647</v>
      </c>
      <c r="Z550">
        <v>7.6764705882352943E-2</v>
      </c>
      <c r="AA550" s="1" t="s">
        <v>1263</v>
      </c>
      <c r="AB550">
        <v>0</v>
      </c>
      <c r="AC550">
        <v>0</v>
      </c>
      <c r="AD550" s="1">
        <v>15.187739463601533</v>
      </c>
      <c r="AE550">
        <v>2</v>
      </c>
      <c r="AF550">
        <f>COUNTIFS(tblStock[sku],tblSKU[[#This Row],[sku]])</f>
        <v>2</v>
      </c>
      <c r="AG550" cm="1">
        <f t="array" ref="AG550">SUM(SUMIFS(tblStock[qty_units],tblStock[sku],tblSKU[[#This Row],[sku]],tblStock[stock_type],{"Saleable","FOC"}))</f>
        <v>991</v>
      </c>
      <c r="AH550" s="3">
        <f>SUMIFS(tblStock[value_nzd],tblStock[sku],tblSKU[[#This Row],[sku]])</f>
        <v>6590.1500000000005</v>
      </c>
      <c r="AI550" s="4">
        <f>SUMIFS(tblStock[cbm],tblStock[sku],tblSKU[[#This Row],[sku]])</f>
        <v>1.7350428</v>
      </c>
      <c r="AJ550" s="1">
        <f>SUMIFS(tblStock[positions],tblStock[sku],tblSKU[[#This Row],[sku]])</f>
        <v>5</v>
      </c>
      <c r="AK550" s="3">
        <f>SUMIFS(tblStock[value_nzd],tblStock[sku],tblSKU[[#This Row],[sku]],tblStock[stock_type],"Expired")</f>
        <v>0</v>
      </c>
      <c r="AL550" s="3" cm="1">
        <f t="array" ref="AL550">SUM(SUMIFS(tblStock[value_nzd],tblStock[sku],tblSKU[[#This Row],[sku]],tblStock[stock_type],{"Saleable","FOC"},tblStock[expiry_date],"&lt;"&amp;EDATE(SnapshotDate,6)))</f>
        <v>0</v>
      </c>
    </row>
    <row r="551" spans="1:38">
      <c r="A551" s="1" t="s">
        <v>1166</v>
      </c>
      <c r="B551" s="1" t="s">
        <v>1167</v>
      </c>
      <c r="C551" s="1" t="s">
        <v>1110</v>
      </c>
      <c r="D551" s="1" t="s">
        <v>1111</v>
      </c>
      <c r="E551" s="1" t="s">
        <v>1111</v>
      </c>
      <c r="F551" s="1" t="s">
        <v>1081</v>
      </c>
      <c r="G551">
        <v>100</v>
      </c>
      <c r="H551">
        <v>46.4</v>
      </c>
      <c r="I551">
        <v>39.299999999999997</v>
      </c>
      <c r="J551">
        <v>43.4</v>
      </c>
      <c r="K551">
        <v>7.9140000000000002E-2</v>
      </c>
      <c r="L551">
        <v>13.43</v>
      </c>
      <c r="M551">
        <v>4.12</v>
      </c>
      <c r="N551">
        <v>4</v>
      </c>
      <c r="O551">
        <v>2</v>
      </c>
      <c r="P551">
        <v>8</v>
      </c>
      <c r="Q551">
        <v>101.8</v>
      </c>
      <c r="R551">
        <v>132.44</v>
      </c>
      <c r="S551">
        <v>0.63312000000000002</v>
      </c>
      <c r="T551">
        <v>4</v>
      </c>
      <c r="U551">
        <v>18</v>
      </c>
      <c r="V551">
        <v>74.16</v>
      </c>
      <c r="W551" s="1" t="s">
        <v>1262</v>
      </c>
      <c r="X551" s="1" t="s">
        <v>1262</v>
      </c>
      <c r="Y551">
        <v>4.7058823529411764E-2</v>
      </c>
      <c r="Z551">
        <v>1.3235294117647058E-3</v>
      </c>
      <c r="AA551" s="1" t="s">
        <v>1263</v>
      </c>
      <c r="AB551">
        <v>0</v>
      </c>
      <c r="AC551">
        <v>0</v>
      </c>
      <c r="AD551" s="1">
        <v>9.5555555555555554</v>
      </c>
      <c r="AE551">
        <v>2</v>
      </c>
      <c r="AF551">
        <f>COUNTIFS(tblStock[sku],tblSKU[[#This Row],[sku]])</f>
        <v>1</v>
      </c>
      <c r="AG551" cm="1">
        <f t="array" ref="AG551">SUM(SUMIFS(tblStock[qty_units],tblStock[sku],tblSKU[[#This Row],[sku]],tblStock[stock_type],{"Saleable","FOC"}))</f>
        <v>43</v>
      </c>
      <c r="AH551" s="3">
        <f>SUMIFS(tblStock[value_nzd],tblStock[sku],tblSKU[[#This Row],[sku]])</f>
        <v>177.16</v>
      </c>
      <c r="AI551" s="4">
        <f>SUMIFS(tblStock[cbm],tblStock[sku],tblSKU[[#This Row],[sku]])</f>
        <v>3.4030200000000004E-2</v>
      </c>
      <c r="AJ551" s="1">
        <f>SUMIFS(tblStock[positions],tblStock[sku],tblSKU[[#This Row],[sku]])</f>
        <v>0</v>
      </c>
      <c r="AK551" s="3">
        <f>SUMIFS(tblStock[value_nzd],tblStock[sku],tblSKU[[#This Row],[sku]],tblStock[stock_type],"Expired")</f>
        <v>0</v>
      </c>
      <c r="AL551" s="3" cm="1">
        <f t="array" ref="AL551">SUM(SUMIFS(tblStock[value_nzd],tblStock[sku],tblSKU[[#This Row],[sku]],tblStock[stock_type],{"Saleable","FOC"},tblStock[expiry_date],"&lt;"&amp;EDATE(SnapshotDate,6)))</f>
        <v>0</v>
      </c>
    </row>
    <row r="552" spans="1:38">
      <c r="A552" s="1" t="s">
        <v>1168</v>
      </c>
      <c r="B552" s="1" t="s">
        <v>1169</v>
      </c>
      <c r="C552" s="1" t="s">
        <v>1110</v>
      </c>
      <c r="D552" s="1" t="s">
        <v>1111</v>
      </c>
      <c r="E552" s="1" t="s">
        <v>1111</v>
      </c>
      <c r="F552" s="1" t="s">
        <v>1081</v>
      </c>
      <c r="G552">
        <v>20</v>
      </c>
      <c r="H552">
        <v>41.1</v>
      </c>
      <c r="I552">
        <v>33</v>
      </c>
      <c r="J552">
        <v>35.4</v>
      </c>
      <c r="K552">
        <v>4.8009999999999997E-2</v>
      </c>
      <c r="L552">
        <v>3.74</v>
      </c>
      <c r="M552">
        <v>6.78</v>
      </c>
      <c r="N552">
        <v>6</v>
      </c>
      <c r="O552">
        <v>2</v>
      </c>
      <c r="P552">
        <v>12</v>
      </c>
      <c r="Q552">
        <v>85.8</v>
      </c>
      <c r="R552">
        <v>69.88</v>
      </c>
      <c r="S552">
        <v>0.57611999999999997</v>
      </c>
      <c r="T552">
        <v>22</v>
      </c>
      <c r="U552">
        <v>871</v>
      </c>
      <c r="V552">
        <v>5905.38</v>
      </c>
      <c r="W552" s="1" t="s">
        <v>1262</v>
      </c>
      <c r="X552" s="1" t="s">
        <v>1262</v>
      </c>
      <c r="Y552">
        <v>0.25882352941176473</v>
      </c>
      <c r="Z552">
        <v>0.21348039215686274</v>
      </c>
      <c r="AA552" s="1" t="s">
        <v>1263</v>
      </c>
      <c r="AB552">
        <v>0</v>
      </c>
      <c r="AC552">
        <v>0</v>
      </c>
      <c r="AD552" s="1">
        <v>3.7933409873708381</v>
      </c>
      <c r="AE552">
        <v>2</v>
      </c>
      <c r="AF552">
        <f>COUNTIFS(tblStock[sku],tblSKU[[#This Row],[sku]])</f>
        <v>1</v>
      </c>
      <c r="AG552" cm="1">
        <f t="array" ref="AG552">SUM(SUMIFS(tblStock[qty_units],tblStock[sku],tblSKU[[#This Row],[sku]],tblStock[stock_type],{"Saleable","FOC"}))</f>
        <v>826</v>
      </c>
      <c r="AH552" s="3">
        <f>SUMIFS(tblStock[value_nzd],tblStock[sku],tblSKU[[#This Row],[sku]])</f>
        <v>5600.2800000000007</v>
      </c>
      <c r="AI552" s="4">
        <f>SUMIFS(tblStock[cbm],tblStock[sku],tblSKU[[#This Row],[sku]])</f>
        <v>1.9828129999999997</v>
      </c>
      <c r="AJ552" s="1">
        <f>SUMIFS(tblStock[positions],tblStock[sku],tblSKU[[#This Row],[sku]])</f>
        <v>4</v>
      </c>
      <c r="AK552" s="3">
        <f>SUMIFS(tblStock[value_nzd],tblStock[sku],tblSKU[[#This Row],[sku]],tblStock[stock_type],"Expired")</f>
        <v>0</v>
      </c>
      <c r="AL552" s="3" cm="1">
        <f t="array" ref="AL552">SUM(SUMIFS(tblStock[value_nzd],tblStock[sku],tblSKU[[#This Row],[sku]],tblStock[stock_type],{"Saleable","FOC"},tblStock[expiry_date],"&lt;"&amp;EDATE(SnapshotDate,6)))</f>
        <v>0</v>
      </c>
    </row>
    <row r="553" spans="1:38">
      <c r="A553" s="1" t="s">
        <v>1170</v>
      </c>
      <c r="B553" s="1" t="s">
        <v>1171</v>
      </c>
      <c r="C553" s="1" t="s">
        <v>1110</v>
      </c>
      <c r="D553" s="1" t="s">
        <v>1111</v>
      </c>
      <c r="E553" s="1" t="s">
        <v>1111</v>
      </c>
      <c r="F553" s="1" t="s">
        <v>1081</v>
      </c>
      <c r="G553">
        <v>100</v>
      </c>
      <c r="H553">
        <v>53.1</v>
      </c>
      <c r="I553">
        <v>32.4</v>
      </c>
      <c r="J553">
        <v>41.7</v>
      </c>
      <c r="K553">
        <v>7.1739999999999998E-2</v>
      </c>
      <c r="L553">
        <v>12.61</v>
      </c>
      <c r="M553">
        <v>3.68</v>
      </c>
      <c r="N553">
        <v>6</v>
      </c>
      <c r="O553">
        <v>2</v>
      </c>
      <c r="P553">
        <v>12</v>
      </c>
      <c r="Q553">
        <v>98.4</v>
      </c>
      <c r="R553">
        <v>176.32</v>
      </c>
      <c r="S553">
        <v>0.86087999999999998</v>
      </c>
      <c r="T553">
        <v>53</v>
      </c>
      <c r="U553">
        <v>4581</v>
      </c>
      <c r="V553">
        <v>16858.080000000002</v>
      </c>
      <c r="W553" s="1" t="s">
        <v>1258</v>
      </c>
      <c r="X553" s="1" t="s">
        <v>1262</v>
      </c>
      <c r="Y553">
        <v>0.62352941176470589</v>
      </c>
      <c r="Z553">
        <v>0.22455882352941178</v>
      </c>
      <c r="AA553" s="1" t="s">
        <v>1259</v>
      </c>
      <c r="AB553">
        <v>0</v>
      </c>
      <c r="AC553">
        <v>1</v>
      </c>
      <c r="AD553" s="1">
        <v>2.078148875791312</v>
      </c>
      <c r="AE553">
        <v>2</v>
      </c>
      <c r="AF553">
        <f>COUNTIFS(tblStock[sku],tblSKU[[#This Row],[sku]])</f>
        <v>4</v>
      </c>
      <c r="AG553" cm="1">
        <f t="array" ref="AG553">SUM(SUMIFS(tblStock[qty_units],tblStock[sku],tblSKU[[#This Row],[sku]],tblStock[stock_type],{"Saleable","FOC"}))</f>
        <v>2380</v>
      </c>
      <c r="AH553" s="3">
        <f>SUMIFS(tblStock[value_nzd],tblStock[sku],tblSKU[[#This Row],[sku]])</f>
        <v>8758.4</v>
      </c>
      <c r="AI553" s="4">
        <f>SUMIFS(tblStock[cbm],tblStock[sku],tblSKU[[#This Row],[sku]])</f>
        <v>1.7074119999999999</v>
      </c>
      <c r="AJ553" s="1">
        <f>SUMIFS(tblStock[positions],tblStock[sku],tblSKU[[#This Row],[sku]])</f>
        <v>3</v>
      </c>
      <c r="AK553" s="3">
        <f>SUMIFS(tblStock[value_nzd],tblStock[sku],tblSKU[[#This Row],[sku]],tblStock[stock_type],"Expired")</f>
        <v>0</v>
      </c>
      <c r="AL553" s="3" cm="1">
        <f t="array" ref="AL553">SUM(SUMIFS(tblStock[value_nzd],tblStock[sku],tblSKU[[#This Row],[sku]],tblStock[stock_type],{"Saleable","FOC"},tblStock[expiry_date],"&lt;"&amp;EDATE(SnapshotDate,6)))</f>
        <v>0</v>
      </c>
    </row>
    <row r="554" spans="1:38">
      <c r="A554" s="1" t="s">
        <v>1172</v>
      </c>
      <c r="B554" s="1" t="s">
        <v>1173</v>
      </c>
      <c r="C554" s="1" t="s">
        <v>1110</v>
      </c>
      <c r="D554" s="1" t="s">
        <v>1111</v>
      </c>
      <c r="E554" s="1" t="s">
        <v>1111</v>
      </c>
      <c r="F554" s="1" t="s">
        <v>1081</v>
      </c>
      <c r="G554">
        <v>50</v>
      </c>
      <c r="H554">
        <v>59.4</v>
      </c>
      <c r="I554">
        <v>39.799999999999997</v>
      </c>
      <c r="J554">
        <v>39.5</v>
      </c>
      <c r="K554">
        <v>9.3380000000000005E-2</v>
      </c>
      <c r="L554">
        <v>12.19</v>
      </c>
      <c r="M554">
        <v>6.14</v>
      </c>
      <c r="N554">
        <v>2</v>
      </c>
      <c r="O554">
        <v>2</v>
      </c>
      <c r="P554">
        <v>4</v>
      </c>
      <c r="Q554">
        <v>94</v>
      </c>
      <c r="R554">
        <v>73.759999999999991</v>
      </c>
      <c r="S554">
        <v>0.37352000000000002</v>
      </c>
      <c r="T554">
        <v>149</v>
      </c>
      <c r="U554">
        <v>8032</v>
      </c>
      <c r="V554">
        <v>49316.479999999996</v>
      </c>
      <c r="W554" s="1" t="s">
        <v>1264</v>
      </c>
      <c r="X554" s="1" t="s">
        <v>1258</v>
      </c>
      <c r="Y554">
        <v>1.7529411764705882</v>
      </c>
      <c r="Z554">
        <v>2.3623529411764705</v>
      </c>
      <c r="AA554" s="1" t="s">
        <v>1265</v>
      </c>
      <c r="AB554">
        <v>1</v>
      </c>
      <c r="AC554">
        <v>0</v>
      </c>
      <c r="AD554" s="1">
        <v>3.8560756972111552</v>
      </c>
      <c r="AE554">
        <v>4</v>
      </c>
      <c r="AF554">
        <f>COUNTIFS(tblStock[sku],tblSKU[[#This Row],[sku]])</f>
        <v>2</v>
      </c>
      <c r="AG554" cm="1">
        <f t="array" ref="AG554">SUM(SUMIFS(tblStock[qty_units],tblStock[sku],tblSKU[[#This Row],[sku]],tblStock[stock_type],{"Saleable","FOC"}))</f>
        <v>7743</v>
      </c>
      <c r="AH554" s="3">
        <f>SUMIFS(tblStock[value_nzd],tblStock[sku],tblSKU[[#This Row],[sku]])</f>
        <v>47542.02</v>
      </c>
      <c r="AI554" s="4">
        <f>SUMIFS(tblStock[cbm],tblStock[sku],tblSKU[[#This Row],[sku]])</f>
        <v>14.4608268</v>
      </c>
      <c r="AJ554" s="1">
        <f>SUMIFS(tblStock[positions],tblStock[sku],tblSKU[[#This Row],[sku]])</f>
        <v>40</v>
      </c>
      <c r="AK554" s="3">
        <f>SUMIFS(tblStock[value_nzd],tblStock[sku],tblSKU[[#This Row],[sku]],tblStock[stock_type],"Expired")</f>
        <v>0</v>
      </c>
      <c r="AL554" s="3" cm="1">
        <f t="array" ref="AL554">SUM(SUMIFS(tblStock[value_nzd],tblStock[sku],tblSKU[[#This Row],[sku]],tblStock[stock_type],{"Saleable","FOC"},tblStock[expiry_date],"&lt;"&amp;EDATE(SnapshotDate,6)))</f>
        <v>0</v>
      </c>
    </row>
    <row r="555" spans="1:38">
      <c r="A555" s="1" t="s">
        <v>1174</v>
      </c>
      <c r="B555" s="1" t="s">
        <v>1175</v>
      </c>
      <c r="C555" s="1" t="s">
        <v>1110</v>
      </c>
      <c r="D555" s="1" t="s">
        <v>1111</v>
      </c>
      <c r="E555" s="1" t="s">
        <v>1111</v>
      </c>
      <c r="F555" s="1" t="s">
        <v>1081</v>
      </c>
      <c r="G555">
        <v>20</v>
      </c>
      <c r="H555">
        <v>56</v>
      </c>
      <c r="I555">
        <v>37.6</v>
      </c>
      <c r="J555">
        <v>44.2</v>
      </c>
      <c r="K555">
        <v>9.307E-2</v>
      </c>
      <c r="L555">
        <v>16.57</v>
      </c>
      <c r="M555">
        <v>5.63</v>
      </c>
      <c r="N555">
        <v>4</v>
      </c>
      <c r="O555">
        <v>2</v>
      </c>
      <c r="P555">
        <v>8</v>
      </c>
      <c r="Q555">
        <v>103.4</v>
      </c>
      <c r="R555">
        <v>157.56</v>
      </c>
      <c r="S555">
        <v>0.74456</v>
      </c>
      <c r="T555">
        <v>8</v>
      </c>
      <c r="U555">
        <v>352</v>
      </c>
      <c r="V555">
        <v>1981.76</v>
      </c>
      <c r="W555" s="1" t="s">
        <v>1262</v>
      </c>
      <c r="X555" s="1" t="s">
        <v>1262</v>
      </c>
      <c r="Y555">
        <v>9.4117647058823528E-2</v>
      </c>
      <c r="Z555">
        <v>0.12941176470588237</v>
      </c>
      <c r="AA555" s="1" t="s">
        <v>1263</v>
      </c>
      <c r="AB555">
        <v>0</v>
      </c>
      <c r="AC555">
        <v>0</v>
      </c>
      <c r="AD555" s="1">
        <v>11.545454545454545</v>
      </c>
      <c r="AE555">
        <v>2</v>
      </c>
      <c r="AF555">
        <f>COUNTIFS(tblStock[sku],tblSKU[[#This Row],[sku]])</f>
        <v>3</v>
      </c>
      <c r="AG555" cm="1">
        <f t="array" ref="AG555">SUM(SUMIFS(tblStock[qty_units],tblStock[sku],tblSKU[[#This Row],[sku]],tblStock[stock_type],{"Saleable","FOC"}))</f>
        <v>1016</v>
      </c>
      <c r="AH555" s="3">
        <f>SUMIFS(tblStock[value_nzd],tblStock[sku],tblSKU[[#This Row],[sku]])</f>
        <v>5832.68</v>
      </c>
      <c r="AI555" s="4">
        <f>SUMIFS(tblStock[cbm],tblStock[sku],tblSKU[[#This Row],[sku]])</f>
        <v>4.8210259999999998</v>
      </c>
      <c r="AJ555" s="1">
        <f>SUMIFS(tblStock[positions],tblStock[sku],tblSKU[[#This Row],[sku]])</f>
        <v>7</v>
      </c>
      <c r="AK555" s="3">
        <f>SUMIFS(tblStock[value_nzd],tblStock[sku],tblSKU[[#This Row],[sku]],tblStock[stock_type],"Expired")</f>
        <v>0</v>
      </c>
      <c r="AL555" s="3" cm="1">
        <f t="array" ref="AL555">SUM(SUMIFS(tblStock[value_nzd],tblStock[sku],tblSKU[[#This Row],[sku]],tblStock[stock_type],{"Saleable","FOC"},tblStock[expiry_date],"&lt;"&amp;EDATE(SnapshotDate,6)))</f>
        <v>1711.52</v>
      </c>
    </row>
    <row r="556" spans="1:38">
      <c r="A556" s="1" t="s">
        <v>1176</v>
      </c>
      <c r="B556" s="1" t="s">
        <v>1177</v>
      </c>
      <c r="C556" s="1" t="s">
        <v>1110</v>
      </c>
      <c r="D556" s="1" t="s">
        <v>1111</v>
      </c>
      <c r="E556" s="1" t="s">
        <v>1111</v>
      </c>
      <c r="F556" s="1" t="s">
        <v>1081</v>
      </c>
      <c r="G556">
        <v>100</v>
      </c>
      <c r="H556">
        <v>56</v>
      </c>
      <c r="I556">
        <v>31.6</v>
      </c>
      <c r="J556">
        <v>40.700000000000003</v>
      </c>
      <c r="K556">
        <v>7.2020000000000001E-2</v>
      </c>
      <c r="L556">
        <v>6.84</v>
      </c>
      <c r="M556">
        <v>2.88</v>
      </c>
      <c r="N556">
        <v>6</v>
      </c>
      <c r="O556">
        <v>2</v>
      </c>
      <c r="P556">
        <v>12</v>
      </c>
      <c r="Q556">
        <v>96.4</v>
      </c>
      <c r="R556">
        <v>107.08</v>
      </c>
      <c r="S556">
        <v>0.86424000000000001</v>
      </c>
      <c r="T556">
        <v>152</v>
      </c>
      <c r="U556">
        <v>8582</v>
      </c>
      <c r="V556">
        <v>24716.16</v>
      </c>
      <c r="W556" s="1" t="s">
        <v>1264</v>
      </c>
      <c r="X556" s="1" t="s">
        <v>1262</v>
      </c>
      <c r="Y556">
        <v>1.7882352941176471</v>
      </c>
      <c r="Z556">
        <v>0.42068627450980389</v>
      </c>
      <c r="AA556" s="1" t="s">
        <v>1265</v>
      </c>
      <c r="AB556">
        <v>1</v>
      </c>
      <c r="AC556">
        <v>0</v>
      </c>
      <c r="AD556" s="1">
        <v>12.700536005593102</v>
      </c>
      <c r="AE556">
        <v>2</v>
      </c>
      <c r="AF556">
        <f>COUNTIFS(tblStock[sku],tblSKU[[#This Row],[sku]])</f>
        <v>1</v>
      </c>
      <c r="AG556" cm="1">
        <f t="array" ref="AG556">SUM(SUMIFS(tblStock[qty_units],tblStock[sku],tblSKU[[#This Row],[sku]],tblStock[stock_type],{"Saleable","FOC"}))</f>
        <v>27249</v>
      </c>
      <c r="AH556" s="3">
        <f>SUMIFS(tblStock[value_nzd],tblStock[sku],tblSKU[[#This Row],[sku]])</f>
        <v>78477.119999999995</v>
      </c>
      <c r="AI556" s="4">
        <f>SUMIFS(tblStock[cbm],tblStock[sku],tblSKU[[#This Row],[sku]])</f>
        <v>19.624729800000001</v>
      </c>
      <c r="AJ556" s="1">
        <f>SUMIFS(tblStock[positions],tblStock[sku],tblSKU[[#This Row],[sku]])</f>
        <v>23</v>
      </c>
      <c r="AK556" s="3">
        <f>SUMIFS(tblStock[value_nzd],tblStock[sku],tblSKU[[#This Row],[sku]],tblStock[stock_type],"Expired")</f>
        <v>0</v>
      </c>
      <c r="AL556" s="3" cm="1">
        <f t="array" ref="AL556">SUM(SUMIFS(tblStock[value_nzd],tblStock[sku],tblSKU[[#This Row],[sku]],tblStock[stock_type],{"Saleable","FOC"},tblStock[expiry_date],"&lt;"&amp;EDATE(SnapshotDate,6)))</f>
        <v>0</v>
      </c>
    </row>
    <row r="557" spans="1:38">
      <c r="A557" s="1" t="s">
        <v>1178</v>
      </c>
      <c r="B557" s="1" t="s">
        <v>1179</v>
      </c>
      <c r="C557" s="1" t="s">
        <v>1110</v>
      </c>
      <c r="D557" s="1" t="s">
        <v>1111</v>
      </c>
      <c r="E557" s="1" t="s">
        <v>1111</v>
      </c>
      <c r="F557" s="1" t="s">
        <v>1081</v>
      </c>
      <c r="G557">
        <v>50</v>
      </c>
      <c r="H557">
        <v>54.3</v>
      </c>
      <c r="I557">
        <v>34.299999999999997</v>
      </c>
      <c r="J557">
        <v>41.6</v>
      </c>
      <c r="K557">
        <v>7.7479999999999993E-2</v>
      </c>
      <c r="L557">
        <v>6.31</v>
      </c>
      <c r="M557">
        <v>7.62</v>
      </c>
      <c r="N557">
        <v>4</v>
      </c>
      <c r="O557">
        <v>1</v>
      </c>
      <c r="P557">
        <v>4</v>
      </c>
      <c r="Q557">
        <v>56.6</v>
      </c>
      <c r="R557">
        <v>50.239999999999995</v>
      </c>
      <c r="S557">
        <v>0.30991999999999997</v>
      </c>
      <c r="T557">
        <v>1</v>
      </c>
      <c r="U557">
        <v>8</v>
      </c>
      <c r="V557">
        <v>60.96</v>
      </c>
      <c r="W557" s="1" t="s">
        <v>1262</v>
      </c>
      <c r="X557" s="1" t="s">
        <v>1262</v>
      </c>
      <c r="Y557">
        <v>1.1764705882352941E-2</v>
      </c>
      <c r="Z557">
        <v>2.3529411764705885E-3</v>
      </c>
      <c r="AA557" s="1" t="s">
        <v>1263</v>
      </c>
      <c r="AB557">
        <v>0</v>
      </c>
      <c r="AC557">
        <v>0</v>
      </c>
      <c r="AD557" s="1">
        <v>13.5</v>
      </c>
      <c r="AE557">
        <v>2</v>
      </c>
      <c r="AF557">
        <f>COUNTIFS(tblStock[sku],tblSKU[[#This Row],[sku]])</f>
        <v>2</v>
      </c>
      <c r="AG557" cm="1">
        <f t="array" ref="AG557">SUM(SUMIFS(tblStock[qty_units],tblStock[sku],tblSKU[[#This Row],[sku]],tblStock[stock_type],{"Saleable","FOC"}))</f>
        <v>27</v>
      </c>
      <c r="AH557" s="3">
        <f>SUMIFS(tblStock[value_nzd],tblStock[sku],tblSKU[[#This Row],[sku]])</f>
        <v>220.98000000000002</v>
      </c>
      <c r="AI557" s="4">
        <f>SUMIFS(tblStock[cbm],tblStock[sku],tblSKU[[#This Row],[sku]])</f>
        <v>4.4938400000000003E-2</v>
      </c>
      <c r="AJ557" s="1">
        <f>SUMIFS(tblStock[positions],tblStock[sku],tblSKU[[#This Row],[sku]])</f>
        <v>0</v>
      </c>
      <c r="AK557" s="3">
        <f>SUMIFS(tblStock[value_nzd],tblStock[sku],tblSKU[[#This Row],[sku]],tblStock[stock_type],"Expired")</f>
        <v>15.24</v>
      </c>
      <c r="AL557" s="3" cm="1">
        <f t="array" ref="AL557">SUM(SUMIFS(tblStock[value_nzd],tblStock[sku],tblSKU[[#This Row],[sku]],tblStock[stock_type],{"Saleable","FOC"},tblStock[expiry_date],"&lt;"&amp;EDATE(SnapshotDate,6)))</f>
        <v>205.74</v>
      </c>
    </row>
    <row r="558" spans="1:38">
      <c r="A558" s="1" t="s">
        <v>1180</v>
      </c>
      <c r="B558" s="1" t="s">
        <v>1181</v>
      </c>
      <c r="C558" s="1" t="s">
        <v>1110</v>
      </c>
      <c r="D558" s="1" t="s">
        <v>1111</v>
      </c>
      <c r="E558" s="1" t="s">
        <v>1111</v>
      </c>
      <c r="F558" s="1" t="s">
        <v>1081</v>
      </c>
      <c r="G558">
        <v>100</v>
      </c>
      <c r="H558">
        <v>41</v>
      </c>
      <c r="I558">
        <v>42.3</v>
      </c>
      <c r="J558">
        <v>36.9</v>
      </c>
      <c r="K558">
        <v>6.4000000000000001E-2</v>
      </c>
      <c r="L558">
        <v>7.5</v>
      </c>
      <c r="M558">
        <v>6.16</v>
      </c>
      <c r="N558">
        <v>4</v>
      </c>
      <c r="O558">
        <v>4</v>
      </c>
      <c r="P558">
        <v>16</v>
      </c>
      <c r="Q558">
        <v>162.6</v>
      </c>
      <c r="R558">
        <v>145</v>
      </c>
      <c r="S558">
        <v>1.024</v>
      </c>
      <c r="T558">
        <v>362</v>
      </c>
      <c r="U558">
        <v>20487</v>
      </c>
      <c r="V558">
        <v>126199.92</v>
      </c>
      <c r="W558" s="1" t="s">
        <v>1264</v>
      </c>
      <c r="X558" s="1" t="s">
        <v>1264</v>
      </c>
      <c r="Y558">
        <v>4.2588235294117647</v>
      </c>
      <c r="Z558">
        <v>0.75319852941176479</v>
      </c>
      <c r="AA558" s="1" t="s">
        <v>1265</v>
      </c>
      <c r="AB558">
        <v>1</v>
      </c>
      <c r="AC558">
        <v>0</v>
      </c>
      <c r="AD558" s="1">
        <v>2.8699175086640309</v>
      </c>
      <c r="AE558">
        <v>12</v>
      </c>
      <c r="AF558">
        <f>COUNTIFS(tblStock[sku],tblSKU[[#This Row],[sku]])</f>
        <v>2</v>
      </c>
      <c r="AG558" cm="1">
        <f t="array" ref="AG558">SUM(SUMIFS(tblStock[qty_units],tblStock[sku],tblSKU[[#This Row],[sku]],tblStock[stock_type],{"Saleable","FOC"}))</f>
        <v>14699</v>
      </c>
      <c r="AH558" s="3">
        <f>SUMIFS(tblStock[value_nzd],tblStock[sku],tblSKU[[#This Row],[sku]])</f>
        <v>90545.840000000011</v>
      </c>
      <c r="AI558" s="4">
        <f>SUMIFS(tblStock[cbm],tblStock[sku],tblSKU[[#This Row],[sku]])</f>
        <v>9.4073600000000006</v>
      </c>
      <c r="AJ558" s="1">
        <f>SUMIFS(tblStock[positions],tblStock[sku],tblSKU[[#This Row],[sku]])</f>
        <v>10</v>
      </c>
      <c r="AK558" s="3">
        <f>SUMIFS(tblStock[value_nzd],tblStock[sku],tblSKU[[#This Row],[sku]],tblStock[stock_type],"Expired")</f>
        <v>0</v>
      </c>
      <c r="AL558" s="3" cm="1">
        <f t="array" ref="AL558">SUM(SUMIFS(tblStock[value_nzd],tblStock[sku],tblSKU[[#This Row],[sku]],tblStock[stock_type],{"Saleable","FOC"},tblStock[expiry_date],"&lt;"&amp;EDATE(SnapshotDate,6)))</f>
        <v>0</v>
      </c>
    </row>
    <row r="559" spans="1:38">
      <c r="A559" s="1" t="s">
        <v>1182</v>
      </c>
      <c r="B559" s="1" t="s">
        <v>1183</v>
      </c>
      <c r="C559" s="1" t="s">
        <v>1110</v>
      </c>
      <c r="D559" s="1" t="s">
        <v>1111</v>
      </c>
      <c r="E559" s="1" t="s">
        <v>1111</v>
      </c>
      <c r="F559" s="1" t="s">
        <v>1081</v>
      </c>
      <c r="G559">
        <v>10</v>
      </c>
      <c r="H559">
        <v>44.1</v>
      </c>
      <c r="I559">
        <v>34.5</v>
      </c>
      <c r="J559">
        <v>31</v>
      </c>
      <c r="K559">
        <v>4.7160000000000001E-2</v>
      </c>
      <c r="L559">
        <v>2.97</v>
      </c>
      <c r="M559">
        <v>7.15</v>
      </c>
      <c r="N559">
        <v>6</v>
      </c>
      <c r="O559">
        <v>2</v>
      </c>
      <c r="P559">
        <v>12</v>
      </c>
      <c r="Q559">
        <v>77</v>
      </c>
      <c r="R559">
        <v>60.64</v>
      </c>
      <c r="S559">
        <v>0.56591999999999998</v>
      </c>
      <c r="T559">
        <v>2</v>
      </c>
      <c r="U559">
        <v>11</v>
      </c>
      <c r="V559">
        <v>78.650000000000006</v>
      </c>
      <c r="W559" s="1" t="s">
        <v>1262</v>
      </c>
      <c r="X559" s="1" t="s">
        <v>1262</v>
      </c>
      <c r="Y559">
        <v>2.3529411764705882E-2</v>
      </c>
      <c r="Z559">
        <v>5.3921568627450988E-3</v>
      </c>
      <c r="AA559" s="1" t="s">
        <v>1263</v>
      </c>
      <c r="AB559">
        <v>0</v>
      </c>
      <c r="AC559">
        <v>0</v>
      </c>
      <c r="AD559" s="1">
        <v>12</v>
      </c>
      <c r="AE559">
        <v>2</v>
      </c>
      <c r="AF559">
        <f>COUNTIFS(tblStock[sku],tblSKU[[#This Row],[sku]])</f>
        <v>3</v>
      </c>
      <c r="AG559" cm="1">
        <f t="array" ref="AG559">SUM(SUMIFS(tblStock[qty_units],tblStock[sku],tblSKU[[#This Row],[sku]],tblStock[stock_type],{"Saleable","FOC"}))</f>
        <v>33</v>
      </c>
      <c r="AH559" s="3">
        <f>SUMIFS(tblStock[value_nzd],tblStock[sku],tblSKU[[#This Row],[sku]])</f>
        <v>235.95</v>
      </c>
      <c r="AI559" s="4">
        <f>SUMIFS(tblStock[cbm],tblStock[sku],tblSKU[[#This Row],[sku]])</f>
        <v>0.15562799999999999</v>
      </c>
      <c r="AJ559" s="1">
        <f>SUMIFS(tblStock[positions],tblStock[sku],tblSKU[[#This Row],[sku]])</f>
        <v>0</v>
      </c>
      <c r="AK559" s="3">
        <f>SUMIFS(tblStock[value_nzd],tblStock[sku],tblSKU[[#This Row],[sku]],tblStock[stock_type],"Expired")</f>
        <v>0</v>
      </c>
      <c r="AL559" s="3" cm="1">
        <f t="array" ref="AL559">SUM(SUMIFS(tblStock[value_nzd],tblStock[sku],tblSKU[[#This Row],[sku]],tblStock[stock_type],{"Saleable","FOC"},tblStock[expiry_date],"&lt;"&amp;EDATE(SnapshotDate,6)))</f>
        <v>0</v>
      </c>
    </row>
    <row r="560" spans="1:38">
      <c r="A560" s="1" t="s">
        <v>1184</v>
      </c>
      <c r="B560" s="1" t="s">
        <v>1185</v>
      </c>
      <c r="C560" s="1" t="s">
        <v>1110</v>
      </c>
      <c r="D560" s="1" t="s">
        <v>1111</v>
      </c>
      <c r="E560" s="1" t="s">
        <v>1111</v>
      </c>
      <c r="F560" s="1" t="s">
        <v>1081</v>
      </c>
      <c r="G560">
        <v>20</v>
      </c>
      <c r="H560">
        <v>64.3</v>
      </c>
      <c r="I560">
        <v>41</v>
      </c>
      <c r="J560">
        <v>27.5</v>
      </c>
      <c r="K560">
        <v>7.2499999999999995E-2</v>
      </c>
      <c r="L560">
        <v>11.88</v>
      </c>
      <c r="M560">
        <v>3.35</v>
      </c>
      <c r="N560">
        <v>2</v>
      </c>
      <c r="O560">
        <v>2</v>
      </c>
      <c r="P560">
        <v>4</v>
      </c>
      <c r="Q560">
        <v>70</v>
      </c>
      <c r="R560">
        <v>72.52000000000001</v>
      </c>
      <c r="S560">
        <v>0.28999999999999998</v>
      </c>
      <c r="T560">
        <v>17</v>
      </c>
      <c r="U560">
        <v>659</v>
      </c>
      <c r="V560">
        <v>2207.65</v>
      </c>
      <c r="W560" s="1" t="s">
        <v>1262</v>
      </c>
      <c r="X560" s="1" t="s">
        <v>1262</v>
      </c>
      <c r="Y560">
        <v>0.2</v>
      </c>
      <c r="Z560">
        <v>0.48455882352941182</v>
      </c>
      <c r="AA560" s="1" t="s">
        <v>1263</v>
      </c>
      <c r="AB560">
        <v>0</v>
      </c>
      <c r="AC560">
        <v>0</v>
      </c>
      <c r="AD560" s="1">
        <v>24.127465857359635</v>
      </c>
      <c r="AE560">
        <v>2</v>
      </c>
      <c r="AF560">
        <f>COUNTIFS(tblStock[sku],tblSKU[[#This Row],[sku]])</f>
        <v>2</v>
      </c>
      <c r="AG560" cm="1">
        <f t="array" ref="AG560">SUM(SUMIFS(tblStock[qty_units],tblStock[sku],tblSKU[[#This Row],[sku]],tblStock[stock_type],{"Saleable","FOC"}))</f>
        <v>3975</v>
      </c>
      <c r="AH560" s="3">
        <f>SUMIFS(tblStock[value_nzd],tblStock[sku],tblSKU[[#This Row],[sku]])</f>
        <v>13316.25</v>
      </c>
      <c r="AI560" s="4">
        <f>SUMIFS(tblStock[cbm],tblStock[sku],tblSKU[[#This Row],[sku]])</f>
        <v>14.409374999999999</v>
      </c>
      <c r="AJ560" s="1">
        <f>SUMIFS(tblStock[positions],tblStock[sku],tblSKU[[#This Row],[sku]])</f>
        <v>50</v>
      </c>
      <c r="AK560" s="3">
        <f>SUMIFS(tblStock[value_nzd],tblStock[sku],tblSKU[[#This Row],[sku]],tblStock[stock_type],"Expired")</f>
        <v>0</v>
      </c>
      <c r="AL560" s="3" cm="1">
        <f t="array" ref="AL560">SUM(SUMIFS(tblStock[value_nzd],tblStock[sku],tblSKU[[#This Row],[sku]],tblStock[stock_type],{"Saleable","FOC"},tblStock[expiry_date],"&lt;"&amp;EDATE(SnapshotDate,6)))</f>
        <v>0</v>
      </c>
    </row>
    <row r="561" spans="1:38">
      <c r="A561" s="1" t="s">
        <v>1186</v>
      </c>
      <c r="B561" s="1" t="s">
        <v>1187</v>
      </c>
      <c r="C561" s="1" t="s">
        <v>1110</v>
      </c>
      <c r="D561" s="1" t="s">
        <v>1111</v>
      </c>
      <c r="E561" s="1" t="s">
        <v>1111</v>
      </c>
      <c r="F561" s="1" t="s">
        <v>1081</v>
      </c>
      <c r="G561">
        <v>100</v>
      </c>
      <c r="H561">
        <v>64.8</v>
      </c>
      <c r="I561">
        <v>31.7</v>
      </c>
      <c r="J561">
        <v>35.200000000000003</v>
      </c>
      <c r="K561">
        <v>7.2309999999999999E-2</v>
      </c>
      <c r="L561">
        <v>8.68</v>
      </c>
      <c r="M561">
        <v>4.5</v>
      </c>
      <c r="N561">
        <v>3</v>
      </c>
      <c r="O561">
        <v>3</v>
      </c>
      <c r="P561">
        <v>9</v>
      </c>
      <c r="Q561">
        <v>120.60000000000001</v>
      </c>
      <c r="R561">
        <v>103.12</v>
      </c>
      <c r="S561">
        <v>0.65078999999999998</v>
      </c>
      <c r="T561">
        <v>30</v>
      </c>
      <c r="U561">
        <v>3826</v>
      </c>
      <c r="V561">
        <v>17217</v>
      </c>
      <c r="W561" s="1" t="s">
        <v>1258</v>
      </c>
      <c r="X561" s="1" t="s">
        <v>1262</v>
      </c>
      <c r="Y561">
        <v>0.35294117647058826</v>
      </c>
      <c r="Z561">
        <v>0.25006535947712416</v>
      </c>
      <c r="AA561" s="1" t="s">
        <v>1259</v>
      </c>
      <c r="AB561">
        <v>0</v>
      </c>
      <c r="AC561">
        <v>1</v>
      </c>
      <c r="AD561" s="1">
        <v>4.3554626241505492</v>
      </c>
      <c r="AE561">
        <v>2</v>
      </c>
      <c r="AF561">
        <f>COUNTIFS(tblStock[sku],tblSKU[[#This Row],[sku]])</f>
        <v>2</v>
      </c>
      <c r="AG561" cm="1">
        <f t="array" ref="AG561">SUM(SUMIFS(tblStock[qty_units],tblStock[sku],tblSKU[[#This Row],[sku]],tblStock[stock_type],{"Saleable","FOC"}))</f>
        <v>4166</v>
      </c>
      <c r="AH561" s="3">
        <f>SUMIFS(tblStock[value_nzd],tblStock[sku],tblSKU[[#This Row],[sku]])</f>
        <v>18747</v>
      </c>
      <c r="AI561" s="4">
        <f>SUMIFS(tblStock[cbm],tblStock[sku],tblSKU[[#This Row],[sku]])</f>
        <v>3.0124346000000002</v>
      </c>
      <c r="AJ561" s="1">
        <f>SUMIFS(tblStock[positions],tblStock[sku],tblSKU[[#This Row],[sku]])</f>
        <v>5</v>
      </c>
      <c r="AK561" s="3">
        <f>SUMIFS(tblStock[value_nzd],tblStock[sku],tblSKU[[#This Row],[sku]],tblStock[stock_type],"Expired")</f>
        <v>0</v>
      </c>
      <c r="AL561" s="3" cm="1">
        <f t="array" ref="AL561">SUM(SUMIFS(tblStock[value_nzd],tblStock[sku],tblSKU[[#This Row],[sku]],tblStock[stock_type],{"Saleable","FOC"},tblStock[expiry_date],"&lt;"&amp;EDATE(SnapshotDate,6)))</f>
        <v>0</v>
      </c>
    </row>
    <row r="562" spans="1:38">
      <c r="A562" s="1" t="s">
        <v>1188</v>
      </c>
      <c r="B562" s="1" t="s">
        <v>1189</v>
      </c>
      <c r="C562" s="1" t="s">
        <v>1110</v>
      </c>
      <c r="D562" s="1" t="s">
        <v>1111</v>
      </c>
      <c r="E562" s="1" t="s">
        <v>1111</v>
      </c>
      <c r="F562" s="1" t="s">
        <v>1081</v>
      </c>
      <c r="G562">
        <v>20</v>
      </c>
      <c r="H562">
        <v>54.1</v>
      </c>
      <c r="I562">
        <v>39</v>
      </c>
      <c r="J562">
        <v>26.5</v>
      </c>
      <c r="K562">
        <v>5.5910000000000001E-2</v>
      </c>
      <c r="L562">
        <v>4.7</v>
      </c>
      <c r="M562">
        <v>3.86</v>
      </c>
      <c r="N562">
        <v>4</v>
      </c>
      <c r="O562">
        <v>2</v>
      </c>
      <c r="P562">
        <v>8</v>
      </c>
      <c r="Q562">
        <v>68</v>
      </c>
      <c r="R562">
        <v>62.6</v>
      </c>
      <c r="S562">
        <v>0.44728000000000001</v>
      </c>
      <c r="T562">
        <v>19</v>
      </c>
      <c r="U562">
        <v>995</v>
      </c>
      <c r="V562">
        <v>3840.7</v>
      </c>
      <c r="W562" s="1" t="s">
        <v>1262</v>
      </c>
      <c r="X562" s="1" t="s">
        <v>1262</v>
      </c>
      <c r="Y562">
        <v>0.22352941176470589</v>
      </c>
      <c r="Z562">
        <v>0.3658088235294118</v>
      </c>
      <c r="AA562" s="1" t="s">
        <v>1263</v>
      </c>
      <c r="AB562">
        <v>0</v>
      </c>
      <c r="AC562">
        <v>0</v>
      </c>
      <c r="AD562" s="1">
        <v>3.4291457286432161</v>
      </c>
      <c r="AE562">
        <v>2</v>
      </c>
      <c r="AF562">
        <f>COUNTIFS(tblStock[sku],tblSKU[[#This Row],[sku]])</f>
        <v>2</v>
      </c>
      <c r="AG562" cm="1">
        <f t="array" ref="AG562">SUM(SUMIFS(tblStock[qty_units],tblStock[sku],tblSKU[[#This Row],[sku]],tblStock[stock_type],{"Saleable","FOC"}))</f>
        <v>853</v>
      </c>
      <c r="AH562" s="3">
        <f>SUMIFS(tblStock[value_nzd],tblStock[sku],tblSKU[[#This Row],[sku]])</f>
        <v>3292.58</v>
      </c>
      <c r="AI562" s="4">
        <f>SUMIFS(tblStock[cbm],tblStock[sku],tblSKU[[#This Row],[sku]])</f>
        <v>2.3845615000000002</v>
      </c>
      <c r="AJ562" s="1">
        <f>SUMIFS(tblStock[positions],tblStock[sku],tblSKU[[#This Row],[sku]])</f>
        <v>7</v>
      </c>
      <c r="AK562" s="3">
        <f>SUMIFS(tblStock[value_nzd],tblStock[sku],tblSKU[[#This Row],[sku]],tblStock[stock_type],"Expired")</f>
        <v>0</v>
      </c>
      <c r="AL562" s="3" cm="1">
        <f t="array" ref="AL562">SUM(SUMIFS(tblStock[value_nzd],tblStock[sku],tblSKU[[#This Row],[sku]],tblStock[stock_type],{"Saleable","FOC"},tblStock[expiry_date],"&lt;"&amp;EDATE(SnapshotDate,6)))</f>
        <v>0</v>
      </c>
    </row>
    <row r="563" spans="1:38">
      <c r="A563" s="1" t="s">
        <v>1190</v>
      </c>
      <c r="B563" s="1" t="s">
        <v>1191</v>
      </c>
      <c r="C563" s="1" t="s">
        <v>1110</v>
      </c>
      <c r="D563" s="1" t="s">
        <v>1111</v>
      </c>
      <c r="E563" s="1" t="s">
        <v>1111</v>
      </c>
      <c r="F563" s="1" t="s">
        <v>1081</v>
      </c>
      <c r="G563">
        <v>50</v>
      </c>
      <c r="H563">
        <v>52.3</v>
      </c>
      <c r="I563">
        <v>40.6</v>
      </c>
      <c r="J563">
        <v>32</v>
      </c>
      <c r="K563">
        <v>6.7949999999999997E-2</v>
      </c>
      <c r="L563">
        <v>8.41</v>
      </c>
      <c r="M563">
        <v>0.72</v>
      </c>
      <c r="N563">
        <v>4</v>
      </c>
      <c r="O563">
        <v>4</v>
      </c>
      <c r="P563">
        <v>16</v>
      </c>
      <c r="Q563">
        <v>143</v>
      </c>
      <c r="R563">
        <v>159.56</v>
      </c>
      <c r="S563">
        <v>1.0871999999999999</v>
      </c>
      <c r="T563">
        <v>627</v>
      </c>
      <c r="U563">
        <v>29528</v>
      </c>
      <c r="V563">
        <v>21260.16</v>
      </c>
      <c r="W563" s="1" t="s">
        <v>1264</v>
      </c>
      <c r="X563" s="1" t="s">
        <v>1262</v>
      </c>
      <c r="Y563">
        <v>7.3764705882352946</v>
      </c>
      <c r="Z563">
        <v>2.171176470588235</v>
      </c>
      <c r="AA563" s="1" t="s">
        <v>1265</v>
      </c>
      <c r="AB563">
        <v>1</v>
      </c>
      <c r="AC563">
        <v>0</v>
      </c>
      <c r="AD563" s="1">
        <v>9.7309672175562181</v>
      </c>
      <c r="AE563">
        <v>2</v>
      </c>
      <c r="AF563">
        <f>COUNTIFS(tblStock[sku],tblSKU[[#This Row],[sku]])</f>
        <v>4</v>
      </c>
      <c r="AG563" cm="1">
        <f t="array" ref="AG563">SUM(SUMIFS(tblStock[qty_units],tblStock[sku],tblSKU[[#This Row],[sku]],tblStock[stock_type],{"Saleable","FOC"}))</f>
        <v>71834</v>
      </c>
      <c r="AH563" s="3">
        <f>SUMIFS(tblStock[value_nzd],tblStock[sku],tblSKU[[#This Row],[sku]])</f>
        <v>51720.479999999996</v>
      </c>
      <c r="AI563" s="4">
        <f>SUMIFS(tblStock[cbm],tblStock[sku],tblSKU[[#This Row],[sku]])</f>
        <v>97.622405999999998</v>
      </c>
      <c r="AJ563" s="1">
        <f>SUMIFS(tblStock[positions],tblStock[sku],tblSKU[[#This Row],[sku]])</f>
        <v>92</v>
      </c>
      <c r="AK563" s="3">
        <f>SUMIFS(tblStock[value_nzd],tblStock[sku],tblSKU[[#This Row],[sku]],tblStock[stock_type],"Expired")</f>
        <v>0</v>
      </c>
      <c r="AL563" s="3" cm="1">
        <f t="array" ref="AL563">SUM(SUMIFS(tblStock[value_nzd],tblStock[sku],tblSKU[[#This Row],[sku]],tblStock[stock_type],{"Saleable","FOC"},tblStock[expiry_date],"&lt;"&amp;EDATE(SnapshotDate,6)))</f>
        <v>0</v>
      </c>
    </row>
    <row r="564" spans="1:38">
      <c r="A564" s="1" t="s">
        <v>1192</v>
      </c>
      <c r="B564" s="1" t="s">
        <v>1193</v>
      </c>
      <c r="C564" s="1" t="s">
        <v>1110</v>
      </c>
      <c r="D564" s="1" t="s">
        <v>1111</v>
      </c>
      <c r="E564" s="1" t="s">
        <v>1111</v>
      </c>
      <c r="F564" s="1" t="s">
        <v>1081</v>
      </c>
      <c r="G564">
        <v>10</v>
      </c>
      <c r="H564">
        <v>60.5</v>
      </c>
      <c r="I564">
        <v>36.4</v>
      </c>
      <c r="J564">
        <v>28.1</v>
      </c>
      <c r="K564">
        <v>6.1879999999999998E-2</v>
      </c>
      <c r="L564">
        <v>10.62</v>
      </c>
      <c r="M564">
        <v>2.17</v>
      </c>
      <c r="N564">
        <v>3</v>
      </c>
      <c r="O564">
        <v>3</v>
      </c>
      <c r="P564">
        <v>9</v>
      </c>
      <c r="Q564">
        <v>99.300000000000011</v>
      </c>
      <c r="R564">
        <v>120.58</v>
      </c>
      <c r="S564">
        <v>0.55691999999999997</v>
      </c>
      <c r="T564">
        <v>7</v>
      </c>
      <c r="U564">
        <v>192</v>
      </c>
      <c r="V564">
        <v>416.64</v>
      </c>
      <c r="W564" s="1" t="s">
        <v>1262</v>
      </c>
      <c r="X564" s="1" t="s">
        <v>1262</v>
      </c>
      <c r="Y564">
        <v>8.2352941176470587E-2</v>
      </c>
      <c r="Z564">
        <v>0.12549019607843137</v>
      </c>
      <c r="AA564" s="1" t="s">
        <v>1263</v>
      </c>
      <c r="AB564">
        <v>0</v>
      </c>
      <c r="AC564">
        <v>0</v>
      </c>
      <c r="AD564" s="1">
        <v>10.604166666666666</v>
      </c>
      <c r="AE564">
        <v>2</v>
      </c>
      <c r="AF564">
        <f>COUNTIFS(tblStock[sku],tblSKU[[#This Row],[sku]])</f>
        <v>2</v>
      </c>
      <c r="AG564" cm="1">
        <f t="array" ref="AG564">SUM(SUMIFS(tblStock[qty_units],tblStock[sku],tblSKU[[#This Row],[sku]],tblStock[stock_type],{"Saleable","FOC"}))</f>
        <v>509</v>
      </c>
      <c r="AH564" s="3">
        <f>SUMIFS(tblStock[value_nzd],tblStock[sku],tblSKU[[#This Row],[sku]])</f>
        <v>1104.53</v>
      </c>
      <c r="AI564" s="4">
        <f>SUMIFS(tblStock[cbm],tblStock[sku],tblSKU[[#This Row],[sku]])</f>
        <v>3.1496919999999995</v>
      </c>
      <c r="AJ564" s="1">
        <f>SUMIFS(tblStock[positions],tblStock[sku],tblSKU[[#This Row],[sku]])</f>
        <v>6</v>
      </c>
      <c r="AK564" s="3">
        <f>SUMIFS(tblStock[value_nzd],tblStock[sku],tblSKU[[#This Row],[sku]],tblStock[stock_type],"Expired")</f>
        <v>0</v>
      </c>
      <c r="AL564" s="3" cm="1">
        <f t="array" ref="AL564">SUM(SUMIFS(tblStock[value_nzd],tblStock[sku],tblSKU[[#This Row],[sku]],tblStock[stock_type],{"Saleable","FOC"},tblStock[expiry_date],"&lt;"&amp;EDATE(SnapshotDate,6)))</f>
        <v>0</v>
      </c>
    </row>
    <row r="565" spans="1:38">
      <c r="A565" s="1" t="s">
        <v>1194</v>
      </c>
      <c r="B565" s="1" t="s">
        <v>1195</v>
      </c>
      <c r="C565" s="1" t="s">
        <v>1110</v>
      </c>
      <c r="D565" s="1" t="s">
        <v>1111</v>
      </c>
      <c r="E565" s="1" t="s">
        <v>1111</v>
      </c>
      <c r="F565" s="1" t="s">
        <v>1081</v>
      </c>
      <c r="G565">
        <v>50</v>
      </c>
      <c r="H565">
        <v>62.3</v>
      </c>
      <c r="I565">
        <v>34.5</v>
      </c>
      <c r="J565">
        <v>41</v>
      </c>
      <c r="K565">
        <v>8.8120000000000004E-2</v>
      </c>
      <c r="L565">
        <v>10.99</v>
      </c>
      <c r="M565">
        <v>2.82</v>
      </c>
      <c r="N565">
        <v>3</v>
      </c>
      <c r="O565">
        <v>2</v>
      </c>
      <c r="P565">
        <v>6</v>
      </c>
      <c r="Q565">
        <v>97</v>
      </c>
      <c r="R565">
        <v>90.94</v>
      </c>
      <c r="S565">
        <v>0.52872000000000008</v>
      </c>
      <c r="T565">
        <v>500</v>
      </c>
      <c r="U565">
        <v>25479</v>
      </c>
      <c r="V565">
        <v>71850.78</v>
      </c>
      <c r="W565" s="1" t="s">
        <v>1264</v>
      </c>
      <c r="X565" s="1" t="s">
        <v>1258</v>
      </c>
      <c r="Y565">
        <v>5.882352941176471</v>
      </c>
      <c r="Z565">
        <v>4.9958823529411767</v>
      </c>
      <c r="AA565" s="1" t="s">
        <v>1265</v>
      </c>
      <c r="AB565">
        <v>1</v>
      </c>
      <c r="AC565">
        <v>0</v>
      </c>
      <c r="AD565" s="1">
        <v>4.0899564347109383</v>
      </c>
      <c r="AE565">
        <v>4</v>
      </c>
      <c r="AF565">
        <f>COUNTIFS(tblStock[sku],tblSKU[[#This Row],[sku]])</f>
        <v>3</v>
      </c>
      <c r="AG565" cm="1">
        <f t="array" ref="AG565">SUM(SUMIFS(tblStock[qty_units],tblStock[sku],tblSKU[[#This Row],[sku]],tblStock[stock_type],{"Saleable","FOC"}))</f>
        <v>26052</v>
      </c>
      <c r="AH565" s="3">
        <f>SUMIFS(tblStock[value_nzd],tblStock[sku],tblSKU[[#This Row],[sku]])</f>
        <v>73466.64</v>
      </c>
      <c r="AI565" s="4">
        <f>SUMIFS(tblStock[cbm],tblStock[sku],tblSKU[[#This Row],[sku]])</f>
        <v>45.914044800000006</v>
      </c>
      <c r="AJ565" s="1">
        <f>SUMIFS(tblStock[positions],tblStock[sku],tblSKU[[#This Row],[sku]])</f>
        <v>88</v>
      </c>
      <c r="AK565" s="3">
        <f>SUMIFS(tblStock[value_nzd],tblStock[sku],tblSKU[[#This Row],[sku]],tblStock[stock_type],"Expired")</f>
        <v>0</v>
      </c>
      <c r="AL565" s="3" cm="1">
        <f t="array" ref="AL565">SUM(SUMIFS(tblStock[value_nzd],tblStock[sku],tblSKU[[#This Row],[sku]],tblStock[stock_type],{"Saleable","FOC"},tblStock[expiry_date],"&lt;"&amp;EDATE(SnapshotDate,6)))</f>
        <v>0</v>
      </c>
    </row>
    <row r="566" spans="1:38">
      <c r="A566" s="1" t="s">
        <v>1196</v>
      </c>
      <c r="B566" s="1" t="s">
        <v>1197</v>
      </c>
      <c r="C566" s="1" t="s">
        <v>1110</v>
      </c>
      <c r="D566" s="1" t="s">
        <v>1111</v>
      </c>
      <c r="E566" s="1" t="s">
        <v>1111</v>
      </c>
      <c r="F566" s="1" t="s">
        <v>1081</v>
      </c>
      <c r="G566">
        <v>20</v>
      </c>
      <c r="H566">
        <v>62.2</v>
      </c>
      <c r="I566">
        <v>36.6</v>
      </c>
      <c r="J566">
        <v>44.1</v>
      </c>
      <c r="K566">
        <v>0.10038999999999999</v>
      </c>
      <c r="L566">
        <v>9.83</v>
      </c>
      <c r="M566">
        <v>4.38</v>
      </c>
      <c r="N566">
        <v>3</v>
      </c>
      <c r="O566">
        <v>1</v>
      </c>
      <c r="P566">
        <v>3</v>
      </c>
      <c r="Q566">
        <v>59.1</v>
      </c>
      <c r="R566">
        <v>54.49</v>
      </c>
      <c r="S566">
        <v>0.30116999999999999</v>
      </c>
      <c r="T566">
        <v>0</v>
      </c>
      <c r="U566">
        <v>0</v>
      </c>
      <c r="V566">
        <v>0</v>
      </c>
      <c r="W566" s="1" t="s">
        <v>1260</v>
      </c>
      <c r="X566" s="1" t="s">
        <v>1260</v>
      </c>
      <c r="Y566">
        <v>0</v>
      </c>
      <c r="Z566">
        <v>0</v>
      </c>
      <c r="AA566" s="1" t="s">
        <v>1261</v>
      </c>
      <c r="AB566">
        <v>0</v>
      </c>
      <c r="AC566">
        <v>0</v>
      </c>
      <c r="AD566" s="1"/>
      <c r="AE566">
        <v>1</v>
      </c>
      <c r="AF566">
        <f>COUNTIFS(tblStock[sku],tblSKU[[#This Row],[sku]])</f>
        <v>3</v>
      </c>
      <c r="AG566" cm="1">
        <f t="array" ref="AG566">SUM(SUMIFS(tblStock[qty_units],tblStock[sku],tblSKU[[#This Row],[sku]],tblStock[stock_type],{"Saleable","FOC"}))</f>
        <v>39</v>
      </c>
      <c r="AH566" s="3">
        <f>SUMIFS(tblStock[value_nzd],tblStock[sku],tblSKU[[#This Row],[sku]])</f>
        <v>170.82</v>
      </c>
      <c r="AI566" s="4">
        <f>SUMIFS(tblStock[cbm],tblStock[sku],tblSKU[[#This Row],[sku]])</f>
        <v>0.1957605</v>
      </c>
      <c r="AJ566" s="1">
        <f>SUMIFS(tblStock[positions],tblStock[sku],tblSKU[[#This Row],[sku]])</f>
        <v>0</v>
      </c>
      <c r="AK566" s="3">
        <f>SUMIFS(tblStock[value_nzd],tblStock[sku],tblSKU[[#This Row],[sku]],tblStock[stock_type],"Expired")</f>
        <v>0</v>
      </c>
      <c r="AL566" s="3" cm="1">
        <f t="array" ref="AL566">SUM(SUMIFS(tblStock[value_nzd],tblStock[sku],tblSKU[[#This Row],[sku]],tblStock[stock_type],{"Saleable","FOC"},tblStock[expiry_date],"&lt;"&amp;EDATE(SnapshotDate,6)))</f>
        <v>0</v>
      </c>
    </row>
    <row r="567" spans="1:38">
      <c r="A567" s="1" t="s">
        <v>1198</v>
      </c>
      <c r="B567" s="1" t="s">
        <v>1199</v>
      </c>
      <c r="C567" s="1" t="s">
        <v>1110</v>
      </c>
      <c r="D567" s="1" t="s">
        <v>1111</v>
      </c>
      <c r="E567" s="1" t="s">
        <v>1111</v>
      </c>
      <c r="F567" s="1" t="s">
        <v>1081</v>
      </c>
      <c r="G567">
        <v>50</v>
      </c>
      <c r="H567">
        <v>44.7</v>
      </c>
      <c r="I567">
        <v>41.8</v>
      </c>
      <c r="J567">
        <v>34.200000000000003</v>
      </c>
      <c r="K567">
        <v>6.3899999999999998E-2</v>
      </c>
      <c r="L567">
        <v>11.29</v>
      </c>
      <c r="M567">
        <v>1.21</v>
      </c>
      <c r="N567">
        <v>2</v>
      </c>
      <c r="O567">
        <v>4</v>
      </c>
      <c r="P567">
        <v>8</v>
      </c>
      <c r="Q567">
        <v>151.80000000000001</v>
      </c>
      <c r="R567">
        <v>115.32</v>
      </c>
      <c r="S567">
        <v>0.51119999999999999</v>
      </c>
      <c r="T567">
        <v>1</v>
      </c>
      <c r="U567">
        <v>6</v>
      </c>
      <c r="V567">
        <v>7.26</v>
      </c>
      <c r="W567" s="1" t="s">
        <v>1262</v>
      </c>
      <c r="X567" s="1" t="s">
        <v>1262</v>
      </c>
      <c r="Y567">
        <v>1.1764705882352941E-2</v>
      </c>
      <c r="Z567">
        <v>8.8235294117647051E-4</v>
      </c>
      <c r="AA567" s="1" t="s">
        <v>1263</v>
      </c>
      <c r="AB567">
        <v>0</v>
      </c>
      <c r="AC567">
        <v>0</v>
      </c>
      <c r="AD567" s="1">
        <v>16</v>
      </c>
      <c r="AE567">
        <v>2</v>
      </c>
      <c r="AF567">
        <f>COUNTIFS(tblStock[sku],tblSKU[[#This Row],[sku]])</f>
        <v>3</v>
      </c>
      <c r="AG567" cm="1">
        <f t="array" ref="AG567">SUM(SUMIFS(tblStock[qty_units],tblStock[sku],tblSKU[[#This Row],[sku]],tblStock[stock_type],{"Saleable","FOC"}))</f>
        <v>24</v>
      </c>
      <c r="AH567" s="3">
        <f>SUMIFS(tblStock[value_nzd],tblStock[sku],tblSKU[[#This Row],[sku]])</f>
        <v>29.04</v>
      </c>
      <c r="AI567" s="4">
        <f>SUMIFS(tblStock[cbm],tblStock[sku],tblSKU[[#This Row],[sku]])</f>
        <v>3.0672000000000001E-2</v>
      </c>
      <c r="AJ567" s="1">
        <f>SUMIFS(tblStock[positions],tblStock[sku],tblSKU[[#This Row],[sku]])</f>
        <v>0</v>
      </c>
      <c r="AK567" s="3">
        <f>SUMIFS(tblStock[value_nzd],tblStock[sku],tblSKU[[#This Row],[sku]],tblStock[stock_type],"Expired")</f>
        <v>0</v>
      </c>
      <c r="AL567" s="3" cm="1">
        <f t="array" ref="AL567">SUM(SUMIFS(tblStock[value_nzd],tblStock[sku],tblSKU[[#This Row],[sku]],tblStock[stock_type],{"Saleable","FOC"},tblStock[expiry_date],"&lt;"&amp;EDATE(SnapshotDate,6)))</f>
        <v>0</v>
      </c>
    </row>
    <row r="568" spans="1:38">
      <c r="A568" s="1" t="s">
        <v>1200</v>
      </c>
      <c r="B568" s="1" t="s">
        <v>1201</v>
      </c>
      <c r="C568" s="1" t="s">
        <v>1110</v>
      </c>
      <c r="D568" s="1" t="s">
        <v>1111</v>
      </c>
      <c r="E568" s="1" t="s">
        <v>1111</v>
      </c>
      <c r="F568" s="1" t="s">
        <v>1081</v>
      </c>
      <c r="G568">
        <v>50</v>
      </c>
      <c r="H568">
        <v>45.8</v>
      </c>
      <c r="I568">
        <v>43.1</v>
      </c>
      <c r="J568">
        <v>36.799999999999997</v>
      </c>
      <c r="K568">
        <v>7.2639999999999996E-2</v>
      </c>
      <c r="L568">
        <v>10.7</v>
      </c>
      <c r="M568">
        <v>5.69</v>
      </c>
      <c r="N568">
        <v>4</v>
      </c>
      <c r="O568">
        <v>4</v>
      </c>
      <c r="P568">
        <v>16</v>
      </c>
      <c r="Q568">
        <v>162.19999999999999</v>
      </c>
      <c r="R568">
        <v>196.2</v>
      </c>
      <c r="S568">
        <v>1.1622399999999999</v>
      </c>
      <c r="T568">
        <v>34</v>
      </c>
      <c r="U568">
        <v>1177</v>
      </c>
      <c r="V568">
        <v>6697.13</v>
      </c>
      <c r="W568" s="1" t="s">
        <v>1258</v>
      </c>
      <c r="X568" s="1" t="s">
        <v>1262</v>
      </c>
      <c r="Y568">
        <v>0.4</v>
      </c>
      <c r="Z568">
        <v>8.6544117647058827E-2</v>
      </c>
      <c r="AA568" s="1" t="s">
        <v>1259</v>
      </c>
      <c r="AB568">
        <v>0</v>
      </c>
      <c r="AC568">
        <v>1</v>
      </c>
      <c r="AD568" s="1">
        <v>5.3559898045879351</v>
      </c>
      <c r="AE568">
        <v>2</v>
      </c>
      <c r="AF568">
        <f>COUNTIFS(tblStock[sku],tblSKU[[#This Row],[sku]])</f>
        <v>4</v>
      </c>
      <c r="AG568" cm="1">
        <f t="array" ref="AG568">SUM(SUMIFS(tblStock[qty_units],tblStock[sku],tblSKU[[#This Row],[sku]],tblStock[stock_type],{"Saleable","FOC"}))</f>
        <v>1576</v>
      </c>
      <c r="AH568" s="3">
        <f>SUMIFS(tblStock[value_nzd],tblStock[sku],tblSKU[[#This Row],[sku]])</f>
        <v>9684.3800000000028</v>
      </c>
      <c r="AI568" s="4">
        <f>SUMIFS(tblStock[cbm],tblStock[sku],tblSKU[[#This Row],[sku]])</f>
        <v>2.4726655999999996</v>
      </c>
      <c r="AJ568" s="1">
        <f>SUMIFS(tblStock[positions],tblStock[sku],tblSKU[[#This Row],[sku]])</f>
        <v>3</v>
      </c>
      <c r="AK568" s="3">
        <f>SUMIFS(tblStock[value_nzd],tblStock[sku],tblSKU[[#This Row],[sku]],tblStock[stock_type],"Expired")</f>
        <v>716.94</v>
      </c>
      <c r="AL568" s="3" cm="1">
        <f t="array" ref="AL568">SUM(SUMIFS(tblStock[value_nzd],tblStock[sku],tblSKU[[#This Row],[sku]],tblStock[stock_type],{"Saleable","FOC"},tblStock[expiry_date],"&lt;"&amp;EDATE(SnapshotDate,6)))</f>
        <v>0</v>
      </c>
    </row>
    <row r="569" spans="1:38">
      <c r="A569" s="1" t="s">
        <v>1202</v>
      </c>
      <c r="B569" s="1" t="s">
        <v>1203</v>
      </c>
      <c r="C569" s="1" t="s">
        <v>1110</v>
      </c>
      <c r="D569" s="1" t="s">
        <v>1111</v>
      </c>
      <c r="E569" s="1" t="s">
        <v>1111</v>
      </c>
      <c r="F569" s="1" t="s">
        <v>1081</v>
      </c>
      <c r="G569">
        <v>20</v>
      </c>
      <c r="H569">
        <v>56.7</v>
      </c>
      <c r="I569">
        <v>36.6</v>
      </c>
      <c r="J569">
        <v>31.2</v>
      </c>
      <c r="K569">
        <v>6.4750000000000002E-2</v>
      </c>
      <c r="L569">
        <v>10.88</v>
      </c>
      <c r="M569">
        <v>1.92</v>
      </c>
      <c r="N569">
        <v>4</v>
      </c>
      <c r="O569">
        <v>2</v>
      </c>
      <c r="P569">
        <v>8</v>
      </c>
      <c r="Q569">
        <v>77.400000000000006</v>
      </c>
      <c r="R569">
        <v>112.04</v>
      </c>
      <c r="S569">
        <v>0.51800000000000002</v>
      </c>
      <c r="T569">
        <v>3</v>
      </c>
      <c r="U569">
        <v>14</v>
      </c>
      <c r="V569">
        <v>26.88</v>
      </c>
      <c r="W569" s="1" t="s">
        <v>1262</v>
      </c>
      <c r="X569" s="1" t="s">
        <v>1262</v>
      </c>
      <c r="Y569">
        <v>3.5294117647058823E-2</v>
      </c>
      <c r="Z569">
        <v>5.1470588235294108E-3</v>
      </c>
      <c r="AA569" s="1" t="s">
        <v>1263</v>
      </c>
      <c r="AB569">
        <v>0</v>
      </c>
      <c r="AC569">
        <v>0</v>
      </c>
      <c r="AD569" s="1">
        <v>5.1428571428571432</v>
      </c>
      <c r="AE569">
        <v>2</v>
      </c>
      <c r="AF569">
        <f>COUNTIFS(tblStock[sku],tblSKU[[#This Row],[sku]])</f>
        <v>1</v>
      </c>
      <c r="AG569" cm="1">
        <f t="array" ref="AG569">SUM(SUMIFS(tblStock[qty_units],tblStock[sku],tblSKU[[#This Row],[sku]],tblStock[stock_type],{"Saleable","FOC"}))</f>
        <v>18</v>
      </c>
      <c r="AH569" s="3">
        <f>SUMIFS(tblStock[value_nzd],tblStock[sku],tblSKU[[#This Row],[sku]])</f>
        <v>34.56</v>
      </c>
      <c r="AI569" s="4">
        <f>SUMIFS(tblStock[cbm],tblStock[sku],tblSKU[[#This Row],[sku]])</f>
        <v>5.8275E-2</v>
      </c>
      <c r="AJ569" s="1">
        <f>SUMIFS(tblStock[positions],tblStock[sku],tblSKU[[#This Row],[sku]])</f>
        <v>0</v>
      </c>
      <c r="AK569" s="3">
        <f>SUMIFS(tblStock[value_nzd],tblStock[sku],tblSKU[[#This Row],[sku]],tblStock[stock_type],"Expired")</f>
        <v>0</v>
      </c>
      <c r="AL569" s="3" cm="1">
        <f t="array" ref="AL569">SUM(SUMIFS(tblStock[value_nzd],tblStock[sku],tblSKU[[#This Row],[sku]],tblStock[stock_type],{"Saleable","FOC"},tblStock[expiry_date],"&lt;"&amp;EDATE(SnapshotDate,6)))</f>
        <v>0</v>
      </c>
    </row>
    <row r="570" spans="1:38">
      <c r="A570" s="1" t="s">
        <v>1204</v>
      </c>
      <c r="B570" s="1" t="s">
        <v>1205</v>
      </c>
      <c r="C570" s="1" t="s">
        <v>1110</v>
      </c>
      <c r="D570" s="1" t="s">
        <v>1111</v>
      </c>
      <c r="E570" s="1" t="s">
        <v>1111</v>
      </c>
      <c r="F570" s="1" t="s">
        <v>1081</v>
      </c>
      <c r="G570">
        <v>50</v>
      </c>
      <c r="H570">
        <v>58.2</v>
      </c>
      <c r="I570">
        <v>34.1</v>
      </c>
      <c r="J570">
        <v>34</v>
      </c>
      <c r="K570">
        <v>6.7479999999999998E-2</v>
      </c>
      <c r="L570">
        <v>6.25</v>
      </c>
      <c r="M570">
        <v>3.35</v>
      </c>
      <c r="N570">
        <v>4</v>
      </c>
      <c r="O570">
        <v>4</v>
      </c>
      <c r="P570">
        <v>16</v>
      </c>
      <c r="Q570">
        <v>151</v>
      </c>
      <c r="R570">
        <v>125</v>
      </c>
      <c r="S570">
        <v>1.07968</v>
      </c>
      <c r="T570">
        <v>2</v>
      </c>
      <c r="U570">
        <v>40</v>
      </c>
      <c r="V570">
        <v>134</v>
      </c>
      <c r="W570" s="1" t="s">
        <v>1262</v>
      </c>
      <c r="X570" s="1" t="s">
        <v>1262</v>
      </c>
      <c r="Y570">
        <v>2.3529411764705882E-2</v>
      </c>
      <c r="Z570">
        <v>2.9411764705882357E-3</v>
      </c>
      <c r="AA570" s="1" t="s">
        <v>1263</v>
      </c>
      <c r="AB570">
        <v>0</v>
      </c>
      <c r="AC570">
        <v>0</v>
      </c>
      <c r="AD570" s="1">
        <v>14.3</v>
      </c>
      <c r="AE570">
        <v>2</v>
      </c>
      <c r="AF570">
        <f>COUNTIFS(tblStock[sku],tblSKU[[#This Row],[sku]])</f>
        <v>3</v>
      </c>
      <c r="AG570" cm="1">
        <f t="array" ref="AG570">SUM(SUMIFS(tblStock[qty_units],tblStock[sku],tblSKU[[#This Row],[sku]],tblStock[stock_type],{"Saleable","FOC"}))</f>
        <v>143</v>
      </c>
      <c r="AH570" s="3">
        <f>SUMIFS(tblStock[value_nzd],tblStock[sku],tblSKU[[#This Row],[sku]])</f>
        <v>492.45</v>
      </c>
      <c r="AI570" s="4">
        <f>SUMIFS(tblStock[cbm],tblStock[sku],tblSKU[[#This Row],[sku]])</f>
        <v>0.19839119999999999</v>
      </c>
      <c r="AJ570" s="1">
        <f>SUMIFS(tblStock[positions],tblStock[sku],tblSKU[[#This Row],[sku]])</f>
        <v>0</v>
      </c>
      <c r="AK570" s="3">
        <f>SUMIFS(tblStock[value_nzd],tblStock[sku],tblSKU[[#This Row],[sku]],tblStock[stock_type],"Expired")</f>
        <v>0</v>
      </c>
      <c r="AL570" s="3" cm="1">
        <f t="array" ref="AL570">SUM(SUMIFS(tblStock[value_nzd],tblStock[sku],tblSKU[[#This Row],[sku]],tblStock[stock_type],{"Saleable","FOC"},tblStock[expiry_date],"&lt;"&amp;EDATE(SnapshotDate,6)))</f>
        <v>90.45</v>
      </c>
    </row>
    <row r="571" spans="1:38">
      <c r="A571" s="1" t="s">
        <v>1206</v>
      </c>
      <c r="B571" s="1" t="s">
        <v>1207</v>
      </c>
      <c r="C571" s="1" t="s">
        <v>1208</v>
      </c>
      <c r="D571" s="1" t="s">
        <v>1111</v>
      </c>
      <c r="E571" s="1" t="s">
        <v>1209</v>
      </c>
      <c r="F571" s="1" t="s">
        <v>834</v>
      </c>
      <c r="G571">
        <v>5</v>
      </c>
      <c r="H571">
        <v>34.200000000000003</v>
      </c>
      <c r="I571">
        <v>23.1</v>
      </c>
      <c r="J571">
        <v>15.7</v>
      </c>
      <c r="K571">
        <v>1.24E-2</v>
      </c>
      <c r="L571">
        <v>2.83</v>
      </c>
      <c r="M571">
        <v>274.54000000000002</v>
      </c>
      <c r="N571">
        <v>12</v>
      </c>
      <c r="O571">
        <v>9</v>
      </c>
      <c r="P571">
        <v>108</v>
      </c>
      <c r="Q571">
        <v>156.29999999999998</v>
      </c>
      <c r="R571">
        <v>330.64</v>
      </c>
      <c r="S571">
        <v>1.3391999999999999</v>
      </c>
      <c r="T571">
        <v>4</v>
      </c>
      <c r="U571">
        <v>31</v>
      </c>
      <c r="V571">
        <v>8510.74</v>
      </c>
      <c r="W571" s="1" t="s">
        <v>1262</v>
      </c>
      <c r="X571" s="1" t="s">
        <v>1262</v>
      </c>
      <c r="Y571">
        <v>4.7058823529411764E-2</v>
      </c>
      <c r="Z571">
        <v>3.3769063180827887E-3</v>
      </c>
      <c r="AA571" s="1" t="s">
        <v>1263</v>
      </c>
      <c r="AB571">
        <v>0</v>
      </c>
      <c r="AC571">
        <v>0</v>
      </c>
      <c r="AD571" s="1">
        <v>5.806451612903226</v>
      </c>
      <c r="AE571">
        <v>2</v>
      </c>
      <c r="AF571">
        <f>COUNTIFS(tblStock[sku],tblSKU[[#This Row],[sku]])</f>
        <v>1</v>
      </c>
      <c r="AG571" cm="1">
        <f t="array" ref="AG571">SUM(SUMIFS(tblStock[qty_units],tblStock[sku],tblSKU[[#This Row],[sku]],tblStock[stock_type],{"Saleable","FOC"}))</f>
        <v>45</v>
      </c>
      <c r="AH571" s="3">
        <f>SUMIFS(tblStock[value_nzd],tblStock[sku],tblSKU[[#This Row],[sku]])</f>
        <v>12354.300000000001</v>
      </c>
      <c r="AI571" s="4">
        <f>SUMIFS(tblStock[cbm],tblStock[sku],tblSKU[[#This Row],[sku]])</f>
        <v>0.11159999999999999</v>
      </c>
      <c r="AJ571" s="1">
        <f>SUMIFS(tblStock[positions],tblStock[sku],tblSKU[[#This Row],[sku]])</f>
        <v>0</v>
      </c>
      <c r="AK571" s="3">
        <f>SUMIFS(tblStock[value_nzd],tblStock[sku],tblSKU[[#This Row],[sku]],tblStock[stock_type],"Expired")</f>
        <v>0</v>
      </c>
      <c r="AL571" s="3" cm="1">
        <f t="array" ref="AL571">SUM(SUMIFS(tblStock[value_nzd],tblStock[sku],tblSKU[[#This Row],[sku]],tblStock[stock_type],{"Saleable","FOC"},tblStock[expiry_date],"&lt;"&amp;EDATE(SnapshotDate,6)))</f>
        <v>0</v>
      </c>
    </row>
    <row r="572" spans="1:38">
      <c r="A572" s="1" t="s">
        <v>1210</v>
      </c>
      <c r="B572" s="1" t="s">
        <v>1211</v>
      </c>
      <c r="C572" s="1" t="s">
        <v>1208</v>
      </c>
      <c r="D572" s="1" t="s">
        <v>1111</v>
      </c>
      <c r="E572" s="1" t="s">
        <v>1209</v>
      </c>
      <c r="F572" s="1" t="s">
        <v>834</v>
      </c>
      <c r="G572">
        <v>1</v>
      </c>
      <c r="H572">
        <v>24.2</v>
      </c>
      <c r="I572">
        <v>20</v>
      </c>
      <c r="J572">
        <v>19.5</v>
      </c>
      <c r="K572">
        <v>9.4400000000000005E-3</v>
      </c>
      <c r="L572">
        <v>1.61</v>
      </c>
      <c r="M572">
        <v>215.49</v>
      </c>
      <c r="N572">
        <v>24</v>
      </c>
      <c r="O572">
        <v>7</v>
      </c>
      <c r="P572">
        <v>168</v>
      </c>
      <c r="Q572">
        <v>151.5</v>
      </c>
      <c r="R572">
        <v>295.48</v>
      </c>
      <c r="S572">
        <v>1.58592</v>
      </c>
      <c r="T572">
        <v>4</v>
      </c>
      <c r="U572">
        <v>105</v>
      </c>
      <c r="V572">
        <v>22626.45</v>
      </c>
      <c r="W572" s="1" t="s">
        <v>1262</v>
      </c>
      <c r="X572" s="1" t="s">
        <v>1262</v>
      </c>
      <c r="Y572">
        <v>4.7058823529411764E-2</v>
      </c>
      <c r="Z572">
        <v>3.6764705882352942E-2</v>
      </c>
      <c r="AA572" s="1" t="s">
        <v>1263</v>
      </c>
      <c r="AB572">
        <v>0</v>
      </c>
      <c r="AC572">
        <v>0</v>
      </c>
      <c r="AD572" s="1">
        <v>35.961904761904762</v>
      </c>
      <c r="AE572">
        <v>2</v>
      </c>
      <c r="AF572">
        <f>COUNTIFS(tblStock[sku],tblSKU[[#This Row],[sku]])</f>
        <v>2</v>
      </c>
      <c r="AG572" cm="1">
        <f t="array" ref="AG572">SUM(SUMIFS(tblStock[qty_units],tblStock[sku],tblSKU[[#This Row],[sku]],tblStock[stock_type],{"Saleable","FOC"}))</f>
        <v>944</v>
      </c>
      <c r="AH572" s="3">
        <f>SUMIFS(tblStock[value_nzd],tblStock[sku],tblSKU[[#This Row],[sku]])</f>
        <v>203422.56</v>
      </c>
      <c r="AI572" s="4">
        <f>SUMIFS(tblStock[cbm],tblStock[sku],tblSKU[[#This Row],[sku]])</f>
        <v>8.9113600000000002</v>
      </c>
      <c r="AJ572" s="1">
        <f>SUMIFS(tblStock[positions],tblStock[sku],tblSKU[[#This Row],[sku]])</f>
        <v>6</v>
      </c>
      <c r="AK572" s="3">
        <f>SUMIFS(tblStock[value_nzd],tblStock[sku],tblSKU[[#This Row],[sku]],tblStock[stock_type],"Expired")</f>
        <v>0</v>
      </c>
      <c r="AL572" s="3" cm="1">
        <f t="array" ref="AL572">SUM(SUMIFS(tblStock[value_nzd],tblStock[sku],tblSKU[[#This Row],[sku]],tblStock[stock_type],{"Saleable","FOC"},tblStock[expiry_date],"&lt;"&amp;EDATE(SnapshotDate,6)))</f>
        <v>0</v>
      </c>
    </row>
    <row r="573" spans="1:38">
      <c r="A573" s="1" t="s">
        <v>1212</v>
      </c>
      <c r="B573" s="1" t="s">
        <v>1213</v>
      </c>
      <c r="C573" s="1" t="s">
        <v>1208</v>
      </c>
      <c r="D573" s="1" t="s">
        <v>1111</v>
      </c>
      <c r="E573" s="1" t="s">
        <v>1209</v>
      </c>
      <c r="F573" s="1" t="s">
        <v>834</v>
      </c>
      <c r="G573">
        <v>10</v>
      </c>
      <c r="H573">
        <v>28.3</v>
      </c>
      <c r="I573">
        <v>20.5</v>
      </c>
      <c r="J573">
        <v>12.6</v>
      </c>
      <c r="K573">
        <v>7.3099999999999997E-3</v>
      </c>
      <c r="L573">
        <v>1.19</v>
      </c>
      <c r="M573">
        <v>80.680000000000007</v>
      </c>
      <c r="N573">
        <v>16</v>
      </c>
      <c r="O573">
        <v>10</v>
      </c>
      <c r="P573">
        <v>160</v>
      </c>
      <c r="Q573">
        <v>141</v>
      </c>
      <c r="R573">
        <v>215.39999999999998</v>
      </c>
      <c r="S573">
        <v>1.1696</v>
      </c>
      <c r="T573">
        <v>4</v>
      </c>
      <c r="U573">
        <v>182</v>
      </c>
      <c r="V573">
        <v>14683.760000000002</v>
      </c>
      <c r="W573" s="1" t="s">
        <v>1262</v>
      </c>
      <c r="X573" s="1" t="s">
        <v>1262</v>
      </c>
      <c r="Y573">
        <v>4.7058823529411764E-2</v>
      </c>
      <c r="Z573">
        <v>6.6911764705882351E-3</v>
      </c>
      <c r="AA573" s="1" t="s">
        <v>1263</v>
      </c>
      <c r="AB573">
        <v>0</v>
      </c>
      <c r="AC573">
        <v>0</v>
      </c>
      <c r="AD573" s="1">
        <v>22.395604395604394</v>
      </c>
      <c r="AE573">
        <v>2</v>
      </c>
      <c r="AF573">
        <f>COUNTIFS(tblStock[sku],tblSKU[[#This Row],[sku]])</f>
        <v>1</v>
      </c>
      <c r="AG573" cm="1">
        <f t="array" ref="AG573">SUM(SUMIFS(tblStock[qty_units],tblStock[sku],tblSKU[[#This Row],[sku]],tblStock[stock_type],{"Saleable","FOC"}))</f>
        <v>1019</v>
      </c>
      <c r="AH573" s="3">
        <f>SUMIFS(tblStock[value_nzd],tblStock[sku],tblSKU[[#This Row],[sku]])</f>
        <v>82212.920000000013</v>
      </c>
      <c r="AI573" s="4">
        <f>SUMIFS(tblStock[cbm],tblStock[sku],tblSKU[[#This Row],[sku]])</f>
        <v>0.74488900000000002</v>
      </c>
      <c r="AJ573" s="1">
        <f>SUMIFS(tblStock[positions],tblStock[sku],tblSKU[[#This Row],[sku]])</f>
        <v>1</v>
      </c>
      <c r="AK573" s="3">
        <f>SUMIFS(tblStock[value_nzd],tblStock[sku],tblSKU[[#This Row],[sku]],tblStock[stock_type],"Expired")</f>
        <v>0</v>
      </c>
      <c r="AL573" s="3" cm="1">
        <f t="array" ref="AL573">SUM(SUMIFS(tblStock[value_nzd],tblStock[sku],tblSKU[[#This Row],[sku]],tblStock[stock_type],{"Saleable","FOC"},tblStock[expiry_date],"&lt;"&amp;EDATE(SnapshotDate,6)))</f>
        <v>0</v>
      </c>
    </row>
    <row r="574" spans="1:38">
      <c r="A574" s="1" t="s">
        <v>1214</v>
      </c>
      <c r="B574" s="1" t="s">
        <v>1215</v>
      </c>
      <c r="C574" s="1" t="s">
        <v>1208</v>
      </c>
      <c r="D574" s="1" t="s">
        <v>1111</v>
      </c>
      <c r="E574" s="1" t="s">
        <v>1209</v>
      </c>
      <c r="F574" s="1" t="s">
        <v>1081</v>
      </c>
      <c r="G574">
        <v>10</v>
      </c>
      <c r="H574">
        <v>31.8</v>
      </c>
      <c r="I574">
        <v>24</v>
      </c>
      <c r="J574">
        <v>14.1</v>
      </c>
      <c r="K574">
        <v>1.076E-2</v>
      </c>
      <c r="L574">
        <v>2.57</v>
      </c>
      <c r="M574">
        <v>270.48</v>
      </c>
      <c r="N574">
        <v>15</v>
      </c>
      <c r="O574">
        <v>6</v>
      </c>
      <c r="P574">
        <v>90</v>
      </c>
      <c r="Q574">
        <v>99.6</v>
      </c>
      <c r="R574">
        <v>256.29999999999995</v>
      </c>
      <c r="S574">
        <v>0.96840000000000004</v>
      </c>
      <c r="T574">
        <v>14</v>
      </c>
      <c r="U574">
        <v>524</v>
      </c>
      <c r="V574">
        <v>141731.52000000002</v>
      </c>
      <c r="W574" s="1" t="s">
        <v>1262</v>
      </c>
      <c r="X574" s="1" t="s">
        <v>1264</v>
      </c>
      <c r="Y574">
        <v>0.16470588235294117</v>
      </c>
      <c r="Z574">
        <v>3.4248366013071893E-2</v>
      </c>
      <c r="AA574" s="1" t="s">
        <v>1263</v>
      </c>
      <c r="AB574">
        <v>0</v>
      </c>
      <c r="AC574">
        <v>0</v>
      </c>
      <c r="AD574" s="1">
        <v>11.083969465648854</v>
      </c>
      <c r="AE574">
        <v>12</v>
      </c>
      <c r="AF574">
        <f>COUNTIFS(tblStock[sku],tblSKU[[#This Row],[sku]])</f>
        <v>1</v>
      </c>
      <c r="AG574" cm="1">
        <f t="array" ref="AG574">SUM(SUMIFS(tblStock[qty_units],tblStock[sku],tblSKU[[#This Row],[sku]],tblStock[stock_type],{"Saleable","FOC"}))</f>
        <v>1452</v>
      </c>
      <c r="AH574" s="3">
        <f>SUMIFS(tblStock[value_nzd],tblStock[sku],tblSKU[[#This Row],[sku]])</f>
        <v>392736.96</v>
      </c>
      <c r="AI574" s="4">
        <f>SUMIFS(tblStock[cbm],tblStock[sku],tblSKU[[#This Row],[sku]])</f>
        <v>1.562352</v>
      </c>
      <c r="AJ574" s="1">
        <f>SUMIFS(tblStock[positions],tblStock[sku],tblSKU[[#This Row],[sku]])</f>
        <v>2</v>
      </c>
      <c r="AK574" s="3">
        <f>SUMIFS(tblStock[value_nzd],tblStock[sku],tblSKU[[#This Row],[sku]],tblStock[stock_type],"Expired")</f>
        <v>0</v>
      </c>
      <c r="AL574" s="3" cm="1">
        <f t="array" ref="AL574">SUM(SUMIFS(tblStock[value_nzd],tblStock[sku],tblSKU[[#This Row],[sku]],tblStock[stock_type],{"Saleable","FOC"},tblStock[expiry_date],"&lt;"&amp;EDATE(SnapshotDate,6)))</f>
        <v>392736.96</v>
      </c>
    </row>
    <row r="575" spans="1:38">
      <c r="A575" s="1" t="s">
        <v>1216</v>
      </c>
      <c r="B575" s="1" t="s">
        <v>1217</v>
      </c>
      <c r="C575" s="1" t="s">
        <v>1208</v>
      </c>
      <c r="D575" s="1" t="s">
        <v>1111</v>
      </c>
      <c r="E575" s="1" t="s">
        <v>1209</v>
      </c>
      <c r="F575" s="1" t="s">
        <v>834</v>
      </c>
      <c r="G575">
        <v>5</v>
      </c>
      <c r="H575">
        <v>21.4</v>
      </c>
      <c r="I575">
        <v>20.7</v>
      </c>
      <c r="J575">
        <v>19.3</v>
      </c>
      <c r="K575">
        <v>8.5500000000000003E-3</v>
      </c>
      <c r="L575">
        <v>1.67</v>
      </c>
      <c r="M575">
        <v>143.06</v>
      </c>
      <c r="N575">
        <v>20</v>
      </c>
      <c r="O575">
        <v>5</v>
      </c>
      <c r="P575">
        <v>100</v>
      </c>
      <c r="Q575">
        <v>111.5</v>
      </c>
      <c r="R575">
        <v>192</v>
      </c>
      <c r="S575">
        <v>0.85499999999999998</v>
      </c>
      <c r="T575">
        <v>21</v>
      </c>
      <c r="U575">
        <v>704</v>
      </c>
      <c r="V575">
        <v>100714.24000000001</v>
      </c>
      <c r="W575" s="1" t="s">
        <v>1262</v>
      </c>
      <c r="X575" s="1" t="s">
        <v>1264</v>
      </c>
      <c r="Y575">
        <v>0.24705882352941178</v>
      </c>
      <c r="Z575">
        <v>8.2823529411764713E-2</v>
      </c>
      <c r="AA575" s="1" t="s">
        <v>1263</v>
      </c>
      <c r="AB575">
        <v>0</v>
      </c>
      <c r="AC575">
        <v>0</v>
      </c>
      <c r="AD575" s="1">
        <v>14.039772727272727</v>
      </c>
      <c r="AE575">
        <v>12</v>
      </c>
      <c r="AF575">
        <f>COUNTIFS(tblStock[sku],tblSKU[[#This Row],[sku]])</f>
        <v>1</v>
      </c>
      <c r="AG575" cm="1">
        <f t="array" ref="AG575">SUM(SUMIFS(tblStock[qty_units],tblStock[sku],tblSKU[[#This Row],[sku]],tblStock[stock_type],{"Saleable","FOC"}))</f>
        <v>2471</v>
      </c>
      <c r="AH575" s="3">
        <f>SUMIFS(tblStock[value_nzd],tblStock[sku],tblSKU[[#This Row],[sku]])</f>
        <v>353501.26</v>
      </c>
      <c r="AI575" s="4">
        <f>SUMIFS(tblStock[cbm],tblStock[sku],tblSKU[[#This Row],[sku]])</f>
        <v>4.2254100000000001</v>
      </c>
      <c r="AJ575" s="1">
        <f>SUMIFS(tblStock[positions],tblStock[sku],tblSKU[[#This Row],[sku]])</f>
        <v>5</v>
      </c>
      <c r="AK575" s="3">
        <f>SUMIFS(tblStock[value_nzd],tblStock[sku],tblSKU[[#This Row],[sku]],tblStock[stock_type],"Expired")</f>
        <v>0</v>
      </c>
      <c r="AL575" s="3" cm="1">
        <f t="array" ref="AL575">SUM(SUMIFS(tblStock[value_nzd],tblStock[sku],tblSKU[[#This Row],[sku]],tblStock[stock_type],{"Saleable","FOC"},tblStock[expiry_date],"&lt;"&amp;EDATE(SnapshotDate,6)))</f>
        <v>0</v>
      </c>
    </row>
    <row r="576" spans="1:38">
      <c r="A576" s="1" t="s">
        <v>1218</v>
      </c>
      <c r="B576" s="1" t="s">
        <v>1219</v>
      </c>
      <c r="C576" s="1" t="s">
        <v>1208</v>
      </c>
      <c r="D576" s="1" t="s">
        <v>1111</v>
      </c>
      <c r="E576" s="1" t="s">
        <v>1209</v>
      </c>
      <c r="F576" s="1" t="s">
        <v>834</v>
      </c>
      <c r="G576">
        <v>10</v>
      </c>
      <c r="H576">
        <v>24</v>
      </c>
      <c r="I576">
        <v>22.5</v>
      </c>
      <c r="J576">
        <v>11.7</v>
      </c>
      <c r="K576">
        <v>6.3200000000000001E-3</v>
      </c>
      <c r="L576">
        <v>0.85</v>
      </c>
      <c r="M576">
        <v>151.9</v>
      </c>
      <c r="N576">
        <v>20</v>
      </c>
      <c r="O576">
        <v>11</v>
      </c>
      <c r="P576">
        <v>220</v>
      </c>
      <c r="Q576">
        <v>143.69999999999999</v>
      </c>
      <c r="R576">
        <v>212</v>
      </c>
      <c r="S576">
        <v>1.3904000000000001</v>
      </c>
      <c r="T576">
        <v>37</v>
      </c>
      <c r="U576">
        <v>1293</v>
      </c>
      <c r="V576">
        <v>196406.7</v>
      </c>
      <c r="W576" s="1" t="s">
        <v>1258</v>
      </c>
      <c r="X576" s="1" t="s">
        <v>1264</v>
      </c>
      <c r="Y576">
        <v>0.43529411764705883</v>
      </c>
      <c r="Z576">
        <v>3.4572192513368988E-2</v>
      </c>
      <c r="AA576" s="1" t="s">
        <v>1259</v>
      </c>
      <c r="AB576">
        <v>0</v>
      </c>
      <c r="AC576">
        <v>1</v>
      </c>
      <c r="AD576" s="1">
        <v>8.8600154679040983</v>
      </c>
      <c r="AE576">
        <v>12</v>
      </c>
      <c r="AF576">
        <f>COUNTIFS(tblStock[sku],tblSKU[[#This Row],[sku]])</f>
        <v>1</v>
      </c>
      <c r="AG576" cm="1">
        <f t="array" ref="AG576">SUM(SUMIFS(tblStock[qty_units],tblStock[sku],tblSKU[[#This Row],[sku]],tblStock[stock_type],{"Saleable","FOC"}))</f>
        <v>2864</v>
      </c>
      <c r="AH576" s="3">
        <f>SUMIFS(tblStock[value_nzd],tblStock[sku],tblSKU[[#This Row],[sku]])</f>
        <v>435041.60000000003</v>
      </c>
      <c r="AI576" s="4">
        <f>SUMIFS(tblStock[cbm],tblStock[sku],tblSKU[[#This Row],[sku]])</f>
        <v>1.8100479999999999</v>
      </c>
      <c r="AJ576" s="1">
        <f>SUMIFS(tblStock[positions],tblStock[sku],tblSKU[[#This Row],[sku]])</f>
        <v>2</v>
      </c>
      <c r="AK576" s="3">
        <f>SUMIFS(tblStock[value_nzd],tblStock[sku],tblSKU[[#This Row],[sku]],tblStock[stock_type],"Expired")</f>
        <v>0</v>
      </c>
      <c r="AL576" s="3" cm="1">
        <f t="array" ref="AL576">SUM(SUMIFS(tblStock[value_nzd],tblStock[sku],tblSKU[[#This Row],[sku]],tblStock[stock_type],{"Saleable","FOC"},tblStock[expiry_date],"&lt;"&amp;EDATE(SnapshotDate,6)))</f>
        <v>0</v>
      </c>
    </row>
    <row r="577" spans="1:38">
      <c r="A577" s="1" t="s">
        <v>1220</v>
      </c>
      <c r="B577" s="1" t="s">
        <v>1221</v>
      </c>
      <c r="C577" s="1" t="s">
        <v>1208</v>
      </c>
      <c r="D577" s="1" t="s">
        <v>1111</v>
      </c>
      <c r="E577" s="1" t="s">
        <v>1209</v>
      </c>
      <c r="F577" s="1" t="s">
        <v>1081</v>
      </c>
      <c r="G577">
        <v>5</v>
      </c>
      <c r="H577">
        <v>34.9</v>
      </c>
      <c r="I577">
        <v>21.5</v>
      </c>
      <c r="J577">
        <v>18.8</v>
      </c>
      <c r="K577">
        <v>1.4109999999999999E-2</v>
      </c>
      <c r="L577">
        <v>1.66</v>
      </c>
      <c r="M577">
        <v>232.91</v>
      </c>
      <c r="N577">
        <v>12</v>
      </c>
      <c r="O577">
        <v>3</v>
      </c>
      <c r="P577">
        <v>36</v>
      </c>
      <c r="Q577">
        <v>71.400000000000006</v>
      </c>
      <c r="R577">
        <v>84.759999999999991</v>
      </c>
      <c r="S577">
        <v>0.50795999999999997</v>
      </c>
      <c r="T577">
        <v>22</v>
      </c>
      <c r="U577">
        <v>560</v>
      </c>
      <c r="V577">
        <v>130429.59999999999</v>
      </c>
      <c r="W577" s="1" t="s">
        <v>1262</v>
      </c>
      <c r="X577" s="1" t="s">
        <v>1264</v>
      </c>
      <c r="Y577">
        <v>0.25882352941176473</v>
      </c>
      <c r="Z577">
        <v>0.18300653594771241</v>
      </c>
      <c r="AA577" s="1" t="s">
        <v>1263</v>
      </c>
      <c r="AB577">
        <v>0</v>
      </c>
      <c r="AC577">
        <v>0</v>
      </c>
      <c r="AD577" s="1">
        <v>12.985714285714286</v>
      </c>
      <c r="AE577">
        <v>12</v>
      </c>
      <c r="AF577">
        <f>COUNTIFS(tblStock[sku],tblSKU[[#This Row],[sku]])</f>
        <v>4</v>
      </c>
      <c r="AG577" cm="1">
        <f t="array" ref="AG577">SUM(SUMIFS(tblStock[qty_units],tblStock[sku],tblSKU[[#This Row],[sku]],tblStock[stock_type],{"Saleable","FOC"}))</f>
        <v>1818</v>
      </c>
      <c r="AH577" s="3">
        <f>SUMIFS(tblStock[value_nzd],tblStock[sku],tblSKU[[#This Row],[sku]])</f>
        <v>423430.38</v>
      </c>
      <c r="AI577" s="4">
        <f>SUMIFS(tblStock[cbm],tblStock[sku],tblSKU[[#This Row],[sku]])</f>
        <v>5.1303959999999993</v>
      </c>
      <c r="AJ577" s="1">
        <f>SUMIFS(tblStock[positions],tblStock[sku],tblSKU[[#This Row],[sku]])</f>
        <v>11</v>
      </c>
      <c r="AK577" s="3">
        <f>SUMIFS(tblStock[value_nzd],tblStock[sku],tblSKU[[#This Row],[sku]],tblStock[stock_type],"Expired")</f>
        <v>0</v>
      </c>
      <c r="AL577" s="3" cm="1">
        <f t="array" ref="AL577">SUM(SUMIFS(tblStock[value_nzd],tblStock[sku],tblSKU[[#This Row],[sku]],tblStock[stock_type],{"Saleable","FOC"},tblStock[expiry_date],"&lt;"&amp;EDATE(SnapshotDate,6)))</f>
        <v>11412.59</v>
      </c>
    </row>
    <row r="578" spans="1:38">
      <c r="A578" s="1" t="s">
        <v>1222</v>
      </c>
      <c r="B578" s="1" t="s">
        <v>1223</v>
      </c>
      <c r="C578" s="1" t="s">
        <v>1208</v>
      </c>
      <c r="D578" s="1" t="s">
        <v>1111</v>
      </c>
      <c r="E578" s="1" t="s">
        <v>1209</v>
      </c>
      <c r="F578" s="1" t="s">
        <v>834</v>
      </c>
      <c r="G578">
        <v>10</v>
      </c>
      <c r="H578">
        <v>26.8</v>
      </c>
      <c r="I578">
        <v>23</v>
      </c>
      <c r="J578">
        <v>15.4</v>
      </c>
      <c r="K578">
        <v>9.4900000000000002E-3</v>
      </c>
      <c r="L578">
        <v>2.06</v>
      </c>
      <c r="M578">
        <v>160.1</v>
      </c>
      <c r="N578">
        <v>14</v>
      </c>
      <c r="O578">
        <v>5</v>
      </c>
      <c r="P578">
        <v>70</v>
      </c>
      <c r="Q578">
        <v>92</v>
      </c>
      <c r="R578">
        <v>169.20000000000002</v>
      </c>
      <c r="S578">
        <v>0.6643</v>
      </c>
      <c r="T578">
        <v>0</v>
      </c>
      <c r="U578">
        <v>0</v>
      </c>
      <c r="V578">
        <v>0</v>
      </c>
      <c r="W578" s="1" t="s">
        <v>1260</v>
      </c>
      <c r="X578" s="1" t="s">
        <v>1260</v>
      </c>
      <c r="Y578">
        <v>0</v>
      </c>
      <c r="Z578">
        <v>0</v>
      </c>
      <c r="AA578" s="1" t="s">
        <v>1261</v>
      </c>
      <c r="AB578">
        <v>0</v>
      </c>
      <c r="AC578">
        <v>0</v>
      </c>
      <c r="AD578" s="1"/>
      <c r="AE578">
        <v>1</v>
      </c>
      <c r="AF578">
        <f>COUNTIFS(tblStock[sku],tblSKU[[#This Row],[sku]])</f>
        <v>3</v>
      </c>
      <c r="AG578" cm="1">
        <f t="array" ref="AG578">SUM(SUMIFS(tblStock[qty_units],tblStock[sku],tblSKU[[#This Row],[sku]],tblStock[stock_type],{"Saleable","FOC"}))</f>
        <v>19</v>
      </c>
      <c r="AH578" s="3">
        <f>SUMIFS(tblStock[value_nzd],tblStock[sku],tblSKU[[#This Row],[sku]])</f>
        <v>3041.8999999999996</v>
      </c>
      <c r="AI578" s="4">
        <f>SUMIFS(tblStock[cbm],tblStock[sku],tblSKU[[#This Row],[sku]])</f>
        <v>1.8030999999999998E-2</v>
      </c>
      <c r="AJ578" s="1">
        <f>SUMIFS(tblStock[positions],tblStock[sku],tblSKU[[#This Row],[sku]])</f>
        <v>0</v>
      </c>
      <c r="AK578" s="3">
        <f>SUMIFS(tblStock[value_nzd],tblStock[sku],tblSKU[[#This Row],[sku]],tblStock[stock_type],"Expired")</f>
        <v>0</v>
      </c>
      <c r="AL578" s="3" cm="1">
        <f t="array" ref="AL578">SUM(SUMIFS(tblStock[value_nzd],tblStock[sku],tblSKU[[#This Row],[sku]],tblStock[stock_type],{"Saleable","FOC"},tblStock[expiry_date],"&lt;"&amp;EDATE(SnapshotDate,6)))</f>
        <v>0</v>
      </c>
    </row>
    <row r="579" spans="1:38">
      <c r="A579" s="1" t="s">
        <v>1224</v>
      </c>
      <c r="B579" s="1" t="s">
        <v>1225</v>
      </c>
      <c r="C579" s="1" t="s">
        <v>1208</v>
      </c>
      <c r="D579" s="1" t="s">
        <v>1111</v>
      </c>
      <c r="E579" s="1" t="s">
        <v>1209</v>
      </c>
      <c r="F579" s="1" t="s">
        <v>834</v>
      </c>
      <c r="G579">
        <v>1</v>
      </c>
      <c r="H579">
        <v>33.700000000000003</v>
      </c>
      <c r="I579">
        <v>16.5</v>
      </c>
      <c r="J579">
        <v>13.9</v>
      </c>
      <c r="K579">
        <v>7.7299999999999999E-3</v>
      </c>
      <c r="L579">
        <v>1.01</v>
      </c>
      <c r="M579">
        <v>47.73</v>
      </c>
      <c r="N579">
        <v>18</v>
      </c>
      <c r="O579">
        <v>7</v>
      </c>
      <c r="P579">
        <v>126</v>
      </c>
      <c r="Q579">
        <v>112.3</v>
      </c>
      <c r="R579">
        <v>152.26</v>
      </c>
      <c r="S579">
        <v>0.97397999999999996</v>
      </c>
      <c r="T579">
        <v>4</v>
      </c>
      <c r="U579">
        <v>495</v>
      </c>
      <c r="V579">
        <v>23626.35</v>
      </c>
      <c r="W579" s="1" t="s">
        <v>1262</v>
      </c>
      <c r="X579" s="1" t="s">
        <v>1262</v>
      </c>
      <c r="Y579">
        <v>4.7058823529411764E-2</v>
      </c>
      <c r="Z579">
        <v>0.2310924369747899</v>
      </c>
      <c r="AA579" s="1" t="s">
        <v>1263</v>
      </c>
      <c r="AB579">
        <v>0</v>
      </c>
      <c r="AC579">
        <v>0</v>
      </c>
      <c r="AD579" s="1">
        <v>8.1454545454545446</v>
      </c>
      <c r="AE579">
        <v>2</v>
      </c>
      <c r="AF579">
        <f>COUNTIFS(tblStock[sku],tblSKU[[#This Row],[sku]])</f>
        <v>1</v>
      </c>
      <c r="AG579" cm="1">
        <f t="array" ref="AG579">SUM(SUMIFS(tblStock[qty_units],tblStock[sku],tblSKU[[#This Row],[sku]],tblStock[stock_type],{"Saleable","FOC"}))</f>
        <v>1008</v>
      </c>
      <c r="AH579" s="3">
        <f>SUMIFS(tblStock[value_nzd],tblStock[sku],tblSKU[[#This Row],[sku]])</f>
        <v>48111.839999999997</v>
      </c>
      <c r="AI579" s="4">
        <f>SUMIFS(tblStock[cbm],tblStock[sku],tblSKU[[#This Row],[sku]])</f>
        <v>7.7918399999999997</v>
      </c>
      <c r="AJ579" s="1">
        <f>SUMIFS(tblStock[positions],tblStock[sku],tblSKU[[#This Row],[sku]])</f>
        <v>8</v>
      </c>
      <c r="AK579" s="3">
        <f>SUMIFS(tblStock[value_nzd],tblStock[sku],tblSKU[[#This Row],[sku]],tblStock[stock_type],"Expired")</f>
        <v>0</v>
      </c>
      <c r="AL579" s="3" cm="1">
        <f t="array" ref="AL579">SUM(SUMIFS(tblStock[value_nzd],tblStock[sku],tblSKU[[#This Row],[sku]],tblStock[stock_type],{"Saleable","FOC"},tblStock[expiry_date],"&lt;"&amp;EDATE(SnapshotDate,6)))</f>
        <v>0</v>
      </c>
    </row>
    <row r="580" spans="1:38">
      <c r="A580" s="1" t="s">
        <v>1226</v>
      </c>
      <c r="B580" s="1" t="s">
        <v>1227</v>
      </c>
      <c r="C580" s="1" t="s">
        <v>1208</v>
      </c>
      <c r="D580" s="1" t="s">
        <v>1111</v>
      </c>
      <c r="E580" s="1" t="s">
        <v>1209</v>
      </c>
      <c r="F580" s="1" t="s">
        <v>834</v>
      </c>
      <c r="G580">
        <v>10</v>
      </c>
      <c r="H580">
        <v>23.2</v>
      </c>
      <c r="I580">
        <v>20.7</v>
      </c>
      <c r="J580">
        <v>14.4</v>
      </c>
      <c r="K580">
        <v>6.9199999999999999E-3</v>
      </c>
      <c r="L580">
        <v>1.42</v>
      </c>
      <c r="M580">
        <v>111.26</v>
      </c>
      <c r="N580">
        <v>20</v>
      </c>
      <c r="O580">
        <v>4</v>
      </c>
      <c r="P580">
        <v>80</v>
      </c>
      <c r="Q580">
        <v>72.599999999999994</v>
      </c>
      <c r="R580">
        <v>138.6</v>
      </c>
      <c r="S580">
        <v>0.55359999999999998</v>
      </c>
      <c r="T580">
        <v>6</v>
      </c>
      <c r="U580">
        <v>118</v>
      </c>
      <c r="V580">
        <v>13128.68</v>
      </c>
      <c r="W580" s="1" t="s">
        <v>1262</v>
      </c>
      <c r="X580" s="1" t="s">
        <v>1262</v>
      </c>
      <c r="Y580">
        <v>7.0588235294117646E-2</v>
      </c>
      <c r="Z580">
        <v>8.6764705882352942E-3</v>
      </c>
      <c r="AA580" s="1" t="s">
        <v>1263</v>
      </c>
      <c r="AB580">
        <v>0</v>
      </c>
      <c r="AC580">
        <v>0</v>
      </c>
      <c r="AD580" s="1">
        <v>22.915254237288135</v>
      </c>
      <c r="AE580">
        <v>2</v>
      </c>
      <c r="AF580">
        <f>COUNTIFS(tblStock[sku],tblSKU[[#This Row],[sku]])</f>
        <v>1</v>
      </c>
      <c r="AG580" cm="1">
        <f t="array" ref="AG580">SUM(SUMIFS(tblStock[qty_units],tblStock[sku],tblSKU[[#This Row],[sku]],tblStock[stock_type],{"Saleable","FOC"}))</f>
        <v>676</v>
      </c>
      <c r="AH580" s="3">
        <f>SUMIFS(tblStock[value_nzd],tblStock[sku],tblSKU[[#This Row],[sku]])</f>
        <v>75211.760000000009</v>
      </c>
      <c r="AI580" s="4">
        <f>SUMIFS(tblStock[cbm],tblStock[sku],tblSKU[[#This Row],[sku]])</f>
        <v>0.46779199999999993</v>
      </c>
      <c r="AJ580" s="1">
        <f>SUMIFS(tblStock[positions],tblStock[sku],tblSKU[[#This Row],[sku]])</f>
        <v>1</v>
      </c>
      <c r="AK580" s="3">
        <f>SUMIFS(tblStock[value_nzd],tblStock[sku],tblSKU[[#This Row],[sku]],tblStock[stock_type],"Expired")</f>
        <v>0</v>
      </c>
      <c r="AL580" s="3" cm="1">
        <f t="array" ref="AL580">SUM(SUMIFS(tblStock[value_nzd],tblStock[sku],tblSKU[[#This Row],[sku]],tblStock[stock_type],{"Saleable","FOC"},tblStock[expiry_date],"&lt;"&amp;EDATE(SnapshotDate,6)))</f>
        <v>0</v>
      </c>
    </row>
    <row r="581" spans="1:38">
      <c r="A581" s="1" t="s">
        <v>1228</v>
      </c>
      <c r="B581" s="1" t="s">
        <v>1229</v>
      </c>
      <c r="C581" s="1" t="s">
        <v>1208</v>
      </c>
      <c r="D581" s="1" t="s">
        <v>1111</v>
      </c>
      <c r="E581" s="1" t="s">
        <v>1209</v>
      </c>
      <c r="F581" s="1" t="s">
        <v>1081</v>
      </c>
      <c r="G581">
        <v>1</v>
      </c>
      <c r="H581">
        <v>32.5</v>
      </c>
      <c r="I581">
        <v>18.899999999999999</v>
      </c>
      <c r="J581">
        <v>16.7</v>
      </c>
      <c r="K581">
        <v>1.026E-2</v>
      </c>
      <c r="L581">
        <v>1.9</v>
      </c>
      <c r="M581">
        <v>130.86000000000001</v>
      </c>
      <c r="N581">
        <v>18</v>
      </c>
      <c r="O581">
        <v>8</v>
      </c>
      <c r="P581">
        <v>144</v>
      </c>
      <c r="Q581">
        <v>148.6</v>
      </c>
      <c r="R581">
        <v>298.59999999999997</v>
      </c>
      <c r="S581">
        <v>1.4774400000000001</v>
      </c>
      <c r="T581">
        <v>53</v>
      </c>
      <c r="U581">
        <v>1375</v>
      </c>
      <c r="V581">
        <v>179932.50000000003</v>
      </c>
      <c r="W581" s="1" t="s">
        <v>1258</v>
      </c>
      <c r="X581" s="1" t="s">
        <v>1264</v>
      </c>
      <c r="Y581">
        <v>0.62352941176470589</v>
      </c>
      <c r="Z581">
        <v>0.56168300653594772</v>
      </c>
      <c r="AA581" s="1" t="s">
        <v>1259</v>
      </c>
      <c r="AB581">
        <v>0</v>
      </c>
      <c r="AC581">
        <v>1</v>
      </c>
      <c r="AD581" s="1">
        <v>3.6247272727272728</v>
      </c>
      <c r="AE581">
        <v>12</v>
      </c>
      <c r="AF581">
        <f>COUNTIFS(tblStock[sku],tblSKU[[#This Row],[sku]])</f>
        <v>2</v>
      </c>
      <c r="AG581" cm="1">
        <f t="array" ref="AG581">SUM(SUMIFS(tblStock[qty_units],tblStock[sku],tblSKU[[#This Row],[sku]],tblStock[stock_type],{"Saleable","FOC"}))</f>
        <v>1246</v>
      </c>
      <c r="AH581" s="3">
        <f>SUMIFS(tblStock[value_nzd],tblStock[sku],tblSKU[[#This Row],[sku]])</f>
        <v>163051.56</v>
      </c>
      <c r="AI581" s="4">
        <f>SUMIFS(tblStock[cbm],tblStock[sku],tblSKU[[#This Row],[sku]])</f>
        <v>12.78396</v>
      </c>
      <c r="AJ581" s="1">
        <f>SUMIFS(tblStock[positions],tblStock[sku],tblSKU[[#This Row],[sku]])</f>
        <v>10</v>
      </c>
      <c r="AK581" s="3">
        <f>SUMIFS(tblStock[value_nzd],tblStock[sku],tblSKU[[#This Row],[sku]],tblStock[stock_type],"Expired")</f>
        <v>0</v>
      </c>
      <c r="AL581" s="3" cm="1">
        <f t="array" ref="AL581">SUM(SUMIFS(tblStock[value_nzd],tblStock[sku],tblSKU[[#This Row],[sku]],tblStock[stock_type],{"Saleable","FOC"},tblStock[expiry_date],"&lt;"&amp;EDATE(SnapshotDate,6)))</f>
        <v>0</v>
      </c>
    </row>
    <row r="582" spans="1:38">
      <c r="A582" s="1" t="s">
        <v>1230</v>
      </c>
      <c r="B582" s="1" t="s">
        <v>1231</v>
      </c>
      <c r="C582" s="1" t="s">
        <v>1208</v>
      </c>
      <c r="D582" s="1" t="s">
        <v>1111</v>
      </c>
      <c r="E582" s="1" t="s">
        <v>1209</v>
      </c>
      <c r="F582" s="1" t="s">
        <v>834</v>
      </c>
      <c r="G582">
        <v>10</v>
      </c>
      <c r="H582">
        <v>21.1</v>
      </c>
      <c r="I582">
        <v>15.5</v>
      </c>
      <c r="J582">
        <v>15.1</v>
      </c>
      <c r="K582">
        <v>4.9399999999999999E-3</v>
      </c>
      <c r="L582">
        <v>0.75</v>
      </c>
      <c r="M582">
        <v>292.54000000000002</v>
      </c>
      <c r="N582">
        <v>30</v>
      </c>
      <c r="O582">
        <v>5</v>
      </c>
      <c r="P582">
        <v>150</v>
      </c>
      <c r="Q582">
        <v>90.5</v>
      </c>
      <c r="R582">
        <v>137.5</v>
      </c>
      <c r="S582">
        <v>0.74099999999999999</v>
      </c>
      <c r="T582">
        <v>0</v>
      </c>
      <c r="U582">
        <v>0</v>
      </c>
      <c r="V582">
        <v>0</v>
      </c>
      <c r="W582" s="1" t="s">
        <v>1260</v>
      </c>
      <c r="X582" s="1" t="s">
        <v>1260</v>
      </c>
      <c r="Y582">
        <v>0</v>
      </c>
      <c r="Z582">
        <v>0</v>
      </c>
      <c r="AA582" s="1" t="s">
        <v>1261</v>
      </c>
      <c r="AB582">
        <v>0</v>
      </c>
      <c r="AC582">
        <v>0</v>
      </c>
      <c r="AD582" s="1"/>
      <c r="AE582">
        <v>1</v>
      </c>
      <c r="AF582">
        <f>COUNTIFS(tblStock[sku],tblSKU[[#This Row],[sku]])</f>
        <v>1</v>
      </c>
      <c r="AG582" cm="1">
        <f t="array" ref="AG582">SUM(SUMIFS(tblStock[qty_units],tblStock[sku],tblSKU[[#This Row],[sku]],tblStock[stock_type],{"Saleable","FOC"}))</f>
        <v>10</v>
      </c>
      <c r="AH582" s="3">
        <f>SUMIFS(tblStock[value_nzd],tblStock[sku],tblSKU[[#This Row],[sku]])</f>
        <v>2925.4</v>
      </c>
      <c r="AI582" s="4">
        <f>SUMIFS(tblStock[cbm],tblStock[sku],tblSKU[[#This Row],[sku]])</f>
        <v>4.9399999999999999E-3</v>
      </c>
      <c r="AJ582" s="1">
        <f>SUMIFS(tblStock[positions],tblStock[sku],tblSKU[[#This Row],[sku]])</f>
        <v>0</v>
      </c>
      <c r="AK582" s="3">
        <f>SUMIFS(tblStock[value_nzd],tblStock[sku],tblSKU[[#This Row],[sku]],tblStock[stock_type],"Expired")</f>
        <v>0</v>
      </c>
      <c r="AL582" s="3" cm="1">
        <f t="array" ref="AL582">SUM(SUMIFS(tblStock[value_nzd],tblStock[sku],tblSKU[[#This Row],[sku]],tblStock[stock_type],{"Saleable","FOC"},tblStock[expiry_date],"&lt;"&amp;EDATE(SnapshotDate,6)))</f>
        <v>0</v>
      </c>
    </row>
    <row r="583" spans="1:38">
      <c r="A583" s="1" t="s">
        <v>1232</v>
      </c>
      <c r="B583" s="1" t="s">
        <v>1233</v>
      </c>
      <c r="C583" s="1" t="s">
        <v>1208</v>
      </c>
      <c r="D583" s="1" t="s">
        <v>1111</v>
      </c>
      <c r="E583" s="1" t="s">
        <v>1209</v>
      </c>
      <c r="F583" s="1" t="s">
        <v>834</v>
      </c>
      <c r="G583">
        <v>10</v>
      </c>
      <c r="H583">
        <v>32.700000000000003</v>
      </c>
      <c r="I583">
        <v>15.9</v>
      </c>
      <c r="J583">
        <v>16.600000000000001</v>
      </c>
      <c r="K583">
        <v>8.6300000000000005E-3</v>
      </c>
      <c r="L583">
        <v>1.53</v>
      </c>
      <c r="M583">
        <v>250.14</v>
      </c>
      <c r="N583">
        <v>21</v>
      </c>
      <c r="O583">
        <v>4</v>
      </c>
      <c r="P583">
        <v>84</v>
      </c>
      <c r="Q583">
        <v>81.400000000000006</v>
      </c>
      <c r="R583">
        <v>153.52000000000001</v>
      </c>
      <c r="S583">
        <v>0.72492000000000001</v>
      </c>
      <c r="T583">
        <v>77</v>
      </c>
      <c r="U583">
        <v>2833</v>
      </c>
      <c r="V583">
        <v>708646.62</v>
      </c>
      <c r="W583" s="1" t="s">
        <v>1258</v>
      </c>
      <c r="X583" s="1" t="s">
        <v>1264</v>
      </c>
      <c r="Y583">
        <v>0.90588235294117647</v>
      </c>
      <c r="Z583">
        <v>0.19838935574229691</v>
      </c>
      <c r="AA583" s="1" t="s">
        <v>1259</v>
      </c>
      <c r="AB583">
        <v>0</v>
      </c>
      <c r="AC583">
        <v>1</v>
      </c>
      <c r="AD583" s="1">
        <v>2.9001058948111544</v>
      </c>
      <c r="AE583">
        <v>12</v>
      </c>
      <c r="AF583">
        <f>COUNTIFS(tblStock[sku],tblSKU[[#This Row],[sku]])</f>
        <v>1</v>
      </c>
      <c r="AG583" cm="1">
        <f t="array" ref="AG583">SUM(SUMIFS(tblStock[qty_units],tblStock[sku],tblSKU[[#This Row],[sku]],tblStock[stock_type],{"Saleable","FOC"}))</f>
        <v>2054</v>
      </c>
      <c r="AH583" s="3">
        <f>SUMIFS(tblStock[value_nzd],tblStock[sku],tblSKU[[#This Row],[sku]])</f>
        <v>513787.56</v>
      </c>
      <c r="AI583" s="4">
        <f>SUMIFS(tblStock[cbm],tblStock[sku],tblSKU[[#This Row],[sku]])</f>
        <v>1.7726020000000002</v>
      </c>
      <c r="AJ583" s="1">
        <f>SUMIFS(tblStock[positions],tblStock[sku],tblSKU[[#This Row],[sku]])</f>
        <v>3</v>
      </c>
      <c r="AK583" s="3">
        <f>SUMIFS(tblStock[value_nzd],tblStock[sku],tblSKU[[#This Row],[sku]],tblStock[stock_type],"Expired")</f>
        <v>0</v>
      </c>
      <c r="AL583" s="3" cm="1">
        <f t="array" ref="AL583">SUM(SUMIFS(tblStock[value_nzd],tblStock[sku],tblSKU[[#This Row],[sku]],tblStock[stock_type],{"Saleable","FOC"},tblStock[expiry_date],"&lt;"&amp;EDATE(SnapshotDate,6)))</f>
        <v>0</v>
      </c>
    </row>
    <row r="584" spans="1:38">
      <c r="A584" s="1" t="s">
        <v>1234</v>
      </c>
      <c r="B584" s="1" t="s">
        <v>1235</v>
      </c>
      <c r="C584" s="1" t="s">
        <v>1208</v>
      </c>
      <c r="D584" s="1" t="s">
        <v>1111</v>
      </c>
      <c r="E584" s="1" t="s">
        <v>1209</v>
      </c>
      <c r="F584" s="1" t="s">
        <v>834</v>
      </c>
      <c r="G584">
        <v>5</v>
      </c>
      <c r="H584">
        <v>28.4</v>
      </c>
      <c r="I584">
        <v>22.8</v>
      </c>
      <c r="J584">
        <v>11.4</v>
      </c>
      <c r="K584">
        <v>7.3800000000000003E-3</v>
      </c>
      <c r="L584">
        <v>1.5</v>
      </c>
      <c r="M584">
        <v>129.77000000000001</v>
      </c>
      <c r="N584">
        <v>16</v>
      </c>
      <c r="O584">
        <v>13</v>
      </c>
      <c r="P584">
        <v>208</v>
      </c>
      <c r="Q584">
        <v>163.20000000000002</v>
      </c>
      <c r="R584">
        <v>337</v>
      </c>
      <c r="S584">
        <v>1.53504</v>
      </c>
      <c r="T584">
        <v>3</v>
      </c>
      <c r="U584">
        <v>78</v>
      </c>
      <c r="V584">
        <v>10122.060000000001</v>
      </c>
      <c r="W584" s="1" t="s">
        <v>1262</v>
      </c>
      <c r="X584" s="1" t="s">
        <v>1262</v>
      </c>
      <c r="Y584">
        <v>3.5294117647058823E-2</v>
      </c>
      <c r="Z584">
        <v>4.4117647058823529E-3</v>
      </c>
      <c r="AA584" s="1" t="s">
        <v>1263</v>
      </c>
      <c r="AB584">
        <v>0</v>
      </c>
      <c r="AC584">
        <v>0</v>
      </c>
      <c r="AD584" s="1">
        <v>8.8205128205128212</v>
      </c>
      <c r="AE584">
        <v>2</v>
      </c>
      <c r="AF584">
        <f>COUNTIFS(tblStock[sku],tblSKU[[#This Row],[sku]])</f>
        <v>1</v>
      </c>
      <c r="AG584" cm="1">
        <f t="array" ref="AG584">SUM(SUMIFS(tblStock[qty_units],tblStock[sku],tblSKU[[#This Row],[sku]],tblStock[stock_type],{"Saleable","FOC"}))</f>
        <v>172</v>
      </c>
      <c r="AH584" s="3">
        <f>SUMIFS(tblStock[value_nzd],tblStock[sku],tblSKU[[#This Row],[sku]])</f>
        <v>22320.440000000002</v>
      </c>
      <c r="AI584" s="4">
        <f>SUMIFS(tblStock[cbm],tblStock[sku],tblSKU[[#This Row],[sku]])</f>
        <v>0.25387199999999999</v>
      </c>
      <c r="AJ584" s="1">
        <f>SUMIFS(tblStock[positions],tblStock[sku],tblSKU[[#This Row],[sku]])</f>
        <v>1</v>
      </c>
      <c r="AK584" s="3">
        <f>SUMIFS(tblStock[value_nzd],tblStock[sku],tblSKU[[#This Row],[sku]],tblStock[stock_type],"Expired")</f>
        <v>0</v>
      </c>
      <c r="AL584" s="3" cm="1">
        <f t="array" ref="AL584">SUM(SUMIFS(tblStock[value_nzd],tblStock[sku],tblSKU[[#This Row],[sku]],tblStock[stock_type],{"Saleable","FOC"},tblStock[expiry_date],"&lt;"&amp;EDATE(SnapshotDate,6)))</f>
        <v>0</v>
      </c>
    </row>
    <row r="585" spans="1:38">
      <c r="A585" s="1" t="s">
        <v>1236</v>
      </c>
      <c r="B585" s="1" t="s">
        <v>1237</v>
      </c>
      <c r="C585" s="1" t="s">
        <v>1208</v>
      </c>
      <c r="D585" s="1" t="s">
        <v>1111</v>
      </c>
      <c r="E585" s="1" t="s">
        <v>1209</v>
      </c>
      <c r="F585" s="1" t="s">
        <v>834</v>
      </c>
      <c r="G585">
        <v>1</v>
      </c>
      <c r="H585">
        <v>33.9</v>
      </c>
      <c r="I585">
        <v>18.2</v>
      </c>
      <c r="J585">
        <v>12.7</v>
      </c>
      <c r="K585">
        <v>7.8399999999999997E-3</v>
      </c>
      <c r="L585">
        <v>1.1200000000000001</v>
      </c>
      <c r="M585">
        <v>56.09</v>
      </c>
      <c r="N585">
        <v>15</v>
      </c>
      <c r="O585">
        <v>5</v>
      </c>
      <c r="P585">
        <v>75</v>
      </c>
      <c r="Q585">
        <v>78.5</v>
      </c>
      <c r="R585">
        <v>109.00000000000001</v>
      </c>
      <c r="S585">
        <v>0.58799999999999997</v>
      </c>
      <c r="T585">
        <v>16</v>
      </c>
      <c r="U585">
        <v>329</v>
      </c>
      <c r="V585">
        <v>18453.61</v>
      </c>
      <c r="W585" s="1" t="s">
        <v>1262</v>
      </c>
      <c r="X585" s="1" t="s">
        <v>1262</v>
      </c>
      <c r="Y585">
        <v>0.18823529411764706</v>
      </c>
      <c r="Z585">
        <v>0.25803921568627447</v>
      </c>
      <c r="AA585" s="1" t="s">
        <v>1263</v>
      </c>
      <c r="AB585">
        <v>0</v>
      </c>
      <c r="AC585">
        <v>0</v>
      </c>
      <c r="AD585" s="1">
        <v>25.617021276595743</v>
      </c>
      <c r="AE585">
        <v>2</v>
      </c>
      <c r="AF585">
        <f>COUNTIFS(tblStock[sku],tblSKU[[#This Row],[sku]])</f>
        <v>2</v>
      </c>
      <c r="AG585" cm="1">
        <f t="array" ref="AG585">SUM(SUMIFS(tblStock[qty_units],tblStock[sku],tblSKU[[#This Row],[sku]],tblStock[stock_type],{"Saleable","FOC"}))</f>
        <v>2107</v>
      </c>
      <c r="AH585" s="3">
        <f>SUMIFS(tblStock[value_nzd],tblStock[sku],tblSKU[[#This Row],[sku]])</f>
        <v>120537.41</v>
      </c>
      <c r="AI585" s="4">
        <f>SUMIFS(tblStock[cbm],tblStock[sku],tblSKU[[#This Row],[sku]])</f>
        <v>16.84816</v>
      </c>
      <c r="AJ585" s="1">
        <f>SUMIFS(tblStock[positions],tblStock[sku],tblSKU[[#This Row],[sku]])</f>
        <v>30</v>
      </c>
      <c r="AK585" s="3">
        <f>SUMIFS(tblStock[value_nzd],tblStock[sku],tblSKU[[#This Row],[sku]],tblStock[stock_type],"Expired")</f>
        <v>0</v>
      </c>
      <c r="AL585" s="3" cm="1">
        <f t="array" ref="AL585">SUM(SUMIFS(tblStock[value_nzd],tblStock[sku],tblSKU[[#This Row],[sku]],tblStock[stock_type],{"Saleable","FOC"},tblStock[expiry_date],"&lt;"&amp;EDATE(SnapshotDate,6)))</f>
        <v>0</v>
      </c>
    </row>
    <row r="586" spans="1:38">
      <c r="A586" s="1" t="s">
        <v>1238</v>
      </c>
      <c r="B586" s="1" t="s">
        <v>1239</v>
      </c>
      <c r="C586" s="1" t="s">
        <v>1208</v>
      </c>
      <c r="D586" s="1" t="s">
        <v>1111</v>
      </c>
      <c r="E586" s="1" t="s">
        <v>1209</v>
      </c>
      <c r="F586" s="1" t="s">
        <v>834</v>
      </c>
      <c r="G586">
        <v>10</v>
      </c>
      <c r="H586">
        <v>26.2</v>
      </c>
      <c r="I586">
        <v>18.5</v>
      </c>
      <c r="J586">
        <v>18.8</v>
      </c>
      <c r="K586">
        <v>9.11E-3</v>
      </c>
      <c r="L586">
        <v>1.36</v>
      </c>
      <c r="M586">
        <v>200.23</v>
      </c>
      <c r="N586">
        <v>20</v>
      </c>
      <c r="O586">
        <v>6</v>
      </c>
      <c r="P586">
        <v>120</v>
      </c>
      <c r="Q586">
        <v>127.80000000000001</v>
      </c>
      <c r="R586">
        <v>188.20000000000002</v>
      </c>
      <c r="S586">
        <v>1.0931999999999999</v>
      </c>
      <c r="T586">
        <v>13</v>
      </c>
      <c r="U586">
        <v>159</v>
      </c>
      <c r="V586">
        <v>31836.57</v>
      </c>
      <c r="W586" s="1" t="s">
        <v>1262</v>
      </c>
      <c r="X586" s="1" t="s">
        <v>1258</v>
      </c>
      <c r="Y586">
        <v>0.15294117647058825</v>
      </c>
      <c r="Z586">
        <v>7.7941176470588238E-3</v>
      </c>
      <c r="AA586" s="1" t="s">
        <v>1263</v>
      </c>
      <c r="AB586">
        <v>0</v>
      </c>
      <c r="AC586">
        <v>0</v>
      </c>
      <c r="AD586" s="1">
        <v>10.062893081761006</v>
      </c>
      <c r="AE586">
        <v>4</v>
      </c>
      <c r="AF586">
        <f>COUNTIFS(tblStock[sku],tblSKU[[#This Row],[sku]])</f>
        <v>2</v>
      </c>
      <c r="AG586" cm="1">
        <f t="array" ref="AG586">SUM(SUMIFS(tblStock[qty_units],tblStock[sku],tblSKU[[#This Row],[sku]],tblStock[stock_type],{"Saleable","FOC"}))</f>
        <v>400</v>
      </c>
      <c r="AH586" s="3">
        <f>SUMIFS(tblStock[value_nzd],tblStock[sku],tblSKU[[#This Row],[sku]])</f>
        <v>80092</v>
      </c>
      <c r="AI586" s="4">
        <f>SUMIFS(tblStock[cbm],tblStock[sku],tblSKU[[#This Row],[sku]])</f>
        <v>0.36440000000000006</v>
      </c>
      <c r="AJ586" s="1">
        <f>SUMIFS(tblStock[positions],tblStock[sku],tblSKU[[#This Row],[sku]])</f>
        <v>1</v>
      </c>
      <c r="AK586" s="3">
        <f>SUMIFS(tblStock[value_nzd],tblStock[sku],tblSKU[[#This Row],[sku]],tblStock[stock_type],"Expired")</f>
        <v>0</v>
      </c>
      <c r="AL586" s="3" cm="1">
        <f t="array" ref="AL586">SUM(SUMIFS(tblStock[value_nzd],tblStock[sku],tblSKU[[#This Row],[sku]],tblStock[stock_type],{"Saleable","FOC"},tblStock[expiry_date],"&lt;"&amp;EDATE(SnapshotDate,6)))</f>
        <v>0</v>
      </c>
    </row>
    <row r="587" spans="1:38">
      <c r="A587" s="1" t="s">
        <v>1240</v>
      </c>
      <c r="B587" s="1" t="s">
        <v>1241</v>
      </c>
      <c r="C587" s="1" t="s">
        <v>1208</v>
      </c>
      <c r="D587" s="1" t="s">
        <v>1111</v>
      </c>
      <c r="E587" s="1" t="s">
        <v>1209</v>
      </c>
      <c r="F587" s="1" t="s">
        <v>834</v>
      </c>
      <c r="G587">
        <v>10</v>
      </c>
      <c r="H587">
        <v>24.4</v>
      </c>
      <c r="I587">
        <v>15.5</v>
      </c>
      <c r="J587">
        <v>11</v>
      </c>
      <c r="K587">
        <v>4.1599999999999996E-3</v>
      </c>
      <c r="L587">
        <v>1.04</v>
      </c>
      <c r="M587">
        <v>62.51</v>
      </c>
      <c r="N587">
        <v>28</v>
      </c>
      <c r="O587">
        <v>10</v>
      </c>
      <c r="P587">
        <v>280</v>
      </c>
      <c r="Q587">
        <v>125</v>
      </c>
      <c r="R587">
        <v>316.2</v>
      </c>
      <c r="S587">
        <v>1.1647999999999998</v>
      </c>
      <c r="T587">
        <v>29</v>
      </c>
      <c r="U587">
        <v>636</v>
      </c>
      <c r="V587">
        <v>39756.36</v>
      </c>
      <c r="W587" s="1" t="s">
        <v>1258</v>
      </c>
      <c r="X587" s="1" t="s">
        <v>1258</v>
      </c>
      <c r="Y587">
        <v>0.3411764705882353</v>
      </c>
      <c r="Z587">
        <v>1.3361344537815126E-2</v>
      </c>
      <c r="AA587" s="1" t="s">
        <v>1259</v>
      </c>
      <c r="AB587">
        <v>0</v>
      </c>
      <c r="AC587">
        <v>1</v>
      </c>
      <c r="AD587" s="1">
        <v>6.4276729559748427</v>
      </c>
      <c r="AE587">
        <v>4</v>
      </c>
      <c r="AF587">
        <f>COUNTIFS(tblStock[sku],tblSKU[[#This Row],[sku]])</f>
        <v>2</v>
      </c>
      <c r="AG587" cm="1">
        <f t="array" ref="AG587">SUM(SUMIFS(tblStock[qty_units],tblStock[sku],tblSKU[[#This Row],[sku]],tblStock[stock_type],{"Saleable","FOC"}))</f>
        <v>1022</v>
      </c>
      <c r="AH587" s="3">
        <f>SUMIFS(tblStock[value_nzd],tblStock[sku],tblSKU[[#This Row],[sku]])</f>
        <v>63885.22</v>
      </c>
      <c r="AI587" s="4">
        <f>SUMIFS(tblStock[cbm],tblStock[sku],tblSKU[[#This Row],[sku]])</f>
        <v>0.42515199999999997</v>
      </c>
      <c r="AJ587" s="1">
        <f>SUMIFS(tblStock[positions],tblStock[sku],tblSKU[[#This Row],[sku]])</f>
        <v>0</v>
      </c>
      <c r="AK587" s="3">
        <f>SUMIFS(tblStock[value_nzd],tblStock[sku],tblSKU[[#This Row],[sku]],tblStock[stock_type],"Expired")</f>
        <v>0</v>
      </c>
      <c r="AL587" s="3" cm="1">
        <f t="array" ref="AL587">SUM(SUMIFS(tblStock[value_nzd],tblStock[sku],tblSKU[[#This Row],[sku]],tblStock[stock_type],{"Saleable","FOC"},tblStock[expiry_date],"&lt;"&amp;EDATE(SnapshotDate,6)))</f>
        <v>29004.639999999999</v>
      </c>
    </row>
    <row r="588" spans="1:38">
      <c r="A588" s="1" t="s">
        <v>1242</v>
      </c>
      <c r="B588" s="1" t="s">
        <v>1243</v>
      </c>
      <c r="C588" s="1" t="s">
        <v>1208</v>
      </c>
      <c r="D588" s="1" t="s">
        <v>1111</v>
      </c>
      <c r="E588" s="1" t="s">
        <v>1209</v>
      </c>
      <c r="F588" s="1" t="s">
        <v>834</v>
      </c>
      <c r="G588">
        <v>10</v>
      </c>
      <c r="H588">
        <v>33.1</v>
      </c>
      <c r="I588">
        <v>24</v>
      </c>
      <c r="J588">
        <v>15.3</v>
      </c>
      <c r="K588">
        <v>1.2149999999999999E-2</v>
      </c>
      <c r="L588">
        <v>1.74</v>
      </c>
      <c r="M588">
        <v>42.82</v>
      </c>
      <c r="N588">
        <v>15</v>
      </c>
      <c r="O588">
        <v>7</v>
      </c>
      <c r="P588">
        <v>105</v>
      </c>
      <c r="Q588">
        <v>122.10000000000001</v>
      </c>
      <c r="R588">
        <v>207.7</v>
      </c>
      <c r="S588">
        <v>1.2757499999999999</v>
      </c>
      <c r="T588">
        <v>80</v>
      </c>
      <c r="U588">
        <v>2153</v>
      </c>
      <c r="V588">
        <v>92191.46</v>
      </c>
      <c r="W588" s="1" t="s">
        <v>1264</v>
      </c>
      <c r="X588" s="1" t="s">
        <v>1258</v>
      </c>
      <c r="Y588">
        <v>0.94117647058823528</v>
      </c>
      <c r="Z588">
        <v>0.12061624649859945</v>
      </c>
      <c r="AA588" s="1" t="s">
        <v>1265</v>
      </c>
      <c r="AB588">
        <v>1</v>
      </c>
      <c r="AC588">
        <v>0</v>
      </c>
      <c r="AD588" s="1">
        <v>4.2712494194147697</v>
      </c>
      <c r="AE588">
        <v>4</v>
      </c>
      <c r="AF588">
        <f>COUNTIFS(tblStock[sku],tblSKU[[#This Row],[sku]])</f>
        <v>2</v>
      </c>
      <c r="AG588" cm="1">
        <f t="array" ref="AG588">SUM(SUMIFS(tblStock[qty_units],tblStock[sku],tblSKU[[#This Row],[sku]],tblStock[stock_type],{"Saleable","FOC"}))</f>
        <v>2299</v>
      </c>
      <c r="AH588" s="3">
        <f>SUMIFS(tblStock[value_nzd],tblStock[sku],tblSKU[[#This Row],[sku]])</f>
        <v>98443.18</v>
      </c>
      <c r="AI588" s="4">
        <f>SUMIFS(tblStock[cbm],tblStock[sku],tblSKU[[#This Row],[sku]])</f>
        <v>2.7932849999999996</v>
      </c>
      <c r="AJ588" s="1">
        <f>SUMIFS(tblStock[positions],tblStock[sku],tblSKU[[#This Row],[sku]])</f>
        <v>3</v>
      </c>
      <c r="AK588" s="3">
        <f>SUMIFS(tblStock[value_nzd],tblStock[sku],tblSKU[[#This Row],[sku]],tblStock[stock_type],"Expired")</f>
        <v>0</v>
      </c>
      <c r="AL588" s="3" cm="1">
        <f t="array" ref="AL588">SUM(SUMIFS(tblStock[value_nzd],tblStock[sku],tblSKU[[#This Row],[sku]],tblStock[stock_type],{"Saleable","FOC"},tblStock[expiry_date],"&lt;"&amp;EDATE(SnapshotDate,6)))</f>
        <v>0</v>
      </c>
    </row>
    <row r="589" spans="1:38">
      <c r="A589" s="1" t="s">
        <v>1244</v>
      </c>
      <c r="B589" s="1" t="s">
        <v>1245</v>
      </c>
      <c r="C589" s="1" t="s">
        <v>1208</v>
      </c>
      <c r="D589" s="1" t="s">
        <v>1111</v>
      </c>
      <c r="E589" s="1" t="s">
        <v>1209</v>
      </c>
      <c r="F589" s="1" t="s">
        <v>1081</v>
      </c>
      <c r="G589">
        <v>1</v>
      </c>
      <c r="H589">
        <v>22.6</v>
      </c>
      <c r="I589">
        <v>20.5</v>
      </c>
      <c r="J589">
        <v>13.1</v>
      </c>
      <c r="K589">
        <v>6.0699999999999999E-3</v>
      </c>
      <c r="L589">
        <v>0.97</v>
      </c>
      <c r="M589">
        <v>225.85</v>
      </c>
      <c r="N589">
        <v>20</v>
      </c>
      <c r="O589">
        <v>8</v>
      </c>
      <c r="P589">
        <v>160</v>
      </c>
      <c r="Q589">
        <v>119.8</v>
      </c>
      <c r="R589">
        <v>180.2</v>
      </c>
      <c r="S589">
        <v>0.97119999999999995</v>
      </c>
      <c r="T589">
        <v>14</v>
      </c>
      <c r="U589">
        <v>420</v>
      </c>
      <c r="V589">
        <v>94857</v>
      </c>
      <c r="W589" s="1" t="s">
        <v>1262</v>
      </c>
      <c r="X589" s="1" t="s">
        <v>1258</v>
      </c>
      <c r="Y589">
        <v>0.16470588235294117</v>
      </c>
      <c r="Z589">
        <v>0.15441176470588236</v>
      </c>
      <c r="AA589" s="1" t="s">
        <v>1263</v>
      </c>
      <c r="AB589">
        <v>0</v>
      </c>
      <c r="AC589">
        <v>0</v>
      </c>
      <c r="AD589" s="1">
        <v>12.876190476190477</v>
      </c>
      <c r="AE589">
        <v>4</v>
      </c>
      <c r="AF589">
        <f>COUNTIFS(tblStock[sku],tblSKU[[#This Row],[sku]])</f>
        <v>2</v>
      </c>
      <c r="AG589" cm="1">
        <f t="array" ref="AG589">SUM(SUMIFS(tblStock[qty_units],tblStock[sku],tblSKU[[#This Row],[sku]],tblStock[stock_type],{"Saleable","FOC"}))</f>
        <v>1352</v>
      </c>
      <c r="AH589" s="3">
        <f>SUMIFS(tblStock[value_nzd],tblStock[sku],tblSKU[[#This Row],[sku]])</f>
        <v>311447.15000000002</v>
      </c>
      <c r="AI589" s="4">
        <f>SUMIFS(tblStock[cbm],tblStock[sku],tblSKU[[#This Row],[sku]])</f>
        <v>8.3705300000000005</v>
      </c>
      <c r="AJ589" s="1">
        <f>SUMIFS(tblStock[positions],tblStock[sku],tblSKU[[#This Row],[sku]])</f>
        <v>9</v>
      </c>
      <c r="AK589" s="3">
        <f>SUMIFS(tblStock[value_nzd],tblStock[sku],tblSKU[[#This Row],[sku]],tblStock[stock_type],"Expired")</f>
        <v>0</v>
      </c>
      <c r="AL589" s="3" cm="1">
        <f t="array" ref="AL589">SUM(SUMIFS(tblStock[value_nzd],tblStock[sku],tblSKU[[#This Row],[sku]],tblStock[stock_type],{"Saleable","FOC"},tblStock[expiry_date],"&lt;"&amp;EDATE(SnapshotDate,6)))</f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3B96-6688-4F2F-B1DA-E1F8ACBFAA78}">
  <sheetPr>
    <tabColor theme="2" tint="-0.499984740745262"/>
  </sheetPr>
  <dimension ref="A1:AG1235"/>
  <sheetViews>
    <sheetView workbookViewId="0"/>
  </sheetViews>
  <sheetFormatPr defaultRowHeight="16.5"/>
  <cols>
    <col min="1" max="1" width="8.08203125" bestFit="1" customWidth="1"/>
    <col min="2" max="2" width="8.75" bestFit="1" customWidth="1"/>
    <col min="3" max="3" width="13.08203125" bestFit="1" customWidth="1"/>
    <col min="4" max="4" width="12.25" bestFit="1" customWidth="1"/>
    <col min="5" max="5" width="10.9140625" bestFit="1" customWidth="1"/>
    <col min="6" max="6" width="15.58203125" bestFit="1" customWidth="1"/>
    <col min="7" max="7" width="43.58203125" bestFit="1" customWidth="1"/>
    <col min="8" max="8" width="21.08203125" bestFit="1" customWidth="1"/>
    <col min="9" max="9" width="10.6640625" bestFit="1" customWidth="1"/>
    <col min="10" max="10" width="16" bestFit="1" customWidth="1"/>
    <col min="11" max="11" width="18.58203125" bestFit="1" customWidth="1"/>
    <col min="12" max="12" width="15.5" bestFit="1" customWidth="1"/>
    <col min="13" max="13" width="16.5" bestFit="1" customWidth="1"/>
    <col min="14" max="14" width="15.9140625" bestFit="1" customWidth="1"/>
    <col min="15" max="15" width="16.5" bestFit="1" customWidth="1"/>
    <col min="16" max="16" width="11.75" bestFit="1" customWidth="1"/>
    <col min="17" max="17" width="16.5" bestFit="1" customWidth="1"/>
    <col min="18" max="18" width="14.6640625" bestFit="1" customWidth="1"/>
    <col min="19" max="19" width="4.25" bestFit="1" customWidth="1"/>
    <col min="20" max="20" width="4.58203125" bestFit="1" customWidth="1"/>
    <col min="21" max="21" width="17" bestFit="1" customWidth="1"/>
    <col min="22" max="23" width="17.6640625" bestFit="1" customWidth="1"/>
    <col min="24" max="24" width="12.4140625" bestFit="1" customWidth="1"/>
    <col min="25" max="27" width="11.75" bestFit="1" customWidth="1"/>
    <col min="28" max="28" width="11.5" bestFit="1" customWidth="1"/>
    <col min="29" max="29" width="16.25" bestFit="1" customWidth="1"/>
    <col min="30" max="30" width="11.4140625" bestFit="1" customWidth="1"/>
    <col min="31" max="31" width="10.83203125" bestFit="1" customWidth="1"/>
    <col min="32" max="32" width="11.4140625" bestFit="1" customWidth="1"/>
    <col min="33" max="33" width="18.33203125" bestFit="1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s="1" t="s">
        <v>33</v>
      </c>
      <c r="B2" s="1" t="s">
        <v>2173</v>
      </c>
      <c r="C2" s="2">
        <v>47160</v>
      </c>
      <c r="D2" s="1" t="s">
        <v>34</v>
      </c>
      <c r="E2">
        <v>6128</v>
      </c>
      <c r="F2" s="2">
        <v>46081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>
        <v>120</v>
      </c>
      <c r="M2">
        <v>59.6</v>
      </c>
      <c r="N2">
        <v>35.1</v>
      </c>
      <c r="O2">
        <v>23.8</v>
      </c>
      <c r="P2">
        <v>4.9790000000000001E-2</v>
      </c>
      <c r="Q2">
        <v>8.9700000000000006</v>
      </c>
      <c r="R2">
        <v>13.84</v>
      </c>
      <c r="S2">
        <v>4</v>
      </c>
      <c r="T2">
        <v>6</v>
      </c>
      <c r="U2">
        <v>24</v>
      </c>
      <c r="V2">
        <v>157.80000000000001</v>
      </c>
      <c r="W2">
        <v>240.28000000000003</v>
      </c>
      <c r="X2">
        <v>1.19496</v>
      </c>
      <c r="Y2">
        <v>51.06666666666667</v>
      </c>
      <c r="Z2">
        <v>2.5426093333333335</v>
      </c>
      <c r="AA2">
        <v>2.1277777777777778</v>
      </c>
      <c r="AB2">
        <v>84811.520000000004</v>
      </c>
      <c r="AC2">
        <v>3</v>
      </c>
      <c r="AD2" s="1" t="s">
        <v>40</v>
      </c>
      <c r="AE2">
        <v>3</v>
      </c>
      <c r="AF2">
        <v>0</v>
      </c>
      <c r="AG2">
        <v>35.493421052631582</v>
      </c>
    </row>
    <row r="3" spans="1:33">
      <c r="A3" s="1" t="s">
        <v>41</v>
      </c>
      <c r="B3" s="1" t="s">
        <v>2174</v>
      </c>
      <c r="C3" s="2">
        <v>46805</v>
      </c>
      <c r="D3" s="1" t="s">
        <v>34</v>
      </c>
      <c r="E3">
        <v>299</v>
      </c>
      <c r="F3" s="2">
        <v>46081</v>
      </c>
      <c r="G3" s="1" t="s">
        <v>42</v>
      </c>
      <c r="H3" s="1" t="s">
        <v>43</v>
      </c>
      <c r="I3" s="1" t="s">
        <v>37</v>
      </c>
      <c r="J3" s="1" t="s">
        <v>38</v>
      </c>
      <c r="K3" s="1" t="s">
        <v>39</v>
      </c>
      <c r="L3">
        <v>120</v>
      </c>
      <c r="M3">
        <v>30.5</v>
      </c>
      <c r="N3">
        <v>42.5</v>
      </c>
      <c r="O3">
        <v>25.8</v>
      </c>
      <c r="P3">
        <v>3.3439999999999998E-2</v>
      </c>
      <c r="Q3">
        <v>8.7200000000000006</v>
      </c>
      <c r="R3">
        <v>11.92</v>
      </c>
      <c r="S3">
        <v>6</v>
      </c>
      <c r="T3">
        <v>5</v>
      </c>
      <c r="U3">
        <v>30</v>
      </c>
      <c r="V3">
        <v>144</v>
      </c>
      <c r="W3">
        <v>286.60000000000002</v>
      </c>
      <c r="X3">
        <v>1.0032000000000001</v>
      </c>
      <c r="Y3">
        <v>2.4916666666666667</v>
      </c>
      <c r="Z3">
        <v>8.3321333333333331E-2</v>
      </c>
      <c r="AA3">
        <v>8.3055555555555563E-2</v>
      </c>
      <c r="AB3">
        <v>3564.08</v>
      </c>
      <c r="AC3">
        <v>1</v>
      </c>
      <c r="AD3" s="1" t="s">
        <v>44</v>
      </c>
      <c r="AE3">
        <v>0</v>
      </c>
      <c r="AF3">
        <v>1</v>
      </c>
      <c r="AG3">
        <v>23.815789473684212</v>
      </c>
    </row>
    <row r="4" spans="1:33">
      <c r="A4" s="1" t="s">
        <v>41</v>
      </c>
      <c r="B4" s="1" t="s">
        <v>2175</v>
      </c>
      <c r="C4" s="2">
        <v>46914</v>
      </c>
      <c r="D4" s="1" t="s">
        <v>34</v>
      </c>
      <c r="E4">
        <v>60</v>
      </c>
      <c r="F4" s="2">
        <v>46081</v>
      </c>
      <c r="G4" s="1" t="s">
        <v>42</v>
      </c>
      <c r="H4" s="1" t="s">
        <v>43</v>
      </c>
      <c r="I4" s="1" t="s">
        <v>37</v>
      </c>
      <c r="J4" s="1" t="s">
        <v>38</v>
      </c>
      <c r="K4" s="1" t="s">
        <v>39</v>
      </c>
      <c r="L4">
        <v>120</v>
      </c>
      <c r="M4">
        <v>30.5</v>
      </c>
      <c r="N4">
        <v>42.5</v>
      </c>
      <c r="O4">
        <v>25.8</v>
      </c>
      <c r="P4">
        <v>3.3439999999999998E-2</v>
      </c>
      <c r="Q4">
        <v>8.7200000000000006</v>
      </c>
      <c r="R4">
        <v>11.92</v>
      </c>
      <c r="S4">
        <v>6</v>
      </c>
      <c r="T4">
        <v>5</v>
      </c>
      <c r="U4">
        <v>30</v>
      </c>
      <c r="V4">
        <v>144</v>
      </c>
      <c r="W4">
        <v>286.60000000000002</v>
      </c>
      <c r="X4">
        <v>1.0032000000000001</v>
      </c>
      <c r="Y4">
        <v>0.5</v>
      </c>
      <c r="Z4">
        <v>1.6719999999999999E-2</v>
      </c>
      <c r="AA4">
        <v>1.6666666666666666E-2</v>
      </c>
      <c r="AB4">
        <v>715.2</v>
      </c>
      <c r="AC4">
        <v>1</v>
      </c>
      <c r="AD4" s="1" t="s">
        <v>44</v>
      </c>
      <c r="AE4">
        <v>0</v>
      </c>
      <c r="AF4">
        <v>1</v>
      </c>
      <c r="AG4">
        <v>27.401315789473685</v>
      </c>
    </row>
    <row r="5" spans="1:33">
      <c r="A5" s="1" t="s">
        <v>41</v>
      </c>
      <c r="B5" s="1" t="s">
        <v>2176</v>
      </c>
      <c r="C5" s="2">
        <v>46543</v>
      </c>
      <c r="D5" s="1" t="s">
        <v>45</v>
      </c>
      <c r="E5">
        <v>7</v>
      </c>
      <c r="F5" s="2">
        <v>46081</v>
      </c>
      <c r="G5" s="1" t="s">
        <v>42</v>
      </c>
      <c r="H5" s="1" t="s">
        <v>43</v>
      </c>
      <c r="I5" s="1" t="s">
        <v>37</v>
      </c>
      <c r="J5" s="1" t="s">
        <v>38</v>
      </c>
      <c r="K5" s="1" t="s">
        <v>39</v>
      </c>
      <c r="L5">
        <v>120</v>
      </c>
      <c r="M5">
        <v>30.5</v>
      </c>
      <c r="N5">
        <v>42.5</v>
      </c>
      <c r="O5">
        <v>25.8</v>
      </c>
      <c r="P5">
        <v>3.3439999999999998E-2</v>
      </c>
      <c r="Q5">
        <v>8.7200000000000006</v>
      </c>
      <c r="R5">
        <v>11.92</v>
      </c>
      <c r="S5">
        <v>6</v>
      </c>
      <c r="T5">
        <v>5</v>
      </c>
      <c r="U5">
        <v>30</v>
      </c>
      <c r="V5">
        <v>144</v>
      </c>
      <c r="W5">
        <v>286.60000000000002</v>
      </c>
      <c r="X5">
        <v>1.0032000000000001</v>
      </c>
      <c r="Y5">
        <v>5.8333333333333334E-2</v>
      </c>
      <c r="Z5">
        <v>1.9506666666666665E-3</v>
      </c>
      <c r="AA5">
        <v>1.9444444444444444E-3</v>
      </c>
      <c r="AB5">
        <v>83.44</v>
      </c>
      <c r="AC5">
        <v>1</v>
      </c>
      <c r="AD5" s="1" t="s">
        <v>44</v>
      </c>
      <c r="AE5">
        <v>0</v>
      </c>
      <c r="AF5">
        <v>1</v>
      </c>
      <c r="AG5">
        <v>15.197368421052632</v>
      </c>
    </row>
    <row r="6" spans="1:33">
      <c r="A6" s="1" t="s">
        <v>46</v>
      </c>
      <c r="B6" s="1" t="s">
        <v>2177</v>
      </c>
      <c r="C6" s="2">
        <v>46195</v>
      </c>
      <c r="D6" s="1" t="s">
        <v>34</v>
      </c>
      <c r="E6">
        <v>1550</v>
      </c>
      <c r="F6" s="2">
        <v>46081</v>
      </c>
      <c r="G6" s="1" t="s">
        <v>47</v>
      </c>
      <c r="H6" s="1" t="s">
        <v>48</v>
      </c>
      <c r="I6" s="1" t="s">
        <v>37</v>
      </c>
      <c r="J6" s="1" t="s">
        <v>38</v>
      </c>
      <c r="K6" s="1" t="s">
        <v>39</v>
      </c>
      <c r="L6">
        <v>240</v>
      </c>
      <c r="M6">
        <v>47.7</v>
      </c>
      <c r="N6">
        <v>25.2</v>
      </c>
      <c r="O6">
        <v>17.2</v>
      </c>
      <c r="P6">
        <v>2.068E-2</v>
      </c>
      <c r="Q6">
        <v>5.45</v>
      </c>
      <c r="R6">
        <v>5.93</v>
      </c>
      <c r="S6">
        <v>8</v>
      </c>
      <c r="T6">
        <v>5</v>
      </c>
      <c r="U6">
        <v>40</v>
      </c>
      <c r="V6">
        <v>101</v>
      </c>
      <c r="W6">
        <v>243</v>
      </c>
      <c r="X6">
        <v>0.82720000000000005</v>
      </c>
      <c r="Y6">
        <v>6.458333333333333</v>
      </c>
      <c r="Z6">
        <v>0.13355833333333333</v>
      </c>
      <c r="AA6">
        <v>0.16145833333333331</v>
      </c>
      <c r="AB6">
        <v>9191.5</v>
      </c>
      <c r="AC6">
        <v>1</v>
      </c>
      <c r="AD6" s="1" t="s">
        <v>44</v>
      </c>
      <c r="AE6">
        <v>0</v>
      </c>
      <c r="AF6">
        <v>1</v>
      </c>
      <c r="AG6">
        <v>3.75</v>
      </c>
    </row>
    <row r="7" spans="1:33">
      <c r="A7" s="1" t="s">
        <v>46</v>
      </c>
      <c r="B7" s="1" t="s">
        <v>2178</v>
      </c>
      <c r="C7" s="2">
        <v>46264</v>
      </c>
      <c r="D7" s="1" t="s">
        <v>49</v>
      </c>
      <c r="E7">
        <v>77</v>
      </c>
      <c r="F7" s="2">
        <v>46081</v>
      </c>
      <c r="G7" s="1" t="s">
        <v>47</v>
      </c>
      <c r="H7" s="1" t="s">
        <v>48</v>
      </c>
      <c r="I7" s="1" t="s">
        <v>37</v>
      </c>
      <c r="J7" s="1" t="s">
        <v>38</v>
      </c>
      <c r="K7" s="1" t="s">
        <v>39</v>
      </c>
      <c r="L7">
        <v>240</v>
      </c>
      <c r="M7">
        <v>47.7</v>
      </c>
      <c r="N7">
        <v>25.2</v>
      </c>
      <c r="O7">
        <v>17.2</v>
      </c>
      <c r="P7">
        <v>2.068E-2</v>
      </c>
      <c r="Q7">
        <v>5.45</v>
      </c>
      <c r="R7">
        <v>5.93</v>
      </c>
      <c r="S7">
        <v>8</v>
      </c>
      <c r="T7">
        <v>5</v>
      </c>
      <c r="U7">
        <v>40</v>
      </c>
      <c r="V7">
        <v>101</v>
      </c>
      <c r="W7">
        <v>243</v>
      </c>
      <c r="X7">
        <v>0.82720000000000005</v>
      </c>
      <c r="Y7">
        <v>0.32083333333333336</v>
      </c>
      <c r="Z7">
        <v>6.6348333333333337E-3</v>
      </c>
      <c r="AA7">
        <v>8.0208333333333347E-3</v>
      </c>
      <c r="AB7">
        <v>456.60999999999996</v>
      </c>
      <c r="AC7">
        <v>1</v>
      </c>
      <c r="AD7" s="1" t="s">
        <v>44</v>
      </c>
      <c r="AE7">
        <v>0</v>
      </c>
      <c r="AF7">
        <v>1</v>
      </c>
      <c r="AG7">
        <v>6.0197368421052637</v>
      </c>
    </row>
    <row r="8" spans="1:33">
      <c r="A8" s="1" t="s">
        <v>50</v>
      </c>
      <c r="B8" s="1" t="s">
        <v>2179</v>
      </c>
      <c r="C8" s="2">
        <v>47094</v>
      </c>
      <c r="D8" s="1" t="s">
        <v>34</v>
      </c>
      <c r="E8">
        <v>5039</v>
      </c>
      <c r="F8" s="2">
        <v>46081</v>
      </c>
      <c r="G8" s="1" t="s">
        <v>51</v>
      </c>
      <c r="H8" s="1" t="s">
        <v>52</v>
      </c>
      <c r="I8" s="1" t="s">
        <v>37</v>
      </c>
      <c r="J8" s="1" t="s">
        <v>38</v>
      </c>
      <c r="K8" s="1" t="s">
        <v>39</v>
      </c>
      <c r="L8">
        <v>100</v>
      </c>
      <c r="M8">
        <v>33.5</v>
      </c>
      <c r="N8">
        <v>38.9</v>
      </c>
      <c r="O8">
        <v>32.799999999999997</v>
      </c>
      <c r="P8">
        <v>4.274E-2</v>
      </c>
      <c r="Q8">
        <v>9.76</v>
      </c>
      <c r="R8">
        <v>19.809999999999999</v>
      </c>
      <c r="S8">
        <v>4</v>
      </c>
      <c r="T8">
        <v>2</v>
      </c>
      <c r="U8">
        <v>8</v>
      </c>
      <c r="V8">
        <v>80.599999999999994</v>
      </c>
      <c r="W8">
        <v>103.08</v>
      </c>
      <c r="X8">
        <v>0.34192</v>
      </c>
      <c r="Y8">
        <v>50.39</v>
      </c>
      <c r="Z8">
        <v>2.1536686</v>
      </c>
      <c r="AA8">
        <v>6.2987500000000001</v>
      </c>
      <c r="AB8">
        <v>99822.59</v>
      </c>
      <c r="AC8">
        <v>7</v>
      </c>
      <c r="AD8" s="1" t="s">
        <v>40</v>
      </c>
      <c r="AE8">
        <v>7</v>
      </c>
      <c r="AF8">
        <v>0</v>
      </c>
      <c r="AG8">
        <v>33.32236842105263</v>
      </c>
    </row>
    <row r="9" spans="1:33">
      <c r="A9" s="1" t="s">
        <v>50</v>
      </c>
      <c r="B9" s="1" t="s">
        <v>2180</v>
      </c>
      <c r="C9" s="2">
        <v>46187</v>
      </c>
      <c r="D9" s="1" t="s">
        <v>34</v>
      </c>
      <c r="E9">
        <v>4298</v>
      </c>
      <c r="F9" s="2">
        <v>46081</v>
      </c>
      <c r="G9" s="1" t="s">
        <v>51</v>
      </c>
      <c r="H9" s="1" t="s">
        <v>52</v>
      </c>
      <c r="I9" s="1" t="s">
        <v>37</v>
      </c>
      <c r="J9" s="1" t="s">
        <v>38</v>
      </c>
      <c r="K9" s="1" t="s">
        <v>39</v>
      </c>
      <c r="L9">
        <v>100</v>
      </c>
      <c r="M9">
        <v>33.5</v>
      </c>
      <c r="N9">
        <v>38.9</v>
      </c>
      <c r="O9">
        <v>32.799999999999997</v>
      </c>
      <c r="P9">
        <v>4.274E-2</v>
      </c>
      <c r="Q9">
        <v>9.76</v>
      </c>
      <c r="R9">
        <v>19.809999999999999</v>
      </c>
      <c r="S9">
        <v>4</v>
      </c>
      <c r="T9">
        <v>2</v>
      </c>
      <c r="U9">
        <v>8</v>
      </c>
      <c r="V9">
        <v>80.599999999999994</v>
      </c>
      <c r="W9">
        <v>103.08</v>
      </c>
      <c r="X9">
        <v>0.34192</v>
      </c>
      <c r="Y9">
        <v>42.98</v>
      </c>
      <c r="Z9">
        <v>1.8369651999999999</v>
      </c>
      <c r="AA9">
        <v>5.3724999999999996</v>
      </c>
      <c r="AB9">
        <v>85143.37999999999</v>
      </c>
      <c r="AC9">
        <v>6</v>
      </c>
      <c r="AD9" s="1" t="s">
        <v>40</v>
      </c>
      <c r="AE9">
        <v>6</v>
      </c>
      <c r="AF9">
        <v>0</v>
      </c>
      <c r="AG9">
        <v>3.486842105263158</v>
      </c>
    </row>
    <row r="10" spans="1:33">
      <c r="A10" s="1" t="s">
        <v>53</v>
      </c>
      <c r="B10" s="1" t="s">
        <v>2181</v>
      </c>
      <c r="C10" s="2">
        <v>46244</v>
      </c>
      <c r="D10" s="1" t="s">
        <v>34</v>
      </c>
      <c r="E10">
        <v>1</v>
      </c>
      <c r="F10" s="2">
        <v>46081</v>
      </c>
      <c r="G10" s="1" t="s">
        <v>54</v>
      </c>
      <c r="H10" s="1" t="s">
        <v>48</v>
      </c>
      <c r="I10" s="1" t="s">
        <v>37</v>
      </c>
      <c r="J10" s="1" t="s">
        <v>38</v>
      </c>
      <c r="K10" s="1" t="s">
        <v>39</v>
      </c>
      <c r="L10">
        <v>240</v>
      </c>
      <c r="M10">
        <v>42.5</v>
      </c>
      <c r="N10">
        <v>32.1</v>
      </c>
      <c r="O10">
        <v>33.200000000000003</v>
      </c>
      <c r="P10">
        <v>4.5289999999999997E-2</v>
      </c>
      <c r="Q10">
        <v>10.17</v>
      </c>
      <c r="R10">
        <v>4.58</v>
      </c>
      <c r="S10">
        <v>6</v>
      </c>
      <c r="T10">
        <v>2</v>
      </c>
      <c r="U10">
        <v>12</v>
      </c>
      <c r="V10">
        <v>81.400000000000006</v>
      </c>
      <c r="W10">
        <v>147.04</v>
      </c>
      <c r="X10">
        <v>0.54347999999999996</v>
      </c>
      <c r="Y10">
        <v>4.1666666666666666E-3</v>
      </c>
      <c r="Z10">
        <v>1.8870833333333332E-4</v>
      </c>
      <c r="AA10">
        <v>3.4722222222222224E-4</v>
      </c>
      <c r="AB10">
        <v>4.58</v>
      </c>
      <c r="AC10">
        <v>1</v>
      </c>
      <c r="AD10" s="1" t="s">
        <v>44</v>
      </c>
      <c r="AE10">
        <v>0</v>
      </c>
      <c r="AF10">
        <v>1</v>
      </c>
      <c r="AG10">
        <v>5.3618421052631584</v>
      </c>
    </row>
    <row r="11" spans="1:33">
      <c r="A11" s="1" t="s">
        <v>53</v>
      </c>
      <c r="B11" s="1" t="s">
        <v>2182</v>
      </c>
      <c r="C11" s="2">
        <v>46290</v>
      </c>
      <c r="D11" s="1" t="s">
        <v>34</v>
      </c>
      <c r="E11">
        <v>3</v>
      </c>
      <c r="F11" s="2">
        <v>46081</v>
      </c>
      <c r="G11" s="1" t="s">
        <v>54</v>
      </c>
      <c r="H11" s="1" t="s">
        <v>48</v>
      </c>
      <c r="I11" s="1" t="s">
        <v>37</v>
      </c>
      <c r="J11" s="1" t="s">
        <v>38</v>
      </c>
      <c r="K11" s="1" t="s">
        <v>39</v>
      </c>
      <c r="L11">
        <v>240</v>
      </c>
      <c r="M11">
        <v>42.5</v>
      </c>
      <c r="N11">
        <v>32.1</v>
      </c>
      <c r="O11">
        <v>33.200000000000003</v>
      </c>
      <c r="P11">
        <v>4.5289999999999997E-2</v>
      </c>
      <c r="Q11">
        <v>10.17</v>
      </c>
      <c r="R11">
        <v>4.58</v>
      </c>
      <c r="S11">
        <v>6</v>
      </c>
      <c r="T11">
        <v>2</v>
      </c>
      <c r="U11">
        <v>12</v>
      </c>
      <c r="V11">
        <v>81.400000000000006</v>
      </c>
      <c r="W11">
        <v>147.04</v>
      </c>
      <c r="X11">
        <v>0.54347999999999996</v>
      </c>
      <c r="Y11">
        <v>1.2500000000000001E-2</v>
      </c>
      <c r="Z11">
        <v>5.66125E-4</v>
      </c>
      <c r="AA11">
        <v>1.0416666666666667E-3</v>
      </c>
      <c r="AB11">
        <v>13.74</v>
      </c>
      <c r="AC11">
        <v>1</v>
      </c>
      <c r="AD11" s="1" t="s">
        <v>44</v>
      </c>
      <c r="AE11">
        <v>0</v>
      </c>
      <c r="AF11">
        <v>1</v>
      </c>
      <c r="AG11">
        <v>6.875</v>
      </c>
    </row>
    <row r="12" spans="1:33">
      <c r="A12" s="1" t="s">
        <v>53</v>
      </c>
      <c r="B12" s="1" t="s">
        <v>2183</v>
      </c>
      <c r="C12" s="2">
        <v>46919</v>
      </c>
      <c r="D12" s="1" t="s">
        <v>34</v>
      </c>
      <c r="E12">
        <v>33</v>
      </c>
      <c r="F12" s="2">
        <v>46081</v>
      </c>
      <c r="G12" s="1" t="s">
        <v>54</v>
      </c>
      <c r="H12" s="1" t="s">
        <v>48</v>
      </c>
      <c r="I12" s="1" t="s">
        <v>37</v>
      </c>
      <c r="J12" s="1" t="s">
        <v>38</v>
      </c>
      <c r="K12" s="1" t="s">
        <v>39</v>
      </c>
      <c r="L12">
        <v>240</v>
      </c>
      <c r="M12">
        <v>42.5</v>
      </c>
      <c r="N12">
        <v>32.1</v>
      </c>
      <c r="O12">
        <v>33.200000000000003</v>
      </c>
      <c r="P12">
        <v>4.5289999999999997E-2</v>
      </c>
      <c r="Q12">
        <v>10.17</v>
      </c>
      <c r="R12">
        <v>4.58</v>
      </c>
      <c r="S12">
        <v>6</v>
      </c>
      <c r="T12">
        <v>2</v>
      </c>
      <c r="U12">
        <v>12</v>
      </c>
      <c r="V12">
        <v>81.400000000000006</v>
      </c>
      <c r="W12">
        <v>147.04</v>
      </c>
      <c r="X12">
        <v>0.54347999999999996</v>
      </c>
      <c r="Y12">
        <v>0.13750000000000001</v>
      </c>
      <c r="Z12">
        <v>6.2273750000000003E-3</v>
      </c>
      <c r="AA12">
        <v>1.1458333333333334E-2</v>
      </c>
      <c r="AB12">
        <v>151.14000000000001</v>
      </c>
      <c r="AC12">
        <v>1</v>
      </c>
      <c r="AD12" s="1" t="s">
        <v>44</v>
      </c>
      <c r="AE12">
        <v>0</v>
      </c>
      <c r="AF12">
        <v>1</v>
      </c>
      <c r="AG12">
        <v>27.565789473684212</v>
      </c>
    </row>
    <row r="13" spans="1:33">
      <c r="A13" s="1" t="s">
        <v>53</v>
      </c>
      <c r="B13" s="1" t="s">
        <v>2184</v>
      </c>
      <c r="C13" s="2">
        <v>46312</v>
      </c>
      <c r="D13" s="1" t="s">
        <v>49</v>
      </c>
      <c r="E13">
        <v>1</v>
      </c>
      <c r="F13" s="2">
        <v>46081</v>
      </c>
      <c r="G13" s="1" t="s">
        <v>54</v>
      </c>
      <c r="H13" s="1" t="s">
        <v>48</v>
      </c>
      <c r="I13" s="1" t="s">
        <v>37</v>
      </c>
      <c r="J13" s="1" t="s">
        <v>38</v>
      </c>
      <c r="K13" s="1" t="s">
        <v>39</v>
      </c>
      <c r="L13">
        <v>240</v>
      </c>
      <c r="M13">
        <v>42.5</v>
      </c>
      <c r="N13">
        <v>32.1</v>
      </c>
      <c r="O13">
        <v>33.200000000000003</v>
      </c>
      <c r="P13">
        <v>4.5289999999999997E-2</v>
      </c>
      <c r="Q13">
        <v>10.17</v>
      </c>
      <c r="R13">
        <v>4.58</v>
      </c>
      <c r="S13">
        <v>6</v>
      </c>
      <c r="T13">
        <v>2</v>
      </c>
      <c r="U13">
        <v>12</v>
      </c>
      <c r="V13">
        <v>81.400000000000006</v>
      </c>
      <c r="W13">
        <v>147.04</v>
      </c>
      <c r="X13">
        <v>0.54347999999999996</v>
      </c>
      <c r="Y13">
        <v>4.1666666666666666E-3</v>
      </c>
      <c r="Z13">
        <v>1.8870833333333332E-4</v>
      </c>
      <c r="AA13">
        <v>3.4722222222222224E-4</v>
      </c>
      <c r="AB13">
        <v>4.58</v>
      </c>
      <c r="AC13">
        <v>1</v>
      </c>
      <c r="AD13" s="1" t="s">
        <v>44</v>
      </c>
      <c r="AE13">
        <v>0</v>
      </c>
      <c r="AF13">
        <v>1</v>
      </c>
      <c r="AG13">
        <v>7.5986842105263159</v>
      </c>
    </row>
    <row r="14" spans="1:33">
      <c r="A14" s="1" t="s">
        <v>55</v>
      </c>
      <c r="B14" s="1" t="s">
        <v>2185</v>
      </c>
      <c r="C14" s="2">
        <v>46188</v>
      </c>
      <c r="D14" s="1" t="s">
        <v>34</v>
      </c>
      <c r="E14">
        <v>233</v>
      </c>
      <c r="F14" s="2">
        <v>46081</v>
      </c>
      <c r="G14" s="1" t="s">
        <v>56</v>
      </c>
      <c r="H14" s="1" t="s">
        <v>36</v>
      </c>
      <c r="I14" s="1" t="s">
        <v>37</v>
      </c>
      <c r="J14" s="1" t="s">
        <v>38</v>
      </c>
      <c r="K14" s="1" t="s">
        <v>39</v>
      </c>
      <c r="L14">
        <v>240</v>
      </c>
      <c r="M14">
        <v>33.799999999999997</v>
      </c>
      <c r="N14">
        <v>35.200000000000003</v>
      </c>
      <c r="O14">
        <v>29.2</v>
      </c>
      <c r="P14">
        <v>3.474E-2</v>
      </c>
      <c r="Q14">
        <v>7.99</v>
      </c>
      <c r="R14">
        <v>6.36</v>
      </c>
      <c r="S14">
        <v>6</v>
      </c>
      <c r="T14">
        <v>5</v>
      </c>
      <c r="U14">
        <v>30</v>
      </c>
      <c r="V14">
        <v>161</v>
      </c>
      <c r="W14">
        <v>264.70000000000005</v>
      </c>
      <c r="X14">
        <v>1.0422</v>
      </c>
      <c r="Y14">
        <v>0.97083333333333333</v>
      </c>
      <c r="Z14">
        <v>3.372675E-2</v>
      </c>
      <c r="AA14">
        <v>3.2361111111111111E-2</v>
      </c>
      <c r="AB14">
        <v>1481.88</v>
      </c>
      <c r="AC14">
        <v>1</v>
      </c>
      <c r="AD14" s="1" t="s">
        <v>44</v>
      </c>
      <c r="AE14">
        <v>0</v>
      </c>
      <c r="AF14">
        <v>1</v>
      </c>
      <c r="AG14">
        <v>3.5197368421052633</v>
      </c>
    </row>
    <row r="15" spans="1:33">
      <c r="A15" s="1" t="s">
        <v>55</v>
      </c>
      <c r="B15" s="1" t="s">
        <v>2186</v>
      </c>
      <c r="C15" s="2">
        <v>46706</v>
      </c>
      <c r="D15" s="1" t="s">
        <v>34</v>
      </c>
      <c r="E15">
        <v>8</v>
      </c>
      <c r="F15" s="2">
        <v>46081</v>
      </c>
      <c r="G15" s="1" t="s">
        <v>56</v>
      </c>
      <c r="H15" s="1" t="s">
        <v>36</v>
      </c>
      <c r="I15" s="1" t="s">
        <v>37</v>
      </c>
      <c r="J15" s="1" t="s">
        <v>38</v>
      </c>
      <c r="K15" s="1" t="s">
        <v>39</v>
      </c>
      <c r="L15">
        <v>240</v>
      </c>
      <c r="M15">
        <v>33.799999999999997</v>
      </c>
      <c r="N15">
        <v>35.200000000000003</v>
      </c>
      <c r="O15">
        <v>29.2</v>
      </c>
      <c r="P15">
        <v>3.474E-2</v>
      </c>
      <c r="Q15">
        <v>7.99</v>
      </c>
      <c r="R15">
        <v>6.36</v>
      </c>
      <c r="S15">
        <v>6</v>
      </c>
      <c r="T15">
        <v>5</v>
      </c>
      <c r="U15">
        <v>30</v>
      </c>
      <c r="V15">
        <v>161</v>
      </c>
      <c r="W15">
        <v>264.70000000000005</v>
      </c>
      <c r="X15">
        <v>1.0422</v>
      </c>
      <c r="Y15">
        <v>3.3333333333333333E-2</v>
      </c>
      <c r="Z15">
        <v>1.158E-3</v>
      </c>
      <c r="AA15">
        <v>1.1111111111111111E-3</v>
      </c>
      <c r="AB15">
        <v>50.88</v>
      </c>
      <c r="AC15">
        <v>1</v>
      </c>
      <c r="AD15" s="1" t="s">
        <v>44</v>
      </c>
      <c r="AE15">
        <v>0</v>
      </c>
      <c r="AF15">
        <v>1</v>
      </c>
      <c r="AG15">
        <v>20.559210526315791</v>
      </c>
    </row>
    <row r="16" spans="1:33">
      <c r="A16" s="1" t="s">
        <v>57</v>
      </c>
      <c r="B16" s="1" t="s">
        <v>2187</v>
      </c>
      <c r="C16" s="2">
        <v>46851</v>
      </c>
      <c r="D16" s="1" t="s">
        <v>34</v>
      </c>
      <c r="E16">
        <v>4768</v>
      </c>
      <c r="F16" s="2">
        <v>46081</v>
      </c>
      <c r="G16" s="1" t="s">
        <v>58</v>
      </c>
      <c r="H16" s="1" t="s">
        <v>48</v>
      </c>
      <c r="I16" s="1" t="s">
        <v>37</v>
      </c>
      <c r="J16" s="1" t="s">
        <v>38</v>
      </c>
      <c r="K16" s="1" t="s">
        <v>39</v>
      </c>
      <c r="L16">
        <v>60</v>
      </c>
      <c r="M16">
        <v>39.6</v>
      </c>
      <c r="N16">
        <v>36.299999999999997</v>
      </c>
      <c r="O16">
        <v>22.8</v>
      </c>
      <c r="P16">
        <v>3.2770000000000001E-2</v>
      </c>
      <c r="Q16">
        <v>5.82</v>
      </c>
      <c r="R16">
        <v>21.36</v>
      </c>
      <c r="S16">
        <v>5</v>
      </c>
      <c r="T16">
        <v>4</v>
      </c>
      <c r="U16">
        <v>20</v>
      </c>
      <c r="V16">
        <v>106.2</v>
      </c>
      <c r="W16">
        <v>141.4</v>
      </c>
      <c r="X16">
        <v>0.65539999999999998</v>
      </c>
      <c r="Y16">
        <v>79.466666666666669</v>
      </c>
      <c r="Z16">
        <v>2.6041226666666666</v>
      </c>
      <c r="AA16">
        <v>3.9733333333333336</v>
      </c>
      <c r="AB16">
        <v>101844.48</v>
      </c>
      <c r="AC16">
        <v>4</v>
      </c>
      <c r="AD16" s="1" t="s">
        <v>40</v>
      </c>
      <c r="AE16">
        <v>4</v>
      </c>
      <c r="AF16">
        <v>0</v>
      </c>
      <c r="AG16">
        <v>25.328947368421055</v>
      </c>
    </row>
    <row r="17" spans="1:33">
      <c r="A17" s="1" t="s">
        <v>59</v>
      </c>
      <c r="B17" s="1" t="s">
        <v>2188</v>
      </c>
      <c r="C17" s="2">
        <v>46680</v>
      </c>
      <c r="D17" s="1" t="s">
        <v>34</v>
      </c>
      <c r="E17">
        <v>484</v>
      </c>
      <c r="F17" s="2">
        <v>46081</v>
      </c>
      <c r="G17" s="1" t="s">
        <v>60</v>
      </c>
      <c r="H17" s="1" t="s">
        <v>43</v>
      </c>
      <c r="I17" s="1" t="s">
        <v>37</v>
      </c>
      <c r="J17" s="1" t="s">
        <v>38</v>
      </c>
      <c r="K17" s="1" t="s">
        <v>39</v>
      </c>
      <c r="L17">
        <v>180</v>
      </c>
      <c r="M17">
        <v>45.4</v>
      </c>
      <c r="N17">
        <v>42.7</v>
      </c>
      <c r="O17">
        <v>32.1</v>
      </c>
      <c r="P17">
        <v>6.2230000000000001E-2</v>
      </c>
      <c r="Q17">
        <v>10.24</v>
      </c>
      <c r="R17">
        <v>3.96</v>
      </c>
      <c r="S17">
        <v>4</v>
      </c>
      <c r="T17">
        <v>4</v>
      </c>
      <c r="U17">
        <v>16</v>
      </c>
      <c r="V17">
        <v>143.4</v>
      </c>
      <c r="W17">
        <v>188.84</v>
      </c>
      <c r="X17">
        <v>0.99568000000000001</v>
      </c>
      <c r="Y17">
        <v>2.6888888888888891</v>
      </c>
      <c r="Z17">
        <v>0.16732955555555556</v>
      </c>
      <c r="AA17">
        <v>0.16805555555555557</v>
      </c>
      <c r="AB17">
        <v>1916.6399999999999</v>
      </c>
      <c r="AC17">
        <v>1</v>
      </c>
      <c r="AD17" s="1" t="s">
        <v>44</v>
      </c>
      <c r="AE17">
        <v>0</v>
      </c>
      <c r="AF17">
        <v>1</v>
      </c>
      <c r="AG17">
        <v>19.703947368421055</v>
      </c>
    </row>
    <row r="18" spans="1:33">
      <c r="A18" s="1" t="s">
        <v>59</v>
      </c>
      <c r="B18" s="1" t="s">
        <v>2189</v>
      </c>
      <c r="C18" s="2">
        <v>46271</v>
      </c>
      <c r="D18" s="1" t="s">
        <v>34</v>
      </c>
      <c r="E18">
        <v>55</v>
      </c>
      <c r="F18" s="2">
        <v>46081</v>
      </c>
      <c r="G18" s="1" t="s">
        <v>60</v>
      </c>
      <c r="H18" s="1" t="s">
        <v>43</v>
      </c>
      <c r="I18" s="1" t="s">
        <v>37</v>
      </c>
      <c r="J18" s="1" t="s">
        <v>38</v>
      </c>
      <c r="K18" s="1" t="s">
        <v>39</v>
      </c>
      <c r="L18">
        <v>180</v>
      </c>
      <c r="M18">
        <v>45.4</v>
      </c>
      <c r="N18">
        <v>42.7</v>
      </c>
      <c r="O18">
        <v>32.1</v>
      </c>
      <c r="P18">
        <v>6.2230000000000001E-2</v>
      </c>
      <c r="Q18">
        <v>10.24</v>
      </c>
      <c r="R18">
        <v>3.96</v>
      </c>
      <c r="S18">
        <v>4</v>
      </c>
      <c r="T18">
        <v>4</v>
      </c>
      <c r="U18">
        <v>16</v>
      </c>
      <c r="V18">
        <v>143.4</v>
      </c>
      <c r="W18">
        <v>188.84</v>
      </c>
      <c r="X18">
        <v>0.99568000000000001</v>
      </c>
      <c r="Y18">
        <v>0.30555555555555558</v>
      </c>
      <c r="Z18">
        <v>1.9014722222222225E-2</v>
      </c>
      <c r="AA18">
        <v>1.9097222222222224E-2</v>
      </c>
      <c r="AB18">
        <v>217.8</v>
      </c>
      <c r="AC18">
        <v>1</v>
      </c>
      <c r="AD18" s="1" t="s">
        <v>44</v>
      </c>
      <c r="AE18">
        <v>0</v>
      </c>
      <c r="AF18">
        <v>1</v>
      </c>
      <c r="AG18">
        <v>6.25</v>
      </c>
    </row>
    <row r="19" spans="1:33">
      <c r="A19" s="1" t="s">
        <v>61</v>
      </c>
      <c r="B19" s="1" t="s">
        <v>2190</v>
      </c>
      <c r="C19" s="2">
        <v>46240</v>
      </c>
      <c r="D19" s="1" t="s">
        <v>34</v>
      </c>
      <c r="E19">
        <v>13354</v>
      </c>
      <c r="F19" s="2">
        <v>46081</v>
      </c>
      <c r="G19" s="1" t="s">
        <v>62</v>
      </c>
      <c r="H19" s="1" t="s">
        <v>36</v>
      </c>
      <c r="I19" s="1" t="s">
        <v>37</v>
      </c>
      <c r="J19" s="1" t="s">
        <v>38</v>
      </c>
      <c r="K19" s="1" t="s">
        <v>39</v>
      </c>
      <c r="L19">
        <v>120</v>
      </c>
      <c r="M19">
        <v>55.2</v>
      </c>
      <c r="N19">
        <v>41.5</v>
      </c>
      <c r="O19">
        <v>22.7</v>
      </c>
      <c r="P19">
        <v>5.1999999999999998E-2</v>
      </c>
      <c r="Q19">
        <v>13.63</v>
      </c>
      <c r="R19">
        <v>9.25</v>
      </c>
      <c r="S19">
        <v>3</v>
      </c>
      <c r="T19">
        <v>5</v>
      </c>
      <c r="U19">
        <v>15</v>
      </c>
      <c r="V19">
        <v>128.5</v>
      </c>
      <c r="W19">
        <v>229.45</v>
      </c>
      <c r="X19">
        <v>0.77999999999999992</v>
      </c>
      <c r="Y19">
        <v>111.28333333333333</v>
      </c>
      <c r="Z19">
        <v>5.7867333333333333</v>
      </c>
      <c r="AA19">
        <v>7.4188888888888886</v>
      </c>
      <c r="AB19">
        <v>123524.5</v>
      </c>
      <c r="AC19">
        <v>8</v>
      </c>
      <c r="AD19" s="1" t="s">
        <v>40</v>
      </c>
      <c r="AE19">
        <v>8</v>
      </c>
      <c r="AF19">
        <v>0</v>
      </c>
      <c r="AG19">
        <v>5.2302631578947372</v>
      </c>
    </row>
    <row r="20" spans="1:33">
      <c r="A20" s="1" t="s">
        <v>63</v>
      </c>
      <c r="B20" s="1" t="s">
        <v>2191</v>
      </c>
      <c r="C20" s="2">
        <v>46232</v>
      </c>
      <c r="D20" s="1" t="s">
        <v>34</v>
      </c>
      <c r="E20">
        <v>13371</v>
      </c>
      <c r="F20" s="2">
        <v>46081</v>
      </c>
      <c r="G20" s="1" t="s">
        <v>64</v>
      </c>
      <c r="H20" s="1" t="s">
        <v>48</v>
      </c>
      <c r="I20" s="1" t="s">
        <v>37</v>
      </c>
      <c r="J20" s="1" t="s">
        <v>38</v>
      </c>
      <c r="K20" s="1" t="s">
        <v>39</v>
      </c>
      <c r="L20">
        <v>100</v>
      </c>
      <c r="M20">
        <v>44.2</v>
      </c>
      <c r="N20">
        <v>42.9</v>
      </c>
      <c r="O20">
        <v>31.3</v>
      </c>
      <c r="P20">
        <v>5.935E-2</v>
      </c>
      <c r="Q20">
        <v>14.98</v>
      </c>
      <c r="R20">
        <v>18.36</v>
      </c>
      <c r="S20">
        <v>2</v>
      </c>
      <c r="T20">
        <v>4</v>
      </c>
      <c r="U20">
        <v>8</v>
      </c>
      <c r="V20">
        <v>140.19999999999999</v>
      </c>
      <c r="W20">
        <v>144.84</v>
      </c>
      <c r="X20">
        <v>0.4748</v>
      </c>
      <c r="Y20">
        <v>133.71</v>
      </c>
      <c r="Z20">
        <v>7.9356885000000004</v>
      </c>
      <c r="AA20">
        <v>16.713750000000001</v>
      </c>
      <c r="AB20">
        <v>245491.56</v>
      </c>
      <c r="AC20">
        <v>17</v>
      </c>
      <c r="AD20" s="1" t="s">
        <v>40</v>
      </c>
      <c r="AE20">
        <v>17</v>
      </c>
      <c r="AF20">
        <v>0</v>
      </c>
      <c r="AG20">
        <v>4.9671052631578947</v>
      </c>
    </row>
    <row r="21" spans="1:33">
      <c r="A21" s="1" t="s">
        <v>63</v>
      </c>
      <c r="B21" s="1" t="s">
        <v>2192</v>
      </c>
      <c r="C21" s="2">
        <v>46521</v>
      </c>
      <c r="D21" s="1" t="s">
        <v>49</v>
      </c>
      <c r="E21">
        <v>668</v>
      </c>
      <c r="F21" s="2">
        <v>46081</v>
      </c>
      <c r="G21" s="1" t="s">
        <v>64</v>
      </c>
      <c r="H21" s="1" t="s">
        <v>48</v>
      </c>
      <c r="I21" s="1" t="s">
        <v>37</v>
      </c>
      <c r="J21" s="1" t="s">
        <v>38</v>
      </c>
      <c r="K21" s="1" t="s">
        <v>39</v>
      </c>
      <c r="L21">
        <v>100</v>
      </c>
      <c r="M21">
        <v>44.2</v>
      </c>
      <c r="N21">
        <v>42.9</v>
      </c>
      <c r="O21">
        <v>31.3</v>
      </c>
      <c r="P21">
        <v>5.935E-2</v>
      </c>
      <c r="Q21">
        <v>14.98</v>
      </c>
      <c r="R21">
        <v>18.36</v>
      </c>
      <c r="S21">
        <v>2</v>
      </c>
      <c r="T21">
        <v>4</v>
      </c>
      <c r="U21">
        <v>8</v>
      </c>
      <c r="V21">
        <v>140.19999999999999</v>
      </c>
      <c r="W21">
        <v>144.84</v>
      </c>
      <c r="X21">
        <v>0.4748</v>
      </c>
      <c r="Y21">
        <v>6.68</v>
      </c>
      <c r="Z21">
        <v>0.39645799999999998</v>
      </c>
      <c r="AA21">
        <v>0.83499999999999996</v>
      </c>
      <c r="AB21">
        <v>12264.48</v>
      </c>
      <c r="AC21">
        <v>1</v>
      </c>
      <c r="AD21" s="1" t="s">
        <v>40</v>
      </c>
      <c r="AE21">
        <v>1</v>
      </c>
      <c r="AF21">
        <v>0</v>
      </c>
      <c r="AG21">
        <v>14.473684210526317</v>
      </c>
    </row>
    <row r="22" spans="1:33">
      <c r="A22" s="1" t="s">
        <v>65</v>
      </c>
      <c r="B22" s="1" t="s">
        <v>2193</v>
      </c>
      <c r="C22" s="2">
        <v>46305</v>
      </c>
      <c r="D22" s="1" t="s">
        <v>34</v>
      </c>
      <c r="E22">
        <v>1209</v>
      </c>
      <c r="F22" s="2">
        <v>46081</v>
      </c>
      <c r="G22" s="1" t="s">
        <v>66</v>
      </c>
      <c r="H22" s="1" t="s">
        <v>67</v>
      </c>
      <c r="I22" s="1" t="s">
        <v>37</v>
      </c>
      <c r="J22" s="1" t="s">
        <v>38</v>
      </c>
      <c r="K22" s="1" t="s">
        <v>39</v>
      </c>
      <c r="L22">
        <v>100</v>
      </c>
      <c r="M22">
        <v>42.1</v>
      </c>
      <c r="N22">
        <v>41.5</v>
      </c>
      <c r="O22">
        <v>24.3</v>
      </c>
      <c r="P22">
        <v>4.2459999999999998E-2</v>
      </c>
      <c r="Q22">
        <v>12.1</v>
      </c>
      <c r="R22">
        <v>22.89</v>
      </c>
      <c r="S22">
        <v>4</v>
      </c>
      <c r="T22">
        <v>5</v>
      </c>
      <c r="U22">
        <v>20</v>
      </c>
      <c r="V22">
        <v>136.5</v>
      </c>
      <c r="W22">
        <v>267</v>
      </c>
      <c r="X22">
        <v>0.84919999999999995</v>
      </c>
      <c r="Y22">
        <v>12.09</v>
      </c>
      <c r="Z22">
        <v>0.51334139999999995</v>
      </c>
      <c r="AA22">
        <v>0.60450000000000004</v>
      </c>
      <c r="AB22">
        <v>27674.010000000002</v>
      </c>
      <c r="AC22">
        <v>1</v>
      </c>
      <c r="AD22" s="1" t="s">
        <v>40</v>
      </c>
      <c r="AE22">
        <v>1</v>
      </c>
      <c r="AF22">
        <v>0</v>
      </c>
      <c r="AG22">
        <v>7.3684210526315796</v>
      </c>
    </row>
    <row r="23" spans="1:33">
      <c r="A23" s="1" t="s">
        <v>65</v>
      </c>
      <c r="B23" s="1" t="s">
        <v>2194</v>
      </c>
      <c r="C23" s="2">
        <v>46810</v>
      </c>
      <c r="D23" s="1" t="s">
        <v>34</v>
      </c>
      <c r="E23">
        <v>561</v>
      </c>
      <c r="F23" s="2">
        <v>46081</v>
      </c>
      <c r="G23" s="1" t="s">
        <v>66</v>
      </c>
      <c r="H23" s="1" t="s">
        <v>67</v>
      </c>
      <c r="I23" s="1" t="s">
        <v>37</v>
      </c>
      <c r="J23" s="1" t="s">
        <v>38</v>
      </c>
      <c r="K23" s="1" t="s">
        <v>39</v>
      </c>
      <c r="L23">
        <v>100</v>
      </c>
      <c r="M23">
        <v>42.1</v>
      </c>
      <c r="N23">
        <v>41.5</v>
      </c>
      <c r="O23">
        <v>24.3</v>
      </c>
      <c r="P23">
        <v>4.2459999999999998E-2</v>
      </c>
      <c r="Q23">
        <v>12.1</v>
      </c>
      <c r="R23">
        <v>22.89</v>
      </c>
      <c r="S23">
        <v>4</v>
      </c>
      <c r="T23">
        <v>5</v>
      </c>
      <c r="U23">
        <v>20</v>
      </c>
      <c r="V23">
        <v>136.5</v>
      </c>
      <c r="W23">
        <v>267</v>
      </c>
      <c r="X23">
        <v>0.84919999999999995</v>
      </c>
      <c r="Y23">
        <v>5.61</v>
      </c>
      <c r="Z23">
        <v>0.23820060000000001</v>
      </c>
      <c r="AA23">
        <v>0.28050000000000003</v>
      </c>
      <c r="AB23">
        <v>12841.29</v>
      </c>
      <c r="AC23">
        <v>1</v>
      </c>
      <c r="AD23" s="1" t="s">
        <v>44</v>
      </c>
      <c r="AE23">
        <v>0</v>
      </c>
      <c r="AF23">
        <v>1</v>
      </c>
      <c r="AG23">
        <v>23.980263157894736</v>
      </c>
    </row>
    <row r="24" spans="1:33">
      <c r="A24" s="1" t="s">
        <v>65</v>
      </c>
      <c r="B24" s="1" t="s">
        <v>2195</v>
      </c>
      <c r="C24" s="2">
        <v>46924</v>
      </c>
      <c r="D24" s="1" t="s">
        <v>34</v>
      </c>
      <c r="E24">
        <v>1183</v>
      </c>
      <c r="F24" s="2">
        <v>46081</v>
      </c>
      <c r="G24" s="1" t="s">
        <v>66</v>
      </c>
      <c r="H24" s="1" t="s">
        <v>67</v>
      </c>
      <c r="I24" s="1" t="s">
        <v>37</v>
      </c>
      <c r="J24" s="1" t="s">
        <v>38</v>
      </c>
      <c r="K24" s="1" t="s">
        <v>39</v>
      </c>
      <c r="L24">
        <v>100</v>
      </c>
      <c r="M24">
        <v>42.1</v>
      </c>
      <c r="N24">
        <v>41.5</v>
      </c>
      <c r="O24">
        <v>24.3</v>
      </c>
      <c r="P24">
        <v>4.2459999999999998E-2</v>
      </c>
      <c r="Q24">
        <v>12.1</v>
      </c>
      <c r="R24">
        <v>22.89</v>
      </c>
      <c r="S24">
        <v>4</v>
      </c>
      <c r="T24">
        <v>5</v>
      </c>
      <c r="U24">
        <v>20</v>
      </c>
      <c r="V24">
        <v>136.5</v>
      </c>
      <c r="W24">
        <v>267</v>
      </c>
      <c r="X24">
        <v>0.84919999999999995</v>
      </c>
      <c r="Y24">
        <v>11.83</v>
      </c>
      <c r="Z24">
        <v>0.50230180000000002</v>
      </c>
      <c r="AA24">
        <v>0.59150000000000003</v>
      </c>
      <c r="AB24">
        <v>27078.87</v>
      </c>
      <c r="AC24">
        <v>1</v>
      </c>
      <c r="AD24" s="1" t="s">
        <v>40</v>
      </c>
      <c r="AE24">
        <v>1</v>
      </c>
      <c r="AF24">
        <v>0</v>
      </c>
      <c r="AG24">
        <v>27.73026315789474</v>
      </c>
    </row>
    <row r="25" spans="1:33">
      <c r="A25" s="1" t="s">
        <v>68</v>
      </c>
      <c r="B25" s="1" t="s">
        <v>2196</v>
      </c>
      <c r="C25" s="2">
        <v>47068</v>
      </c>
      <c r="D25" s="1" t="s">
        <v>34</v>
      </c>
      <c r="E25">
        <v>1939</v>
      </c>
      <c r="F25" s="2">
        <v>46081</v>
      </c>
      <c r="G25" s="1" t="s">
        <v>69</v>
      </c>
      <c r="H25" s="1" t="s">
        <v>70</v>
      </c>
      <c r="I25" s="1" t="s">
        <v>37</v>
      </c>
      <c r="J25" s="1" t="s">
        <v>38</v>
      </c>
      <c r="K25" s="1" t="s">
        <v>39</v>
      </c>
      <c r="L25">
        <v>120</v>
      </c>
      <c r="M25">
        <v>34.4</v>
      </c>
      <c r="N25">
        <v>38</v>
      </c>
      <c r="O25">
        <v>29.8</v>
      </c>
      <c r="P25">
        <v>3.8949999999999999E-2</v>
      </c>
      <c r="Q25">
        <v>6.78</v>
      </c>
      <c r="R25">
        <v>20.010000000000002</v>
      </c>
      <c r="S25">
        <v>6</v>
      </c>
      <c r="T25">
        <v>4</v>
      </c>
      <c r="U25">
        <v>24</v>
      </c>
      <c r="V25">
        <v>134.19999999999999</v>
      </c>
      <c r="W25">
        <v>187.72</v>
      </c>
      <c r="X25">
        <v>0.93479999999999996</v>
      </c>
      <c r="Y25">
        <v>16.158333333333335</v>
      </c>
      <c r="Z25">
        <v>0.62936708333333335</v>
      </c>
      <c r="AA25">
        <v>0.67326388888888899</v>
      </c>
      <c r="AB25">
        <v>38799.39</v>
      </c>
      <c r="AC25">
        <v>1</v>
      </c>
      <c r="AD25" s="1" t="s">
        <v>40</v>
      </c>
      <c r="AE25">
        <v>1</v>
      </c>
      <c r="AF25">
        <v>0</v>
      </c>
      <c r="AG25">
        <v>32.467105263157897</v>
      </c>
    </row>
    <row r="26" spans="1:33">
      <c r="A26" s="1" t="s">
        <v>68</v>
      </c>
      <c r="B26" s="1" t="s">
        <v>2197</v>
      </c>
      <c r="C26" s="2">
        <v>46206</v>
      </c>
      <c r="D26" s="1" t="s">
        <v>34</v>
      </c>
      <c r="E26">
        <v>3524</v>
      </c>
      <c r="F26" s="2">
        <v>46081</v>
      </c>
      <c r="G26" s="1" t="s">
        <v>69</v>
      </c>
      <c r="H26" s="1" t="s">
        <v>70</v>
      </c>
      <c r="I26" s="1" t="s">
        <v>37</v>
      </c>
      <c r="J26" s="1" t="s">
        <v>38</v>
      </c>
      <c r="K26" s="1" t="s">
        <v>39</v>
      </c>
      <c r="L26">
        <v>120</v>
      </c>
      <c r="M26">
        <v>34.4</v>
      </c>
      <c r="N26">
        <v>38</v>
      </c>
      <c r="O26">
        <v>29.8</v>
      </c>
      <c r="P26">
        <v>3.8949999999999999E-2</v>
      </c>
      <c r="Q26">
        <v>6.78</v>
      </c>
      <c r="R26">
        <v>20.010000000000002</v>
      </c>
      <c r="S26">
        <v>6</v>
      </c>
      <c r="T26">
        <v>4</v>
      </c>
      <c r="U26">
        <v>24</v>
      </c>
      <c r="V26">
        <v>134.19999999999999</v>
      </c>
      <c r="W26">
        <v>187.72</v>
      </c>
      <c r="X26">
        <v>0.93479999999999996</v>
      </c>
      <c r="Y26">
        <v>29.366666666666667</v>
      </c>
      <c r="Z26">
        <v>1.1438316666666666</v>
      </c>
      <c r="AA26">
        <v>1.2236111111111112</v>
      </c>
      <c r="AB26">
        <v>70515.240000000005</v>
      </c>
      <c r="AC26">
        <v>2</v>
      </c>
      <c r="AD26" s="1" t="s">
        <v>40</v>
      </c>
      <c r="AE26">
        <v>2</v>
      </c>
      <c r="AF26">
        <v>0</v>
      </c>
      <c r="AG26">
        <v>4.1118421052631584</v>
      </c>
    </row>
    <row r="27" spans="1:33">
      <c r="A27" s="1" t="s">
        <v>68</v>
      </c>
      <c r="B27" s="1" t="s">
        <v>2198</v>
      </c>
      <c r="C27" s="2">
        <v>46451</v>
      </c>
      <c r="D27" s="1" t="s">
        <v>34</v>
      </c>
      <c r="E27">
        <v>935</v>
      </c>
      <c r="F27" s="2">
        <v>46081</v>
      </c>
      <c r="G27" s="1" t="s">
        <v>69</v>
      </c>
      <c r="H27" s="1" t="s">
        <v>70</v>
      </c>
      <c r="I27" s="1" t="s">
        <v>37</v>
      </c>
      <c r="J27" s="1" t="s">
        <v>38</v>
      </c>
      <c r="K27" s="1" t="s">
        <v>39</v>
      </c>
      <c r="L27">
        <v>120</v>
      </c>
      <c r="M27">
        <v>34.4</v>
      </c>
      <c r="N27">
        <v>38</v>
      </c>
      <c r="O27">
        <v>29.8</v>
      </c>
      <c r="P27">
        <v>3.8949999999999999E-2</v>
      </c>
      <c r="Q27">
        <v>6.78</v>
      </c>
      <c r="R27">
        <v>20.010000000000002</v>
      </c>
      <c r="S27">
        <v>6</v>
      </c>
      <c r="T27">
        <v>4</v>
      </c>
      <c r="U27">
        <v>24</v>
      </c>
      <c r="V27">
        <v>134.19999999999999</v>
      </c>
      <c r="W27">
        <v>187.72</v>
      </c>
      <c r="X27">
        <v>0.93479999999999996</v>
      </c>
      <c r="Y27">
        <v>7.791666666666667</v>
      </c>
      <c r="Z27">
        <v>0.30348541666666667</v>
      </c>
      <c r="AA27">
        <v>0.32465277777777779</v>
      </c>
      <c r="AB27">
        <v>18709.350000000002</v>
      </c>
      <c r="AC27">
        <v>1</v>
      </c>
      <c r="AD27" s="1" t="s">
        <v>40</v>
      </c>
      <c r="AE27">
        <v>1</v>
      </c>
      <c r="AF27">
        <v>0</v>
      </c>
      <c r="AG27">
        <v>12.171052631578949</v>
      </c>
    </row>
    <row r="28" spans="1:33">
      <c r="A28" s="1" t="s">
        <v>71</v>
      </c>
      <c r="B28" s="1" t="s">
        <v>2199</v>
      </c>
      <c r="C28" s="2">
        <v>46387</v>
      </c>
      <c r="D28" s="1" t="s">
        <v>34</v>
      </c>
      <c r="E28">
        <v>133</v>
      </c>
      <c r="F28" s="2">
        <v>46081</v>
      </c>
      <c r="G28" s="1" t="s">
        <v>72</v>
      </c>
      <c r="H28" s="1" t="s">
        <v>48</v>
      </c>
      <c r="I28" s="1" t="s">
        <v>37</v>
      </c>
      <c r="J28" s="1" t="s">
        <v>38</v>
      </c>
      <c r="K28" s="1" t="s">
        <v>39</v>
      </c>
      <c r="L28">
        <v>100</v>
      </c>
      <c r="M28">
        <v>34.5</v>
      </c>
      <c r="N28">
        <v>39.6</v>
      </c>
      <c r="O28">
        <v>16.5</v>
      </c>
      <c r="P28">
        <v>2.2540000000000001E-2</v>
      </c>
      <c r="Q28">
        <v>5.61</v>
      </c>
      <c r="R28">
        <v>8.74</v>
      </c>
      <c r="S28">
        <v>6</v>
      </c>
      <c r="T28">
        <v>6</v>
      </c>
      <c r="U28">
        <v>36</v>
      </c>
      <c r="V28">
        <v>114</v>
      </c>
      <c r="W28">
        <v>226.96</v>
      </c>
      <c r="X28">
        <v>0.81144000000000005</v>
      </c>
      <c r="Y28">
        <v>1.33</v>
      </c>
      <c r="Z28">
        <v>2.9978200000000003E-2</v>
      </c>
      <c r="AA28">
        <v>3.6944444444444446E-2</v>
      </c>
      <c r="AB28">
        <v>1162.42</v>
      </c>
      <c r="AC28">
        <v>1</v>
      </c>
      <c r="AD28" s="1" t="s">
        <v>44</v>
      </c>
      <c r="AE28">
        <v>0</v>
      </c>
      <c r="AF28">
        <v>1</v>
      </c>
      <c r="AG28">
        <v>10.065789473684211</v>
      </c>
    </row>
    <row r="29" spans="1:33">
      <c r="A29" s="1" t="s">
        <v>71</v>
      </c>
      <c r="B29" s="1" t="s">
        <v>2200</v>
      </c>
      <c r="C29" s="2">
        <v>46342</v>
      </c>
      <c r="D29" s="1" t="s">
        <v>34</v>
      </c>
      <c r="E29">
        <v>194</v>
      </c>
      <c r="F29" s="2">
        <v>46081</v>
      </c>
      <c r="G29" s="1" t="s">
        <v>72</v>
      </c>
      <c r="H29" s="1" t="s">
        <v>48</v>
      </c>
      <c r="I29" s="1" t="s">
        <v>37</v>
      </c>
      <c r="J29" s="1" t="s">
        <v>38</v>
      </c>
      <c r="K29" s="1" t="s">
        <v>39</v>
      </c>
      <c r="L29">
        <v>100</v>
      </c>
      <c r="M29">
        <v>34.5</v>
      </c>
      <c r="N29">
        <v>39.6</v>
      </c>
      <c r="O29">
        <v>16.5</v>
      </c>
      <c r="P29">
        <v>2.2540000000000001E-2</v>
      </c>
      <c r="Q29">
        <v>5.61</v>
      </c>
      <c r="R29">
        <v>8.74</v>
      </c>
      <c r="S29">
        <v>6</v>
      </c>
      <c r="T29">
        <v>6</v>
      </c>
      <c r="U29">
        <v>36</v>
      </c>
      <c r="V29">
        <v>114</v>
      </c>
      <c r="W29">
        <v>226.96</v>
      </c>
      <c r="X29">
        <v>0.81144000000000005</v>
      </c>
      <c r="Y29">
        <v>1.94</v>
      </c>
      <c r="Z29">
        <v>4.3727599999999998E-2</v>
      </c>
      <c r="AA29">
        <v>5.3888888888888889E-2</v>
      </c>
      <c r="AB29">
        <v>1695.56</v>
      </c>
      <c r="AC29">
        <v>1</v>
      </c>
      <c r="AD29" s="1" t="s">
        <v>44</v>
      </c>
      <c r="AE29">
        <v>0</v>
      </c>
      <c r="AF29">
        <v>1</v>
      </c>
      <c r="AG29">
        <v>8.5855263157894743</v>
      </c>
    </row>
    <row r="30" spans="1:33">
      <c r="A30" s="1" t="s">
        <v>71</v>
      </c>
      <c r="B30" s="1" t="s">
        <v>2201</v>
      </c>
      <c r="C30" s="2">
        <v>46171</v>
      </c>
      <c r="D30" s="1" t="s">
        <v>34</v>
      </c>
      <c r="E30">
        <v>113</v>
      </c>
      <c r="F30" s="2">
        <v>46081</v>
      </c>
      <c r="G30" s="1" t="s">
        <v>72</v>
      </c>
      <c r="H30" s="1" t="s">
        <v>48</v>
      </c>
      <c r="I30" s="1" t="s">
        <v>37</v>
      </c>
      <c r="J30" s="1" t="s">
        <v>38</v>
      </c>
      <c r="K30" s="1" t="s">
        <v>39</v>
      </c>
      <c r="L30">
        <v>100</v>
      </c>
      <c r="M30">
        <v>34.5</v>
      </c>
      <c r="N30">
        <v>39.6</v>
      </c>
      <c r="O30">
        <v>16.5</v>
      </c>
      <c r="P30">
        <v>2.2540000000000001E-2</v>
      </c>
      <c r="Q30">
        <v>5.61</v>
      </c>
      <c r="R30">
        <v>8.74</v>
      </c>
      <c r="S30">
        <v>6</v>
      </c>
      <c r="T30">
        <v>6</v>
      </c>
      <c r="U30">
        <v>36</v>
      </c>
      <c r="V30">
        <v>114</v>
      </c>
      <c r="W30">
        <v>226.96</v>
      </c>
      <c r="X30">
        <v>0.81144000000000005</v>
      </c>
      <c r="Y30">
        <v>1.1299999999999999</v>
      </c>
      <c r="Z30">
        <v>2.5470199999999998E-2</v>
      </c>
      <c r="AA30">
        <v>3.1388888888888883E-2</v>
      </c>
      <c r="AB30">
        <v>987.62</v>
      </c>
      <c r="AC30">
        <v>1</v>
      </c>
      <c r="AD30" s="1" t="s">
        <v>44</v>
      </c>
      <c r="AE30">
        <v>0</v>
      </c>
      <c r="AF30">
        <v>1</v>
      </c>
      <c r="AG30">
        <v>2.9605263157894739</v>
      </c>
    </row>
    <row r="31" spans="1:33">
      <c r="A31" s="1" t="s">
        <v>71</v>
      </c>
      <c r="B31" s="1" t="s">
        <v>2202</v>
      </c>
      <c r="C31" s="2">
        <v>46697</v>
      </c>
      <c r="D31" s="1" t="s">
        <v>34</v>
      </c>
      <c r="E31">
        <v>462</v>
      </c>
      <c r="F31" s="2">
        <v>46081</v>
      </c>
      <c r="G31" s="1" t="s">
        <v>72</v>
      </c>
      <c r="H31" s="1" t="s">
        <v>48</v>
      </c>
      <c r="I31" s="1" t="s">
        <v>37</v>
      </c>
      <c r="J31" s="1" t="s">
        <v>38</v>
      </c>
      <c r="K31" s="1" t="s">
        <v>39</v>
      </c>
      <c r="L31">
        <v>100</v>
      </c>
      <c r="M31">
        <v>34.5</v>
      </c>
      <c r="N31">
        <v>39.6</v>
      </c>
      <c r="O31">
        <v>16.5</v>
      </c>
      <c r="P31">
        <v>2.2540000000000001E-2</v>
      </c>
      <c r="Q31">
        <v>5.61</v>
      </c>
      <c r="R31">
        <v>8.74</v>
      </c>
      <c r="S31">
        <v>6</v>
      </c>
      <c r="T31">
        <v>6</v>
      </c>
      <c r="U31">
        <v>36</v>
      </c>
      <c r="V31">
        <v>114</v>
      </c>
      <c r="W31">
        <v>226.96</v>
      </c>
      <c r="X31">
        <v>0.81144000000000005</v>
      </c>
      <c r="Y31">
        <v>4.62</v>
      </c>
      <c r="Z31">
        <v>0.10413480000000001</v>
      </c>
      <c r="AA31">
        <v>0.12833333333333333</v>
      </c>
      <c r="AB31">
        <v>4037.88</v>
      </c>
      <c r="AC31">
        <v>1</v>
      </c>
      <c r="AD31" s="1" t="s">
        <v>44</v>
      </c>
      <c r="AE31">
        <v>0</v>
      </c>
      <c r="AF31">
        <v>1</v>
      </c>
      <c r="AG31">
        <v>20.263157894736842</v>
      </c>
    </row>
    <row r="32" spans="1:33">
      <c r="A32" s="1" t="s">
        <v>71</v>
      </c>
      <c r="B32" s="1" t="s">
        <v>2203</v>
      </c>
      <c r="C32" s="2">
        <v>47002</v>
      </c>
      <c r="D32" s="1" t="s">
        <v>34</v>
      </c>
      <c r="E32">
        <v>14</v>
      </c>
      <c r="F32" s="2">
        <v>46081</v>
      </c>
      <c r="G32" s="1" t="s">
        <v>72</v>
      </c>
      <c r="H32" s="1" t="s">
        <v>48</v>
      </c>
      <c r="I32" s="1" t="s">
        <v>37</v>
      </c>
      <c r="J32" s="1" t="s">
        <v>38</v>
      </c>
      <c r="K32" s="1" t="s">
        <v>39</v>
      </c>
      <c r="L32">
        <v>100</v>
      </c>
      <c r="M32">
        <v>34.5</v>
      </c>
      <c r="N32">
        <v>39.6</v>
      </c>
      <c r="O32">
        <v>16.5</v>
      </c>
      <c r="P32">
        <v>2.2540000000000001E-2</v>
      </c>
      <c r="Q32">
        <v>5.61</v>
      </c>
      <c r="R32">
        <v>8.74</v>
      </c>
      <c r="S32">
        <v>6</v>
      </c>
      <c r="T32">
        <v>6</v>
      </c>
      <c r="U32">
        <v>36</v>
      </c>
      <c r="V32">
        <v>114</v>
      </c>
      <c r="W32">
        <v>226.96</v>
      </c>
      <c r="X32">
        <v>0.81144000000000005</v>
      </c>
      <c r="Y32">
        <v>0.14000000000000001</v>
      </c>
      <c r="Z32">
        <v>3.1556000000000006E-3</v>
      </c>
      <c r="AA32">
        <v>3.8888888888888892E-3</v>
      </c>
      <c r="AB32">
        <v>122.36</v>
      </c>
      <c r="AC32">
        <v>1</v>
      </c>
      <c r="AD32" s="1" t="s">
        <v>44</v>
      </c>
      <c r="AE32">
        <v>0</v>
      </c>
      <c r="AF32">
        <v>1</v>
      </c>
      <c r="AG32">
        <v>30.296052631578949</v>
      </c>
    </row>
    <row r="33" spans="1:33">
      <c r="A33" s="1" t="s">
        <v>71</v>
      </c>
      <c r="B33" s="1" t="s">
        <v>2204</v>
      </c>
      <c r="C33" s="2">
        <v>45895</v>
      </c>
      <c r="D33" s="1" t="s">
        <v>73</v>
      </c>
      <c r="E33">
        <v>73</v>
      </c>
      <c r="F33" s="2">
        <v>46081</v>
      </c>
      <c r="G33" s="1" t="s">
        <v>72</v>
      </c>
      <c r="H33" s="1" t="s">
        <v>48</v>
      </c>
      <c r="I33" s="1" t="s">
        <v>37</v>
      </c>
      <c r="J33" s="1" t="s">
        <v>38</v>
      </c>
      <c r="K33" s="1" t="s">
        <v>39</v>
      </c>
      <c r="L33">
        <v>100</v>
      </c>
      <c r="M33">
        <v>34.5</v>
      </c>
      <c r="N33">
        <v>39.6</v>
      </c>
      <c r="O33">
        <v>16.5</v>
      </c>
      <c r="P33">
        <v>2.2540000000000001E-2</v>
      </c>
      <c r="Q33">
        <v>5.61</v>
      </c>
      <c r="R33">
        <v>8.74</v>
      </c>
      <c r="S33">
        <v>6</v>
      </c>
      <c r="T33">
        <v>6</v>
      </c>
      <c r="U33">
        <v>36</v>
      </c>
      <c r="V33">
        <v>114</v>
      </c>
      <c r="W33">
        <v>226.96</v>
      </c>
      <c r="X33">
        <v>0.81144000000000005</v>
      </c>
      <c r="Y33">
        <v>0.73</v>
      </c>
      <c r="Z33">
        <v>1.6454199999999999E-2</v>
      </c>
      <c r="AA33">
        <v>2.0277777777777777E-2</v>
      </c>
      <c r="AB33">
        <v>638.02</v>
      </c>
      <c r="AC33">
        <v>1</v>
      </c>
      <c r="AD33" s="1" t="s">
        <v>74</v>
      </c>
      <c r="AE33">
        <v>0</v>
      </c>
      <c r="AF33">
        <v>0</v>
      </c>
      <c r="AG33">
        <v>-6.1184210526315796</v>
      </c>
    </row>
    <row r="34" spans="1:33">
      <c r="A34" s="1" t="s">
        <v>75</v>
      </c>
      <c r="B34" s="1" t="s">
        <v>2205</v>
      </c>
      <c r="C34" s="2">
        <v>46340</v>
      </c>
      <c r="D34" s="1" t="s">
        <v>34</v>
      </c>
      <c r="E34">
        <v>300</v>
      </c>
      <c r="F34" s="2">
        <v>46081</v>
      </c>
      <c r="G34" s="1" t="s">
        <v>76</v>
      </c>
      <c r="H34" s="1" t="s">
        <v>70</v>
      </c>
      <c r="I34" s="1" t="s">
        <v>37</v>
      </c>
      <c r="J34" s="1" t="s">
        <v>38</v>
      </c>
      <c r="K34" s="1" t="s">
        <v>39</v>
      </c>
      <c r="L34">
        <v>100</v>
      </c>
      <c r="M34">
        <v>44</v>
      </c>
      <c r="N34">
        <v>30.7</v>
      </c>
      <c r="O34">
        <v>25.3</v>
      </c>
      <c r="P34">
        <v>3.4180000000000002E-2</v>
      </c>
      <c r="Q34">
        <v>9.14</v>
      </c>
      <c r="R34">
        <v>23.67</v>
      </c>
      <c r="S34">
        <v>6</v>
      </c>
      <c r="T34">
        <v>2</v>
      </c>
      <c r="U34">
        <v>12</v>
      </c>
      <c r="V34">
        <v>65.599999999999994</v>
      </c>
      <c r="W34">
        <v>134.68</v>
      </c>
      <c r="X34">
        <v>0.41016000000000002</v>
      </c>
      <c r="Y34">
        <v>3</v>
      </c>
      <c r="Z34">
        <v>0.10254000000000001</v>
      </c>
      <c r="AA34">
        <v>0.25</v>
      </c>
      <c r="AB34">
        <v>7101.0000000000009</v>
      </c>
      <c r="AC34">
        <v>1</v>
      </c>
      <c r="AD34" s="1" t="s">
        <v>44</v>
      </c>
      <c r="AE34">
        <v>0</v>
      </c>
      <c r="AF34">
        <v>1</v>
      </c>
      <c r="AG34">
        <v>8.5197368421052637</v>
      </c>
    </row>
    <row r="35" spans="1:33">
      <c r="A35" s="1" t="s">
        <v>77</v>
      </c>
      <c r="B35" s="1" t="s">
        <v>2206</v>
      </c>
      <c r="C35" s="2">
        <v>46946</v>
      </c>
      <c r="D35" s="1" t="s">
        <v>34</v>
      </c>
      <c r="E35">
        <v>4172</v>
      </c>
      <c r="F35" s="2">
        <v>46081</v>
      </c>
      <c r="G35" s="1" t="s">
        <v>78</v>
      </c>
      <c r="H35" s="1" t="s">
        <v>67</v>
      </c>
      <c r="I35" s="1" t="s">
        <v>37</v>
      </c>
      <c r="J35" s="1" t="s">
        <v>38</v>
      </c>
      <c r="K35" s="1" t="s">
        <v>39</v>
      </c>
      <c r="L35">
        <v>180</v>
      </c>
      <c r="M35">
        <v>41.4</v>
      </c>
      <c r="N35">
        <v>42.5</v>
      </c>
      <c r="O35">
        <v>16.899999999999999</v>
      </c>
      <c r="P35">
        <v>2.9739999999999999E-2</v>
      </c>
      <c r="Q35">
        <v>6.13</v>
      </c>
      <c r="R35">
        <v>4.1500000000000004</v>
      </c>
      <c r="S35">
        <v>4</v>
      </c>
      <c r="T35">
        <v>7</v>
      </c>
      <c r="U35">
        <v>28</v>
      </c>
      <c r="V35">
        <v>133.29999999999998</v>
      </c>
      <c r="W35">
        <v>196.64</v>
      </c>
      <c r="X35">
        <v>0.83272000000000002</v>
      </c>
      <c r="Y35">
        <v>23.177777777777777</v>
      </c>
      <c r="Z35">
        <v>0.68930711111111109</v>
      </c>
      <c r="AA35">
        <v>0.82777777777777772</v>
      </c>
      <c r="AB35">
        <v>17313.800000000003</v>
      </c>
      <c r="AC35">
        <v>1</v>
      </c>
      <c r="AD35" s="1" t="s">
        <v>40</v>
      </c>
      <c r="AE35">
        <v>1</v>
      </c>
      <c r="AF35">
        <v>0</v>
      </c>
      <c r="AG35">
        <v>28.453947368421055</v>
      </c>
    </row>
    <row r="36" spans="1:33">
      <c r="A36" s="1" t="s">
        <v>79</v>
      </c>
      <c r="B36" s="1" t="s">
        <v>2207</v>
      </c>
      <c r="C36" s="2">
        <v>46653</v>
      </c>
      <c r="D36" s="1" t="s">
        <v>34</v>
      </c>
      <c r="E36">
        <v>820</v>
      </c>
      <c r="F36" s="2">
        <v>46081</v>
      </c>
      <c r="G36" s="1" t="s">
        <v>80</v>
      </c>
      <c r="H36" s="1" t="s">
        <v>43</v>
      </c>
      <c r="I36" s="1" t="s">
        <v>37</v>
      </c>
      <c r="J36" s="1" t="s">
        <v>38</v>
      </c>
      <c r="K36" s="1" t="s">
        <v>39</v>
      </c>
      <c r="L36">
        <v>100</v>
      </c>
      <c r="M36">
        <v>55.1</v>
      </c>
      <c r="N36">
        <v>34.700000000000003</v>
      </c>
      <c r="O36">
        <v>34.200000000000003</v>
      </c>
      <c r="P36">
        <v>6.5390000000000004E-2</v>
      </c>
      <c r="Q36">
        <v>12.13</v>
      </c>
      <c r="R36">
        <v>17.11</v>
      </c>
      <c r="S36">
        <v>4</v>
      </c>
      <c r="T36">
        <v>3</v>
      </c>
      <c r="U36">
        <v>12</v>
      </c>
      <c r="V36">
        <v>117.6</v>
      </c>
      <c r="W36">
        <v>170.56</v>
      </c>
      <c r="X36">
        <v>0.78468000000000004</v>
      </c>
      <c r="Y36">
        <v>8.1999999999999993</v>
      </c>
      <c r="Z36">
        <v>0.53619799999999995</v>
      </c>
      <c r="AA36">
        <v>0.68333333333333324</v>
      </c>
      <c r="AB36">
        <v>14030.199999999999</v>
      </c>
      <c r="AC36">
        <v>1</v>
      </c>
      <c r="AD36" s="1" t="s">
        <v>40</v>
      </c>
      <c r="AE36">
        <v>1</v>
      </c>
      <c r="AF36">
        <v>0</v>
      </c>
      <c r="AG36">
        <v>18.815789473684212</v>
      </c>
    </row>
    <row r="37" spans="1:33">
      <c r="A37" s="1" t="s">
        <v>79</v>
      </c>
      <c r="B37" s="1" t="s">
        <v>2208</v>
      </c>
      <c r="C37" s="2">
        <v>46861</v>
      </c>
      <c r="D37" s="1" t="s">
        <v>34</v>
      </c>
      <c r="E37">
        <v>189</v>
      </c>
      <c r="F37" s="2">
        <v>46081</v>
      </c>
      <c r="G37" s="1" t="s">
        <v>80</v>
      </c>
      <c r="H37" s="1" t="s">
        <v>43</v>
      </c>
      <c r="I37" s="1" t="s">
        <v>37</v>
      </c>
      <c r="J37" s="1" t="s">
        <v>38</v>
      </c>
      <c r="K37" s="1" t="s">
        <v>39</v>
      </c>
      <c r="L37">
        <v>100</v>
      </c>
      <c r="M37">
        <v>55.1</v>
      </c>
      <c r="N37">
        <v>34.700000000000003</v>
      </c>
      <c r="O37">
        <v>34.200000000000003</v>
      </c>
      <c r="P37">
        <v>6.5390000000000004E-2</v>
      </c>
      <c r="Q37">
        <v>12.13</v>
      </c>
      <c r="R37">
        <v>17.11</v>
      </c>
      <c r="S37">
        <v>4</v>
      </c>
      <c r="T37">
        <v>3</v>
      </c>
      <c r="U37">
        <v>12</v>
      </c>
      <c r="V37">
        <v>117.6</v>
      </c>
      <c r="W37">
        <v>170.56</v>
      </c>
      <c r="X37">
        <v>0.78468000000000004</v>
      </c>
      <c r="Y37">
        <v>1.89</v>
      </c>
      <c r="Z37">
        <v>0.12358710000000001</v>
      </c>
      <c r="AA37">
        <v>0.1575</v>
      </c>
      <c r="AB37">
        <v>3233.79</v>
      </c>
      <c r="AC37">
        <v>1</v>
      </c>
      <c r="AD37" s="1" t="s">
        <v>44</v>
      </c>
      <c r="AE37">
        <v>0</v>
      </c>
      <c r="AF37">
        <v>1</v>
      </c>
      <c r="AG37">
        <v>25.657894736842106</v>
      </c>
    </row>
    <row r="38" spans="1:33">
      <c r="A38" s="1" t="s">
        <v>81</v>
      </c>
      <c r="B38" s="1" t="s">
        <v>2209</v>
      </c>
      <c r="C38" s="2">
        <v>46776</v>
      </c>
      <c r="D38" s="1" t="s">
        <v>34</v>
      </c>
      <c r="E38">
        <v>4045</v>
      </c>
      <c r="F38" s="2">
        <v>46081</v>
      </c>
      <c r="G38" s="1" t="s">
        <v>82</v>
      </c>
      <c r="H38" s="1" t="s">
        <v>43</v>
      </c>
      <c r="I38" s="1" t="s">
        <v>37</v>
      </c>
      <c r="J38" s="1" t="s">
        <v>38</v>
      </c>
      <c r="K38" s="1" t="s">
        <v>39</v>
      </c>
      <c r="L38">
        <v>100</v>
      </c>
      <c r="M38">
        <v>30.9</v>
      </c>
      <c r="N38">
        <v>35.5</v>
      </c>
      <c r="O38">
        <v>24.5</v>
      </c>
      <c r="P38">
        <v>2.6880000000000001E-2</v>
      </c>
      <c r="Q38">
        <v>5.26</v>
      </c>
      <c r="R38">
        <v>7.72</v>
      </c>
      <c r="S38">
        <v>9</v>
      </c>
      <c r="T38">
        <v>6</v>
      </c>
      <c r="U38">
        <v>54</v>
      </c>
      <c r="V38">
        <v>162</v>
      </c>
      <c r="W38">
        <v>309.04000000000002</v>
      </c>
      <c r="X38">
        <v>1.4515199999999999</v>
      </c>
      <c r="Y38">
        <v>40.450000000000003</v>
      </c>
      <c r="Z38">
        <v>1.087296</v>
      </c>
      <c r="AA38">
        <v>0.74907407407407411</v>
      </c>
      <c r="AB38">
        <v>31227.399999999998</v>
      </c>
      <c r="AC38">
        <v>1</v>
      </c>
      <c r="AD38" s="1" t="s">
        <v>40</v>
      </c>
      <c r="AE38">
        <v>1</v>
      </c>
      <c r="AF38">
        <v>0</v>
      </c>
      <c r="AG38">
        <v>22.861842105263158</v>
      </c>
    </row>
    <row r="39" spans="1:33">
      <c r="A39" s="1" t="s">
        <v>83</v>
      </c>
      <c r="B39" s="1" t="s">
        <v>2210</v>
      </c>
      <c r="C39" s="2">
        <v>46600</v>
      </c>
      <c r="D39" s="1" t="s">
        <v>34</v>
      </c>
      <c r="E39">
        <v>5104</v>
      </c>
      <c r="F39" s="2">
        <v>46081</v>
      </c>
      <c r="G39" s="1" t="s">
        <v>84</v>
      </c>
      <c r="H39" s="1" t="s">
        <v>36</v>
      </c>
      <c r="I39" s="1" t="s">
        <v>37</v>
      </c>
      <c r="J39" s="1" t="s">
        <v>38</v>
      </c>
      <c r="K39" s="1" t="s">
        <v>39</v>
      </c>
      <c r="L39">
        <v>100</v>
      </c>
      <c r="M39">
        <v>57.9</v>
      </c>
      <c r="N39">
        <v>37</v>
      </c>
      <c r="O39">
        <v>18.100000000000001</v>
      </c>
      <c r="P39">
        <v>3.8780000000000002E-2</v>
      </c>
      <c r="Q39">
        <v>8.0299999999999994</v>
      </c>
      <c r="R39">
        <v>16.690000000000001</v>
      </c>
      <c r="S39">
        <v>3</v>
      </c>
      <c r="T39">
        <v>7</v>
      </c>
      <c r="U39">
        <v>21</v>
      </c>
      <c r="V39">
        <v>141.70000000000002</v>
      </c>
      <c r="W39">
        <v>193.63</v>
      </c>
      <c r="X39">
        <v>0.81437999999999999</v>
      </c>
      <c r="Y39">
        <v>51.04</v>
      </c>
      <c r="Z39">
        <v>1.9793312000000001</v>
      </c>
      <c r="AA39">
        <v>2.4304761904761905</v>
      </c>
      <c r="AB39">
        <v>85185.760000000009</v>
      </c>
      <c r="AC39">
        <v>3</v>
      </c>
      <c r="AD39" s="1" t="s">
        <v>40</v>
      </c>
      <c r="AE39">
        <v>3</v>
      </c>
      <c r="AF39">
        <v>0</v>
      </c>
      <c r="AG39">
        <v>17.072368421052634</v>
      </c>
    </row>
    <row r="40" spans="1:33">
      <c r="A40" s="1" t="s">
        <v>83</v>
      </c>
      <c r="B40" s="1" t="s">
        <v>2211</v>
      </c>
      <c r="C40" s="2">
        <v>46647</v>
      </c>
      <c r="D40" s="1" t="s">
        <v>34</v>
      </c>
      <c r="E40">
        <v>11249</v>
      </c>
      <c r="F40" s="2">
        <v>46081</v>
      </c>
      <c r="G40" s="1" t="s">
        <v>84</v>
      </c>
      <c r="H40" s="1" t="s">
        <v>36</v>
      </c>
      <c r="I40" s="1" t="s">
        <v>37</v>
      </c>
      <c r="J40" s="1" t="s">
        <v>38</v>
      </c>
      <c r="K40" s="1" t="s">
        <v>39</v>
      </c>
      <c r="L40">
        <v>100</v>
      </c>
      <c r="M40">
        <v>57.9</v>
      </c>
      <c r="N40">
        <v>37</v>
      </c>
      <c r="O40">
        <v>18.100000000000001</v>
      </c>
      <c r="P40">
        <v>3.8780000000000002E-2</v>
      </c>
      <c r="Q40">
        <v>8.0299999999999994</v>
      </c>
      <c r="R40">
        <v>16.690000000000001</v>
      </c>
      <c r="S40">
        <v>3</v>
      </c>
      <c r="T40">
        <v>7</v>
      </c>
      <c r="U40">
        <v>21</v>
      </c>
      <c r="V40">
        <v>141.70000000000002</v>
      </c>
      <c r="W40">
        <v>193.63</v>
      </c>
      <c r="X40">
        <v>0.81437999999999999</v>
      </c>
      <c r="Y40">
        <v>112.49</v>
      </c>
      <c r="Z40">
        <v>4.3623621999999997</v>
      </c>
      <c r="AA40">
        <v>5.3566666666666665</v>
      </c>
      <c r="AB40">
        <v>187745.81000000003</v>
      </c>
      <c r="AC40">
        <v>6</v>
      </c>
      <c r="AD40" s="1" t="s">
        <v>40</v>
      </c>
      <c r="AE40">
        <v>6</v>
      </c>
      <c r="AF40">
        <v>0</v>
      </c>
      <c r="AG40">
        <v>18.618421052631579</v>
      </c>
    </row>
    <row r="41" spans="1:33">
      <c r="A41" s="1" t="s">
        <v>85</v>
      </c>
      <c r="B41" s="1" t="s">
        <v>2212</v>
      </c>
      <c r="C41" s="2">
        <v>46866</v>
      </c>
      <c r="D41" s="1" t="s">
        <v>34</v>
      </c>
      <c r="E41">
        <v>3726</v>
      </c>
      <c r="F41" s="2">
        <v>46081</v>
      </c>
      <c r="G41" s="1" t="s">
        <v>86</v>
      </c>
      <c r="H41" s="1" t="s">
        <v>70</v>
      </c>
      <c r="I41" s="1" t="s">
        <v>37</v>
      </c>
      <c r="J41" s="1" t="s">
        <v>38</v>
      </c>
      <c r="K41" s="1" t="s">
        <v>39</v>
      </c>
      <c r="L41">
        <v>120</v>
      </c>
      <c r="M41">
        <v>50.5</v>
      </c>
      <c r="N41">
        <v>30.7</v>
      </c>
      <c r="O41">
        <v>31.6</v>
      </c>
      <c r="P41">
        <v>4.8989999999999999E-2</v>
      </c>
      <c r="Q41">
        <v>8.9499999999999993</v>
      </c>
      <c r="R41">
        <v>7.84</v>
      </c>
      <c r="S41">
        <v>4</v>
      </c>
      <c r="T41">
        <v>3</v>
      </c>
      <c r="U41">
        <v>12</v>
      </c>
      <c r="V41">
        <v>109.8</v>
      </c>
      <c r="W41">
        <v>132.39999999999998</v>
      </c>
      <c r="X41">
        <v>0.58787999999999996</v>
      </c>
      <c r="Y41">
        <v>31.05</v>
      </c>
      <c r="Z41">
        <v>1.5211395000000001</v>
      </c>
      <c r="AA41">
        <v>2.5874999999999999</v>
      </c>
      <c r="AB41">
        <v>29211.84</v>
      </c>
      <c r="AC41">
        <v>3</v>
      </c>
      <c r="AD41" s="1" t="s">
        <v>40</v>
      </c>
      <c r="AE41">
        <v>3</v>
      </c>
      <c r="AF41">
        <v>0</v>
      </c>
      <c r="AG41">
        <v>25.822368421052634</v>
      </c>
    </row>
    <row r="42" spans="1:33">
      <c r="A42" s="1" t="s">
        <v>87</v>
      </c>
      <c r="B42" s="1" t="s">
        <v>2213</v>
      </c>
      <c r="C42" s="2">
        <v>46655</v>
      </c>
      <c r="D42" s="1" t="s">
        <v>34</v>
      </c>
      <c r="E42">
        <v>31300</v>
      </c>
      <c r="F42" s="2">
        <v>46081</v>
      </c>
      <c r="G42" s="1" t="s">
        <v>88</v>
      </c>
      <c r="H42" s="1" t="s">
        <v>70</v>
      </c>
      <c r="I42" s="1" t="s">
        <v>37</v>
      </c>
      <c r="J42" s="1" t="s">
        <v>38</v>
      </c>
      <c r="K42" s="1" t="s">
        <v>39</v>
      </c>
      <c r="L42">
        <v>180</v>
      </c>
      <c r="M42">
        <v>41.9</v>
      </c>
      <c r="N42">
        <v>25.7</v>
      </c>
      <c r="O42">
        <v>16.100000000000001</v>
      </c>
      <c r="P42">
        <v>1.7336963E-2</v>
      </c>
      <c r="Q42">
        <v>2.8</v>
      </c>
      <c r="R42">
        <v>19.02</v>
      </c>
      <c r="S42">
        <v>6</v>
      </c>
      <c r="T42">
        <v>6</v>
      </c>
      <c r="U42">
        <v>36</v>
      </c>
      <c r="V42">
        <v>111.6</v>
      </c>
      <c r="W42">
        <v>125.8</v>
      </c>
      <c r="X42">
        <v>0.62413066800000006</v>
      </c>
      <c r="Y42">
        <v>173.88888888888889</v>
      </c>
      <c r="Z42">
        <v>3.0147052327777777</v>
      </c>
      <c r="AA42">
        <v>4.8302469135802468</v>
      </c>
      <c r="AB42">
        <v>595326</v>
      </c>
      <c r="AC42">
        <v>5</v>
      </c>
      <c r="AD42" s="1" t="s">
        <v>40</v>
      </c>
      <c r="AE42">
        <v>5</v>
      </c>
      <c r="AF42">
        <v>0</v>
      </c>
      <c r="AG42">
        <v>18.881578947368421</v>
      </c>
    </row>
    <row r="43" spans="1:33">
      <c r="A43" s="1" t="s">
        <v>87</v>
      </c>
      <c r="B43" s="1" t="s">
        <v>2214</v>
      </c>
      <c r="C43" s="2">
        <v>45754</v>
      </c>
      <c r="D43" s="1" t="s">
        <v>73</v>
      </c>
      <c r="E43">
        <v>2504</v>
      </c>
      <c r="F43" s="2">
        <v>46081</v>
      </c>
      <c r="G43" s="1" t="s">
        <v>88</v>
      </c>
      <c r="H43" s="1" t="s">
        <v>70</v>
      </c>
      <c r="I43" s="1" t="s">
        <v>37</v>
      </c>
      <c r="J43" s="1" t="s">
        <v>38</v>
      </c>
      <c r="K43" s="1" t="s">
        <v>39</v>
      </c>
      <c r="L43">
        <v>180</v>
      </c>
      <c r="M43">
        <v>41.9</v>
      </c>
      <c r="N43">
        <v>25.7</v>
      </c>
      <c r="O43">
        <v>16.100000000000001</v>
      </c>
      <c r="P43">
        <v>1.7336963E-2</v>
      </c>
      <c r="Q43">
        <v>2.8</v>
      </c>
      <c r="R43">
        <v>19.02</v>
      </c>
      <c r="S43">
        <v>6</v>
      </c>
      <c r="T43">
        <v>6</v>
      </c>
      <c r="U43">
        <v>36</v>
      </c>
      <c r="V43">
        <v>111.6</v>
      </c>
      <c r="W43">
        <v>125.8</v>
      </c>
      <c r="X43">
        <v>0.62413066800000006</v>
      </c>
      <c r="Y43">
        <v>13.911111111111111</v>
      </c>
      <c r="Z43">
        <v>0.24117641862222222</v>
      </c>
      <c r="AA43">
        <v>0.38641975308641974</v>
      </c>
      <c r="AB43">
        <v>47626.080000000002</v>
      </c>
      <c r="AC43">
        <v>1</v>
      </c>
      <c r="AD43" s="1" t="s">
        <v>74</v>
      </c>
      <c r="AE43">
        <v>0</v>
      </c>
      <c r="AF43">
        <v>0</v>
      </c>
      <c r="AG43">
        <v>-10.756578947368421</v>
      </c>
    </row>
    <row r="44" spans="1:33">
      <c r="A44" s="1" t="s">
        <v>89</v>
      </c>
      <c r="B44" s="1" t="s">
        <v>2215</v>
      </c>
      <c r="C44" s="2">
        <v>46819</v>
      </c>
      <c r="D44" s="1" t="s">
        <v>34</v>
      </c>
      <c r="E44">
        <v>747</v>
      </c>
      <c r="F44" s="2">
        <v>46081</v>
      </c>
      <c r="G44" s="1" t="s">
        <v>90</v>
      </c>
      <c r="H44" s="1" t="s">
        <v>36</v>
      </c>
      <c r="I44" s="1" t="s">
        <v>37</v>
      </c>
      <c r="J44" s="1" t="s">
        <v>38</v>
      </c>
      <c r="K44" s="1" t="s">
        <v>39</v>
      </c>
      <c r="L44">
        <v>180</v>
      </c>
      <c r="M44">
        <v>36.4</v>
      </c>
      <c r="N44">
        <v>42.4</v>
      </c>
      <c r="O44">
        <v>33.1</v>
      </c>
      <c r="P44">
        <v>5.1090000000000003E-2</v>
      </c>
      <c r="Q44">
        <v>7.86</v>
      </c>
      <c r="R44">
        <v>19.510000000000002</v>
      </c>
      <c r="S44">
        <v>6</v>
      </c>
      <c r="T44">
        <v>3</v>
      </c>
      <c r="U44">
        <v>18</v>
      </c>
      <c r="V44">
        <v>114.3</v>
      </c>
      <c r="W44">
        <v>166.48000000000002</v>
      </c>
      <c r="X44">
        <v>0.91961999999999999</v>
      </c>
      <c r="Y44">
        <v>4.1500000000000004</v>
      </c>
      <c r="Z44">
        <v>0.21202350000000003</v>
      </c>
      <c r="AA44">
        <v>0.23055555555555557</v>
      </c>
      <c r="AB44">
        <v>14573.970000000001</v>
      </c>
      <c r="AC44">
        <v>1</v>
      </c>
      <c r="AD44" s="1" t="s">
        <v>44</v>
      </c>
      <c r="AE44">
        <v>0</v>
      </c>
      <c r="AF44">
        <v>1</v>
      </c>
      <c r="AG44">
        <v>24.276315789473685</v>
      </c>
    </row>
    <row r="45" spans="1:33">
      <c r="A45" s="1" t="s">
        <v>91</v>
      </c>
      <c r="B45" s="1" t="s">
        <v>2216</v>
      </c>
      <c r="C45" s="2">
        <v>46878</v>
      </c>
      <c r="D45" s="1" t="s">
        <v>34</v>
      </c>
      <c r="E45">
        <v>10094</v>
      </c>
      <c r="F45" s="2">
        <v>46081</v>
      </c>
      <c r="G45" s="1" t="s">
        <v>92</v>
      </c>
      <c r="H45" s="1" t="s">
        <v>43</v>
      </c>
      <c r="I45" s="1" t="s">
        <v>37</v>
      </c>
      <c r="J45" s="1" t="s">
        <v>38</v>
      </c>
      <c r="K45" s="1" t="s">
        <v>39</v>
      </c>
      <c r="L45">
        <v>240</v>
      </c>
      <c r="M45">
        <v>46.9</v>
      </c>
      <c r="N45">
        <v>26.6</v>
      </c>
      <c r="O45">
        <v>26.4</v>
      </c>
      <c r="P45">
        <v>3.2939999999999997E-2</v>
      </c>
      <c r="Q45">
        <v>8.91</v>
      </c>
      <c r="R45">
        <v>8.68</v>
      </c>
      <c r="S45">
        <v>7</v>
      </c>
      <c r="T45">
        <v>4</v>
      </c>
      <c r="U45">
        <v>28</v>
      </c>
      <c r="V45">
        <v>120.6</v>
      </c>
      <c r="W45">
        <v>274.48</v>
      </c>
      <c r="X45">
        <v>0.92232000000000003</v>
      </c>
      <c r="Y45">
        <v>42.05833333333333</v>
      </c>
      <c r="Z45">
        <v>1.3854014999999997</v>
      </c>
      <c r="AA45">
        <v>1.5020833333333332</v>
      </c>
      <c r="AB45">
        <v>87615.92</v>
      </c>
      <c r="AC45">
        <v>2</v>
      </c>
      <c r="AD45" s="1" t="s">
        <v>40</v>
      </c>
      <c r="AE45">
        <v>2</v>
      </c>
      <c r="AF45">
        <v>0</v>
      </c>
      <c r="AG45">
        <v>26.217105263157897</v>
      </c>
    </row>
    <row r="46" spans="1:33">
      <c r="A46" s="1" t="s">
        <v>91</v>
      </c>
      <c r="B46" s="1" t="s">
        <v>2217</v>
      </c>
      <c r="C46" s="2">
        <v>46994</v>
      </c>
      <c r="D46" s="1" t="s">
        <v>34</v>
      </c>
      <c r="E46">
        <v>28287</v>
      </c>
      <c r="F46" s="2">
        <v>46081</v>
      </c>
      <c r="G46" s="1" t="s">
        <v>92</v>
      </c>
      <c r="H46" s="1" t="s">
        <v>43</v>
      </c>
      <c r="I46" s="1" t="s">
        <v>37</v>
      </c>
      <c r="J46" s="1" t="s">
        <v>38</v>
      </c>
      <c r="K46" s="1" t="s">
        <v>39</v>
      </c>
      <c r="L46">
        <v>240</v>
      </c>
      <c r="M46">
        <v>46.9</v>
      </c>
      <c r="N46">
        <v>26.6</v>
      </c>
      <c r="O46">
        <v>26.4</v>
      </c>
      <c r="P46">
        <v>3.2939999999999997E-2</v>
      </c>
      <c r="Q46">
        <v>8.91</v>
      </c>
      <c r="R46">
        <v>8.68</v>
      </c>
      <c r="S46">
        <v>7</v>
      </c>
      <c r="T46">
        <v>4</v>
      </c>
      <c r="U46">
        <v>28</v>
      </c>
      <c r="V46">
        <v>120.6</v>
      </c>
      <c r="W46">
        <v>274.48</v>
      </c>
      <c r="X46">
        <v>0.92232000000000003</v>
      </c>
      <c r="Y46">
        <v>117.8625</v>
      </c>
      <c r="Z46">
        <v>3.8823907499999994</v>
      </c>
      <c r="AA46">
        <v>4.2093749999999996</v>
      </c>
      <c r="AB46">
        <v>245531.16</v>
      </c>
      <c r="AC46">
        <v>5</v>
      </c>
      <c r="AD46" s="1" t="s">
        <v>40</v>
      </c>
      <c r="AE46">
        <v>5</v>
      </c>
      <c r="AF46">
        <v>0</v>
      </c>
      <c r="AG46">
        <v>30.032894736842106</v>
      </c>
    </row>
    <row r="47" spans="1:33">
      <c r="A47" s="1" t="s">
        <v>91</v>
      </c>
      <c r="B47" s="1" t="s">
        <v>2218</v>
      </c>
      <c r="C47" s="2">
        <v>46717</v>
      </c>
      <c r="D47" s="1" t="s">
        <v>49</v>
      </c>
      <c r="E47">
        <v>1919</v>
      </c>
      <c r="F47" s="2">
        <v>46081</v>
      </c>
      <c r="G47" s="1" t="s">
        <v>92</v>
      </c>
      <c r="H47" s="1" t="s">
        <v>43</v>
      </c>
      <c r="I47" s="1" t="s">
        <v>37</v>
      </c>
      <c r="J47" s="1" t="s">
        <v>38</v>
      </c>
      <c r="K47" s="1" t="s">
        <v>39</v>
      </c>
      <c r="L47">
        <v>240</v>
      </c>
      <c r="M47">
        <v>46.9</v>
      </c>
      <c r="N47">
        <v>26.6</v>
      </c>
      <c r="O47">
        <v>26.4</v>
      </c>
      <c r="P47">
        <v>3.2939999999999997E-2</v>
      </c>
      <c r="Q47">
        <v>8.91</v>
      </c>
      <c r="R47">
        <v>8.68</v>
      </c>
      <c r="S47">
        <v>7</v>
      </c>
      <c r="T47">
        <v>4</v>
      </c>
      <c r="U47">
        <v>28</v>
      </c>
      <c r="V47">
        <v>120.6</v>
      </c>
      <c r="W47">
        <v>274.48</v>
      </c>
      <c r="X47">
        <v>0.92232000000000003</v>
      </c>
      <c r="Y47">
        <v>7.9958333333333336</v>
      </c>
      <c r="Z47">
        <v>0.26338275</v>
      </c>
      <c r="AA47">
        <v>0.28556547619047618</v>
      </c>
      <c r="AB47">
        <v>16656.919999999998</v>
      </c>
      <c r="AC47">
        <v>1</v>
      </c>
      <c r="AD47" s="1" t="s">
        <v>40</v>
      </c>
      <c r="AE47">
        <v>1</v>
      </c>
      <c r="AF47">
        <v>0</v>
      </c>
      <c r="AG47">
        <v>20.921052631578949</v>
      </c>
    </row>
    <row r="48" spans="1:33">
      <c r="A48" s="1" t="s">
        <v>93</v>
      </c>
      <c r="B48" s="1" t="s">
        <v>2219</v>
      </c>
      <c r="C48" s="2">
        <v>46824</v>
      </c>
      <c r="D48" s="1" t="s">
        <v>34</v>
      </c>
      <c r="E48">
        <v>19124</v>
      </c>
      <c r="F48" s="2">
        <v>46081</v>
      </c>
      <c r="G48" s="1" t="s">
        <v>94</v>
      </c>
      <c r="H48" s="1" t="s">
        <v>52</v>
      </c>
      <c r="I48" s="1" t="s">
        <v>37</v>
      </c>
      <c r="J48" s="1" t="s">
        <v>38</v>
      </c>
      <c r="K48" s="1" t="s">
        <v>39</v>
      </c>
      <c r="L48">
        <v>180</v>
      </c>
      <c r="M48">
        <v>37</v>
      </c>
      <c r="N48">
        <v>31.6</v>
      </c>
      <c r="O48">
        <v>16.2</v>
      </c>
      <c r="P48">
        <v>1.8939999999999999E-2</v>
      </c>
      <c r="Q48">
        <v>4.55</v>
      </c>
      <c r="R48">
        <v>3.72</v>
      </c>
      <c r="S48">
        <v>9</v>
      </c>
      <c r="T48">
        <v>8</v>
      </c>
      <c r="U48">
        <v>72</v>
      </c>
      <c r="V48">
        <v>144.6</v>
      </c>
      <c r="W48">
        <v>352.6</v>
      </c>
      <c r="X48">
        <v>1.36368</v>
      </c>
      <c r="Y48">
        <v>106.24444444444444</v>
      </c>
      <c r="Z48">
        <v>2.0122697777777776</v>
      </c>
      <c r="AA48">
        <v>1.4756172839506172</v>
      </c>
      <c r="AB48">
        <v>71141.279999999999</v>
      </c>
      <c r="AC48">
        <v>2</v>
      </c>
      <c r="AD48" s="1" t="s">
        <v>40</v>
      </c>
      <c r="AE48">
        <v>2</v>
      </c>
      <c r="AF48">
        <v>0</v>
      </c>
      <c r="AG48">
        <v>24.440789473684212</v>
      </c>
    </row>
    <row r="49" spans="1:33">
      <c r="A49" s="1" t="s">
        <v>93</v>
      </c>
      <c r="B49" s="1" t="s">
        <v>2220</v>
      </c>
      <c r="C49" s="2">
        <v>46930</v>
      </c>
      <c r="D49" s="1" t="s">
        <v>34</v>
      </c>
      <c r="E49">
        <v>17531</v>
      </c>
      <c r="F49" s="2">
        <v>46081</v>
      </c>
      <c r="G49" s="1" t="s">
        <v>94</v>
      </c>
      <c r="H49" s="1" t="s">
        <v>52</v>
      </c>
      <c r="I49" s="1" t="s">
        <v>37</v>
      </c>
      <c r="J49" s="1" t="s">
        <v>38</v>
      </c>
      <c r="K49" s="1" t="s">
        <v>39</v>
      </c>
      <c r="L49">
        <v>180</v>
      </c>
      <c r="M49">
        <v>37</v>
      </c>
      <c r="N49">
        <v>31.6</v>
      </c>
      <c r="O49">
        <v>16.2</v>
      </c>
      <c r="P49">
        <v>1.8939999999999999E-2</v>
      </c>
      <c r="Q49">
        <v>4.55</v>
      </c>
      <c r="R49">
        <v>3.72</v>
      </c>
      <c r="S49">
        <v>9</v>
      </c>
      <c r="T49">
        <v>8</v>
      </c>
      <c r="U49">
        <v>72</v>
      </c>
      <c r="V49">
        <v>144.6</v>
      </c>
      <c r="W49">
        <v>352.6</v>
      </c>
      <c r="X49">
        <v>1.36368</v>
      </c>
      <c r="Y49">
        <v>97.394444444444446</v>
      </c>
      <c r="Z49">
        <v>1.8446507777777776</v>
      </c>
      <c r="AA49">
        <v>1.3527006172839506</v>
      </c>
      <c r="AB49">
        <v>65215.320000000007</v>
      </c>
      <c r="AC49">
        <v>2</v>
      </c>
      <c r="AD49" s="1" t="s">
        <v>40</v>
      </c>
      <c r="AE49">
        <v>2</v>
      </c>
      <c r="AF49">
        <v>0</v>
      </c>
      <c r="AG49">
        <v>27.92763157894737</v>
      </c>
    </row>
    <row r="50" spans="1:33">
      <c r="A50" s="1" t="s">
        <v>95</v>
      </c>
      <c r="B50" s="1" t="s">
        <v>2221</v>
      </c>
      <c r="C50" s="2">
        <v>47155</v>
      </c>
      <c r="D50" s="1" t="s">
        <v>34</v>
      </c>
      <c r="E50">
        <v>1337</v>
      </c>
      <c r="F50" s="2">
        <v>46081</v>
      </c>
      <c r="G50" s="1" t="s">
        <v>96</v>
      </c>
      <c r="H50" s="1" t="s">
        <v>43</v>
      </c>
      <c r="I50" s="1" t="s">
        <v>37</v>
      </c>
      <c r="J50" s="1" t="s">
        <v>38</v>
      </c>
      <c r="K50" s="1" t="s">
        <v>39</v>
      </c>
      <c r="L50">
        <v>60</v>
      </c>
      <c r="M50">
        <v>32.5</v>
      </c>
      <c r="N50">
        <v>43.6</v>
      </c>
      <c r="O50">
        <v>17.5</v>
      </c>
      <c r="P50">
        <v>2.4799999999999999E-2</v>
      </c>
      <c r="Q50">
        <v>5.25</v>
      </c>
      <c r="R50">
        <v>11.43</v>
      </c>
      <c r="S50">
        <v>6</v>
      </c>
      <c r="T50">
        <v>6</v>
      </c>
      <c r="U50">
        <v>36</v>
      </c>
      <c r="V50">
        <v>120</v>
      </c>
      <c r="W50">
        <v>214</v>
      </c>
      <c r="X50">
        <v>0.89279999999999993</v>
      </c>
      <c r="Y50">
        <v>22.283333333333335</v>
      </c>
      <c r="Z50">
        <v>0.55262666666666671</v>
      </c>
      <c r="AA50">
        <v>0.61898148148148158</v>
      </c>
      <c r="AB50">
        <v>15281.91</v>
      </c>
      <c r="AC50">
        <v>1</v>
      </c>
      <c r="AD50" s="1" t="s">
        <v>40</v>
      </c>
      <c r="AE50">
        <v>1</v>
      </c>
      <c r="AF50">
        <v>0</v>
      </c>
      <c r="AG50">
        <v>35.328947368421055</v>
      </c>
    </row>
    <row r="51" spans="1:33">
      <c r="A51" s="1" t="s">
        <v>95</v>
      </c>
      <c r="B51" s="1" t="s">
        <v>2222</v>
      </c>
      <c r="C51" s="2">
        <v>46324</v>
      </c>
      <c r="D51" s="1" t="s">
        <v>34</v>
      </c>
      <c r="E51">
        <v>364</v>
      </c>
      <c r="F51" s="2">
        <v>46081</v>
      </c>
      <c r="G51" s="1" t="s">
        <v>96</v>
      </c>
      <c r="H51" s="1" t="s">
        <v>43</v>
      </c>
      <c r="I51" s="1" t="s">
        <v>37</v>
      </c>
      <c r="J51" s="1" t="s">
        <v>38</v>
      </c>
      <c r="K51" s="1" t="s">
        <v>39</v>
      </c>
      <c r="L51">
        <v>60</v>
      </c>
      <c r="M51">
        <v>32.5</v>
      </c>
      <c r="N51">
        <v>43.6</v>
      </c>
      <c r="O51">
        <v>17.5</v>
      </c>
      <c r="P51">
        <v>2.4799999999999999E-2</v>
      </c>
      <c r="Q51">
        <v>5.25</v>
      </c>
      <c r="R51">
        <v>11.43</v>
      </c>
      <c r="S51">
        <v>6</v>
      </c>
      <c r="T51">
        <v>6</v>
      </c>
      <c r="U51">
        <v>36</v>
      </c>
      <c r="V51">
        <v>120</v>
      </c>
      <c r="W51">
        <v>214</v>
      </c>
      <c r="X51">
        <v>0.89279999999999993</v>
      </c>
      <c r="Y51">
        <v>6.0666666666666664</v>
      </c>
      <c r="Z51">
        <v>0.15045333333333333</v>
      </c>
      <c r="AA51">
        <v>0.16851851851851851</v>
      </c>
      <c r="AB51">
        <v>4160.5199999999995</v>
      </c>
      <c r="AC51">
        <v>1</v>
      </c>
      <c r="AD51" s="1" t="s">
        <v>44</v>
      </c>
      <c r="AE51">
        <v>0</v>
      </c>
      <c r="AF51">
        <v>1</v>
      </c>
      <c r="AG51">
        <v>7.9934210526315796</v>
      </c>
    </row>
    <row r="52" spans="1:33">
      <c r="A52" s="1" t="s">
        <v>95</v>
      </c>
      <c r="B52" s="1" t="s">
        <v>2223</v>
      </c>
      <c r="C52" s="2">
        <v>46911</v>
      </c>
      <c r="D52" s="1" t="s">
        <v>34</v>
      </c>
      <c r="E52">
        <v>757</v>
      </c>
      <c r="F52" s="2">
        <v>46081</v>
      </c>
      <c r="G52" s="1" t="s">
        <v>96</v>
      </c>
      <c r="H52" s="1" t="s">
        <v>43</v>
      </c>
      <c r="I52" s="1" t="s">
        <v>37</v>
      </c>
      <c r="J52" s="1" t="s">
        <v>38</v>
      </c>
      <c r="K52" s="1" t="s">
        <v>39</v>
      </c>
      <c r="L52">
        <v>60</v>
      </c>
      <c r="M52">
        <v>32.5</v>
      </c>
      <c r="N52">
        <v>43.6</v>
      </c>
      <c r="O52">
        <v>17.5</v>
      </c>
      <c r="P52">
        <v>2.4799999999999999E-2</v>
      </c>
      <c r="Q52">
        <v>5.25</v>
      </c>
      <c r="R52">
        <v>11.43</v>
      </c>
      <c r="S52">
        <v>6</v>
      </c>
      <c r="T52">
        <v>6</v>
      </c>
      <c r="U52">
        <v>36</v>
      </c>
      <c r="V52">
        <v>120</v>
      </c>
      <c r="W52">
        <v>214</v>
      </c>
      <c r="X52">
        <v>0.89279999999999993</v>
      </c>
      <c r="Y52">
        <v>12.616666666666667</v>
      </c>
      <c r="Z52">
        <v>0.31289333333333336</v>
      </c>
      <c r="AA52">
        <v>0.35046296296296298</v>
      </c>
      <c r="AB52">
        <v>8652.51</v>
      </c>
      <c r="AC52">
        <v>1</v>
      </c>
      <c r="AD52" s="1" t="s">
        <v>40</v>
      </c>
      <c r="AE52">
        <v>1</v>
      </c>
      <c r="AF52">
        <v>0</v>
      </c>
      <c r="AG52">
        <v>27.30263157894737</v>
      </c>
    </row>
    <row r="53" spans="1:33">
      <c r="A53" s="1" t="s">
        <v>97</v>
      </c>
      <c r="B53" s="1" t="s">
        <v>2224</v>
      </c>
      <c r="C53" s="2">
        <v>46904</v>
      </c>
      <c r="D53" s="1" t="s">
        <v>34</v>
      </c>
      <c r="E53">
        <v>7196</v>
      </c>
      <c r="F53" s="2">
        <v>46081</v>
      </c>
      <c r="G53" s="1" t="s">
        <v>98</v>
      </c>
      <c r="H53" s="1" t="s">
        <v>48</v>
      </c>
      <c r="I53" s="1" t="s">
        <v>37</v>
      </c>
      <c r="J53" s="1" t="s">
        <v>38</v>
      </c>
      <c r="K53" s="1" t="s">
        <v>39</v>
      </c>
      <c r="L53">
        <v>100</v>
      </c>
      <c r="M53">
        <v>51</v>
      </c>
      <c r="N53">
        <v>34.4</v>
      </c>
      <c r="O53">
        <v>31.2</v>
      </c>
      <c r="P53">
        <v>5.4739999999999997E-2</v>
      </c>
      <c r="Q53">
        <v>9.81</v>
      </c>
      <c r="R53">
        <v>19.37</v>
      </c>
      <c r="S53">
        <v>4</v>
      </c>
      <c r="T53">
        <v>3</v>
      </c>
      <c r="U53">
        <v>12</v>
      </c>
      <c r="V53">
        <v>108.6</v>
      </c>
      <c r="W53">
        <v>142.72</v>
      </c>
      <c r="X53">
        <v>0.65687999999999991</v>
      </c>
      <c r="Y53">
        <v>71.959999999999994</v>
      </c>
      <c r="Z53">
        <v>3.9390903999999995</v>
      </c>
      <c r="AA53">
        <v>5.9966666666666661</v>
      </c>
      <c r="AB53">
        <v>139386.52000000002</v>
      </c>
      <c r="AC53">
        <v>6</v>
      </c>
      <c r="AD53" s="1" t="s">
        <v>40</v>
      </c>
      <c r="AE53">
        <v>6</v>
      </c>
      <c r="AF53">
        <v>0</v>
      </c>
      <c r="AG53">
        <v>27.072368421052634</v>
      </c>
    </row>
    <row r="54" spans="1:33">
      <c r="A54" s="1" t="s">
        <v>97</v>
      </c>
      <c r="B54" s="1" t="s">
        <v>2225</v>
      </c>
      <c r="C54" s="2">
        <v>46899</v>
      </c>
      <c r="D54" s="1" t="s">
        <v>34</v>
      </c>
      <c r="E54">
        <v>2727</v>
      </c>
      <c r="F54" s="2">
        <v>46081</v>
      </c>
      <c r="G54" s="1" t="s">
        <v>98</v>
      </c>
      <c r="H54" s="1" t="s">
        <v>48</v>
      </c>
      <c r="I54" s="1" t="s">
        <v>37</v>
      </c>
      <c r="J54" s="1" t="s">
        <v>38</v>
      </c>
      <c r="K54" s="1" t="s">
        <v>39</v>
      </c>
      <c r="L54">
        <v>100</v>
      </c>
      <c r="M54">
        <v>51</v>
      </c>
      <c r="N54">
        <v>34.4</v>
      </c>
      <c r="O54">
        <v>31.2</v>
      </c>
      <c r="P54">
        <v>5.4739999999999997E-2</v>
      </c>
      <c r="Q54">
        <v>9.81</v>
      </c>
      <c r="R54">
        <v>19.37</v>
      </c>
      <c r="S54">
        <v>4</v>
      </c>
      <c r="T54">
        <v>3</v>
      </c>
      <c r="U54">
        <v>12</v>
      </c>
      <c r="V54">
        <v>108.6</v>
      </c>
      <c r="W54">
        <v>142.72</v>
      </c>
      <c r="X54">
        <v>0.65687999999999991</v>
      </c>
      <c r="Y54">
        <v>27.27</v>
      </c>
      <c r="Z54">
        <v>1.4927598</v>
      </c>
      <c r="AA54">
        <v>2.2725</v>
      </c>
      <c r="AB54">
        <v>52821.990000000005</v>
      </c>
      <c r="AC54">
        <v>3</v>
      </c>
      <c r="AD54" s="1" t="s">
        <v>40</v>
      </c>
      <c r="AE54">
        <v>3</v>
      </c>
      <c r="AF54">
        <v>0</v>
      </c>
      <c r="AG54">
        <v>26.907894736842106</v>
      </c>
    </row>
    <row r="55" spans="1:33">
      <c r="A55" s="1" t="s">
        <v>99</v>
      </c>
      <c r="B55" s="1" t="s">
        <v>2226</v>
      </c>
      <c r="C55" s="2">
        <v>46218</v>
      </c>
      <c r="D55" s="1" t="s">
        <v>34</v>
      </c>
      <c r="E55">
        <v>1942</v>
      </c>
      <c r="F55" s="2">
        <v>46081</v>
      </c>
      <c r="G55" s="1" t="s">
        <v>100</v>
      </c>
      <c r="H55" s="1" t="s">
        <v>67</v>
      </c>
      <c r="I55" s="1" t="s">
        <v>37</v>
      </c>
      <c r="J55" s="1" t="s">
        <v>38</v>
      </c>
      <c r="K55" s="1" t="s">
        <v>39</v>
      </c>
      <c r="L55">
        <v>240</v>
      </c>
      <c r="M55">
        <v>36.6</v>
      </c>
      <c r="N55">
        <v>37.200000000000003</v>
      </c>
      <c r="O55">
        <v>27</v>
      </c>
      <c r="P55">
        <v>3.6760000000000001E-2</v>
      </c>
      <c r="Q55">
        <v>9.16</v>
      </c>
      <c r="R55">
        <v>9.61</v>
      </c>
      <c r="S55">
        <v>5</v>
      </c>
      <c r="T55">
        <v>4</v>
      </c>
      <c r="U55">
        <v>20</v>
      </c>
      <c r="V55">
        <v>123</v>
      </c>
      <c r="W55">
        <v>208.2</v>
      </c>
      <c r="X55">
        <v>0.73520000000000008</v>
      </c>
      <c r="Y55">
        <v>8.0916666666666668</v>
      </c>
      <c r="Z55">
        <v>0.29744966666666667</v>
      </c>
      <c r="AA55">
        <v>0.40458333333333335</v>
      </c>
      <c r="AB55">
        <v>18662.62</v>
      </c>
      <c r="AC55">
        <v>1</v>
      </c>
      <c r="AD55" s="1" t="s">
        <v>40</v>
      </c>
      <c r="AE55">
        <v>1</v>
      </c>
      <c r="AF55">
        <v>0</v>
      </c>
      <c r="AG55">
        <v>4.5065789473684212</v>
      </c>
    </row>
    <row r="56" spans="1:33">
      <c r="A56" s="1" t="s">
        <v>99</v>
      </c>
      <c r="B56" s="1" t="s">
        <v>2227</v>
      </c>
      <c r="C56" s="2">
        <v>46485</v>
      </c>
      <c r="D56" s="1" t="s">
        <v>34</v>
      </c>
      <c r="E56">
        <v>1177</v>
      </c>
      <c r="F56" s="2">
        <v>46081</v>
      </c>
      <c r="G56" s="1" t="s">
        <v>100</v>
      </c>
      <c r="H56" s="1" t="s">
        <v>67</v>
      </c>
      <c r="I56" s="1" t="s">
        <v>37</v>
      </c>
      <c r="J56" s="1" t="s">
        <v>38</v>
      </c>
      <c r="K56" s="1" t="s">
        <v>39</v>
      </c>
      <c r="L56">
        <v>240</v>
      </c>
      <c r="M56">
        <v>36.6</v>
      </c>
      <c r="N56">
        <v>37.200000000000003</v>
      </c>
      <c r="O56">
        <v>27</v>
      </c>
      <c r="P56">
        <v>3.6760000000000001E-2</v>
      </c>
      <c r="Q56">
        <v>9.16</v>
      </c>
      <c r="R56">
        <v>9.61</v>
      </c>
      <c r="S56">
        <v>5</v>
      </c>
      <c r="T56">
        <v>4</v>
      </c>
      <c r="U56">
        <v>20</v>
      </c>
      <c r="V56">
        <v>123</v>
      </c>
      <c r="W56">
        <v>208.2</v>
      </c>
      <c r="X56">
        <v>0.73520000000000008</v>
      </c>
      <c r="Y56">
        <v>4.9041666666666668</v>
      </c>
      <c r="Z56">
        <v>0.18027716666666668</v>
      </c>
      <c r="AA56">
        <v>0.24520833333333333</v>
      </c>
      <c r="AB56">
        <v>11310.97</v>
      </c>
      <c r="AC56">
        <v>1</v>
      </c>
      <c r="AD56" s="1" t="s">
        <v>44</v>
      </c>
      <c r="AE56">
        <v>0</v>
      </c>
      <c r="AF56">
        <v>1</v>
      </c>
      <c r="AG56">
        <v>13.289473684210527</v>
      </c>
    </row>
    <row r="57" spans="1:33">
      <c r="A57" s="1" t="s">
        <v>99</v>
      </c>
      <c r="B57" s="1" t="s">
        <v>2228</v>
      </c>
      <c r="C57" s="2">
        <v>46926</v>
      </c>
      <c r="D57" s="1" t="s">
        <v>34</v>
      </c>
      <c r="E57">
        <v>2420</v>
      </c>
      <c r="F57" s="2">
        <v>46081</v>
      </c>
      <c r="G57" s="1" t="s">
        <v>100</v>
      </c>
      <c r="H57" s="1" t="s">
        <v>67</v>
      </c>
      <c r="I57" s="1" t="s">
        <v>37</v>
      </c>
      <c r="J57" s="1" t="s">
        <v>38</v>
      </c>
      <c r="K57" s="1" t="s">
        <v>39</v>
      </c>
      <c r="L57">
        <v>240</v>
      </c>
      <c r="M57">
        <v>36.6</v>
      </c>
      <c r="N57">
        <v>37.200000000000003</v>
      </c>
      <c r="O57">
        <v>27</v>
      </c>
      <c r="P57">
        <v>3.6760000000000001E-2</v>
      </c>
      <c r="Q57">
        <v>9.16</v>
      </c>
      <c r="R57">
        <v>9.61</v>
      </c>
      <c r="S57">
        <v>5</v>
      </c>
      <c r="T57">
        <v>4</v>
      </c>
      <c r="U57">
        <v>20</v>
      </c>
      <c r="V57">
        <v>123</v>
      </c>
      <c r="W57">
        <v>208.2</v>
      </c>
      <c r="X57">
        <v>0.73520000000000008</v>
      </c>
      <c r="Y57">
        <v>10.083333333333334</v>
      </c>
      <c r="Z57">
        <v>0.37066333333333334</v>
      </c>
      <c r="AA57">
        <v>0.50416666666666665</v>
      </c>
      <c r="AB57">
        <v>23256.199999999997</v>
      </c>
      <c r="AC57">
        <v>1</v>
      </c>
      <c r="AD57" s="1" t="s">
        <v>40</v>
      </c>
      <c r="AE57">
        <v>1</v>
      </c>
      <c r="AF57">
        <v>0</v>
      </c>
      <c r="AG57">
        <v>27.796052631578949</v>
      </c>
    </row>
    <row r="58" spans="1:33">
      <c r="A58" s="1" t="s">
        <v>99</v>
      </c>
      <c r="B58" s="1" t="s">
        <v>2229</v>
      </c>
      <c r="C58" s="2">
        <v>46629</v>
      </c>
      <c r="D58" s="1" t="s">
        <v>45</v>
      </c>
      <c r="E58">
        <v>110</v>
      </c>
      <c r="F58" s="2">
        <v>46081</v>
      </c>
      <c r="G58" s="1" t="s">
        <v>100</v>
      </c>
      <c r="H58" s="1" t="s">
        <v>67</v>
      </c>
      <c r="I58" s="1" t="s">
        <v>37</v>
      </c>
      <c r="J58" s="1" t="s">
        <v>38</v>
      </c>
      <c r="K58" s="1" t="s">
        <v>39</v>
      </c>
      <c r="L58">
        <v>240</v>
      </c>
      <c r="M58">
        <v>36.6</v>
      </c>
      <c r="N58">
        <v>37.200000000000003</v>
      </c>
      <c r="O58">
        <v>27</v>
      </c>
      <c r="P58">
        <v>3.6760000000000001E-2</v>
      </c>
      <c r="Q58">
        <v>9.16</v>
      </c>
      <c r="R58">
        <v>9.61</v>
      </c>
      <c r="S58">
        <v>5</v>
      </c>
      <c r="T58">
        <v>4</v>
      </c>
      <c r="U58">
        <v>20</v>
      </c>
      <c r="V58">
        <v>123</v>
      </c>
      <c r="W58">
        <v>208.2</v>
      </c>
      <c r="X58">
        <v>0.73520000000000008</v>
      </c>
      <c r="Y58">
        <v>0.45833333333333331</v>
      </c>
      <c r="Z58">
        <v>1.6848333333333333E-2</v>
      </c>
      <c r="AA58">
        <v>2.2916666666666665E-2</v>
      </c>
      <c r="AB58">
        <v>1057.0999999999999</v>
      </c>
      <c r="AC58">
        <v>1</v>
      </c>
      <c r="AD58" s="1" t="s">
        <v>44</v>
      </c>
      <c r="AE58">
        <v>0</v>
      </c>
      <c r="AF58">
        <v>1</v>
      </c>
      <c r="AG58">
        <v>18.026315789473685</v>
      </c>
    </row>
    <row r="59" spans="1:33">
      <c r="A59" s="1" t="s">
        <v>101</v>
      </c>
      <c r="B59" s="1" t="s">
        <v>2230</v>
      </c>
      <c r="C59" s="2">
        <v>46899</v>
      </c>
      <c r="D59" s="1" t="s">
        <v>34</v>
      </c>
      <c r="E59">
        <v>558</v>
      </c>
      <c r="F59" s="2">
        <v>46081</v>
      </c>
      <c r="G59" s="1" t="s">
        <v>102</v>
      </c>
      <c r="H59" s="1" t="s">
        <v>43</v>
      </c>
      <c r="I59" s="1" t="s">
        <v>37</v>
      </c>
      <c r="J59" s="1" t="s">
        <v>38</v>
      </c>
      <c r="K59" s="1" t="s">
        <v>39</v>
      </c>
      <c r="L59">
        <v>100</v>
      </c>
      <c r="M59">
        <v>33.9</v>
      </c>
      <c r="N59">
        <v>42.9</v>
      </c>
      <c r="O59">
        <v>29.6</v>
      </c>
      <c r="P59">
        <v>4.3049999999999998E-2</v>
      </c>
      <c r="Q59">
        <v>11.9</v>
      </c>
      <c r="R59">
        <v>15.11</v>
      </c>
      <c r="S59">
        <v>6</v>
      </c>
      <c r="T59">
        <v>3</v>
      </c>
      <c r="U59">
        <v>18</v>
      </c>
      <c r="V59">
        <v>103.8</v>
      </c>
      <c r="W59">
        <v>239.2</v>
      </c>
      <c r="X59">
        <v>0.77489999999999992</v>
      </c>
      <c r="Y59">
        <v>5.58</v>
      </c>
      <c r="Z59">
        <v>0.24021899999999999</v>
      </c>
      <c r="AA59">
        <v>0.31</v>
      </c>
      <c r="AB59">
        <v>8431.3799999999992</v>
      </c>
      <c r="AC59">
        <v>1</v>
      </c>
      <c r="AD59" s="1" t="s">
        <v>44</v>
      </c>
      <c r="AE59">
        <v>0</v>
      </c>
      <c r="AF59">
        <v>1</v>
      </c>
      <c r="AG59">
        <v>26.907894736842106</v>
      </c>
    </row>
    <row r="60" spans="1:33">
      <c r="A60" s="1" t="s">
        <v>101</v>
      </c>
      <c r="B60" s="1" t="s">
        <v>2231</v>
      </c>
      <c r="C60" s="2">
        <v>46363</v>
      </c>
      <c r="D60" s="1" t="s">
        <v>49</v>
      </c>
      <c r="E60">
        <v>27</v>
      </c>
      <c r="F60" s="2">
        <v>46081</v>
      </c>
      <c r="G60" s="1" t="s">
        <v>102</v>
      </c>
      <c r="H60" s="1" t="s">
        <v>43</v>
      </c>
      <c r="I60" s="1" t="s">
        <v>37</v>
      </c>
      <c r="J60" s="1" t="s">
        <v>38</v>
      </c>
      <c r="K60" s="1" t="s">
        <v>39</v>
      </c>
      <c r="L60">
        <v>100</v>
      </c>
      <c r="M60">
        <v>33.9</v>
      </c>
      <c r="N60">
        <v>42.9</v>
      </c>
      <c r="O60">
        <v>29.6</v>
      </c>
      <c r="P60">
        <v>4.3049999999999998E-2</v>
      </c>
      <c r="Q60">
        <v>11.9</v>
      </c>
      <c r="R60">
        <v>15.11</v>
      </c>
      <c r="S60">
        <v>6</v>
      </c>
      <c r="T60">
        <v>3</v>
      </c>
      <c r="U60">
        <v>18</v>
      </c>
      <c r="V60">
        <v>103.8</v>
      </c>
      <c r="W60">
        <v>239.2</v>
      </c>
      <c r="X60">
        <v>0.77489999999999992</v>
      </c>
      <c r="Y60">
        <v>0.27</v>
      </c>
      <c r="Z60">
        <v>1.16235E-2</v>
      </c>
      <c r="AA60">
        <v>1.5000000000000001E-2</v>
      </c>
      <c r="AB60">
        <v>407.96999999999997</v>
      </c>
      <c r="AC60">
        <v>1</v>
      </c>
      <c r="AD60" s="1" t="s">
        <v>44</v>
      </c>
      <c r="AE60">
        <v>0</v>
      </c>
      <c r="AF60">
        <v>1</v>
      </c>
      <c r="AG60">
        <v>9.276315789473685</v>
      </c>
    </row>
    <row r="61" spans="1:33">
      <c r="A61" s="1" t="s">
        <v>103</v>
      </c>
      <c r="B61" s="1" t="s">
        <v>2232</v>
      </c>
      <c r="C61" s="2">
        <v>46895</v>
      </c>
      <c r="D61" s="1" t="s">
        <v>34</v>
      </c>
      <c r="E61">
        <v>80</v>
      </c>
      <c r="F61" s="2">
        <v>46081</v>
      </c>
      <c r="G61" s="1" t="s">
        <v>104</v>
      </c>
      <c r="H61" s="1" t="s">
        <v>43</v>
      </c>
      <c r="I61" s="1" t="s">
        <v>37</v>
      </c>
      <c r="J61" s="1" t="s">
        <v>38</v>
      </c>
      <c r="K61" s="1" t="s">
        <v>39</v>
      </c>
      <c r="L61">
        <v>100</v>
      </c>
      <c r="M61">
        <v>57.9</v>
      </c>
      <c r="N61">
        <v>35.299999999999997</v>
      </c>
      <c r="O61">
        <v>19.600000000000001</v>
      </c>
      <c r="P61">
        <v>4.0059999999999998E-2</v>
      </c>
      <c r="Q61">
        <v>6.03</v>
      </c>
      <c r="R61">
        <v>11.09</v>
      </c>
      <c r="S61">
        <v>4</v>
      </c>
      <c r="T61">
        <v>4</v>
      </c>
      <c r="U61">
        <v>16</v>
      </c>
      <c r="V61">
        <v>93.4</v>
      </c>
      <c r="W61">
        <v>121.48</v>
      </c>
      <c r="X61">
        <v>0.64095999999999997</v>
      </c>
      <c r="Y61">
        <v>0.8</v>
      </c>
      <c r="Z61">
        <v>3.2048E-2</v>
      </c>
      <c r="AA61">
        <v>0.05</v>
      </c>
      <c r="AB61">
        <v>887.2</v>
      </c>
      <c r="AC61">
        <v>1</v>
      </c>
      <c r="AD61" s="1" t="s">
        <v>44</v>
      </c>
      <c r="AE61">
        <v>0</v>
      </c>
      <c r="AF61">
        <v>1</v>
      </c>
      <c r="AG61">
        <v>26.776315789473685</v>
      </c>
    </row>
    <row r="62" spans="1:33">
      <c r="A62" s="1" t="s">
        <v>103</v>
      </c>
      <c r="B62" s="1" t="s">
        <v>2233</v>
      </c>
      <c r="C62" s="2">
        <v>46388</v>
      </c>
      <c r="D62" s="1" t="s">
        <v>34</v>
      </c>
      <c r="E62">
        <v>10</v>
      </c>
      <c r="F62" s="2">
        <v>46081</v>
      </c>
      <c r="G62" s="1" t="s">
        <v>104</v>
      </c>
      <c r="H62" s="1" t="s">
        <v>43</v>
      </c>
      <c r="I62" s="1" t="s">
        <v>37</v>
      </c>
      <c r="J62" s="1" t="s">
        <v>38</v>
      </c>
      <c r="K62" s="1" t="s">
        <v>39</v>
      </c>
      <c r="L62">
        <v>100</v>
      </c>
      <c r="M62">
        <v>57.9</v>
      </c>
      <c r="N62">
        <v>35.299999999999997</v>
      </c>
      <c r="O62">
        <v>19.600000000000001</v>
      </c>
      <c r="P62">
        <v>4.0059999999999998E-2</v>
      </c>
      <c r="Q62">
        <v>6.03</v>
      </c>
      <c r="R62">
        <v>11.09</v>
      </c>
      <c r="S62">
        <v>4</v>
      </c>
      <c r="T62">
        <v>4</v>
      </c>
      <c r="U62">
        <v>16</v>
      </c>
      <c r="V62">
        <v>93.4</v>
      </c>
      <c r="W62">
        <v>121.48</v>
      </c>
      <c r="X62">
        <v>0.64095999999999997</v>
      </c>
      <c r="Y62">
        <v>0.1</v>
      </c>
      <c r="Z62">
        <v>4.006E-3</v>
      </c>
      <c r="AA62">
        <v>6.2500000000000003E-3</v>
      </c>
      <c r="AB62">
        <v>110.9</v>
      </c>
      <c r="AC62">
        <v>1</v>
      </c>
      <c r="AD62" s="1" t="s">
        <v>44</v>
      </c>
      <c r="AE62">
        <v>0</v>
      </c>
      <c r="AF62">
        <v>1</v>
      </c>
      <c r="AG62">
        <v>10.098684210526317</v>
      </c>
    </row>
    <row r="63" spans="1:33">
      <c r="A63" s="1" t="s">
        <v>103</v>
      </c>
      <c r="B63" s="1" t="s">
        <v>2234</v>
      </c>
      <c r="C63" s="2">
        <v>46956</v>
      </c>
      <c r="D63" s="1" t="s">
        <v>34</v>
      </c>
      <c r="E63">
        <v>284</v>
      </c>
      <c r="F63" s="2">
        <v>46081</v>
      </c>
      <c r="G63" s="1" t="s">
        <v>104</v>
      </c>
      <c r="H63" s="1" t="s">
        <v>43</v>
      </c>
      <c r="I63" s="1" t="s">
        <v>37</v>
      </c>
      <c r="J63" s="1" t="s">
        <v>38</v>
      </c>
      <c r="K63" s="1" t="s">
        <v>39</v>
      </c>
      <c r="L63">
        <v>100</v>
      </c>
      <c r="M63">
        <v>57.9</v>
      </c>
      <c r="N63">
        <v>35.299999999999997</v>
      </c>
      <c r="O63">
        <v>19.600000000000001</v>
      </c>
      <c r="P63">
        <v>4.0059999999999998E-2</v>
      </c>
      <c r="Q63">
        <v>6.03</v>
      </c>
      <c r="R63">
        <v>11.09</v>
      </c>
      <c r="S63">
        <v>4</v>
      </c>
      <c r="T63">
        <v>4</v>
      </c>
      <c r="U63">
        <v>16</v>
      </c>
      <c r="V63">
        <v>93.4</v>
      </c>
      <c r="W63">
        <v>121.48</v>
      </c>
      <c r="X63">
        <v>0.64095999999999997</v>
      </c>
      <c r="Y63">
        <v>2.84</v>
      </c>
      <c r="Z63">
        <v>0.11377039999999999</v>
      </c>
      <c r="AA63">
        <v>0.17749999999999999</v>
      </c>
      <c r="AB63">
        <v>3149.56</v>
      </c>
      <c r="AC63">
        <v>1</v>
      </c>
      <c r="AD63" s="1" t="s">
        <v>44</v>
      </c>
      <c r="AE63">
        <v>0</v>
      </c>
      <c r="AF63">
        <v>1</v>
      </c>
      <c r="AG63">
        <v>28.782894736842106</v>
      </c>
    </row>
    <row r="64" spans="1:33">
      <c r="A64" s="1" t="s">
        <v>103</v>
      </c>
      <c r="B64" s="1" t="s">
        <v>2235</v>
      </c>
      <c r="C64" s="2">
        <v>46765</v>
      </c>
      <c r="D64" s="1" t="s">
        <v>34</v>
      </c>
      <c r="E64">
        <v>6</v>
      </c>
      <c r="F64" s="2">
        <v>46081</v>
      </c>
      <c r="G64" s="1" t="s">
        <v>104</v>
      </c>
      <c r="H64" s="1" t="s">
        <v>43</v>
      </c>
      <c r="I64" s="1" t="s">
        <v>37</v>
      </c>
      <c r="J64" s="1" t="s">
        <v>38</v>
      </c>
      <c r="K64" s="1" t="s">
        <v>39</v>
      </c>
      <c r="L64">
        <v>100</v>
      </c>
      <c r="M64">
        <v>57.9</v>
      </c>
      <c r="N64">
        <v>35.299999999999997</v>
      </c>
      <c r="O64">
        <v>19.600000000000001</v>
      </c>
      <c r="P64">
        <v>4.0059999999999998E-2</v>
      </c>
      <c r="Q64">
        <v>6.03</v>
      </c>
      <c r="R64">
        <v>11.09</v>
      </c>
      <c r="S64">
        <v>4</v>
      </c>
      <c r="T64">
        <v>4</v>
      </c>
      <c r="U64">
        <v>16</v>
      </c>
      <c r="V64">
        <v>93.4</v>
      </c>
      <c r="W64">
        <v>121.48</v>
      </c>
      <c r="X64">
        <v>0.64095999999999997</v>
      </c>
      <c r="Y64">
        <v>0.06</v>
      </c>
      <c r="Z64">
        <v>2.4035999999999997E-3</v>
      </c>
      <c r="AA64">
        <v>3.7499999999999999E-3</v>
      </c>
      <c r="AB64">
        <v>66.539999999999992</v>
      </c>
      <c r="AC64">
        <v>1</v>
      </c>
      <c r="AD64" s="1" t="s">
        <v>44</v>
      </c>
      <c r="AE64">
        <v>0</v>
      </c>
      <c r="AF64">
        <v>1</v>
      </c>
      <c r="AG64">
        <v>22.5</v>
      </c>
    </row>
    <row r="65" spans="1:33">
      <c r="A65" s="1" t="s">
        <v>105</v>
      </c>
      <c r="B65" s="1" t="s">
        <v>2236</v>
      </c>
      <c r="C65" s="2">
        <v>46710</v>
      </c>
      <c r="D65" s="1" t="s">
        <v>34</v>
      </c>
      <c r="E65">
        <v>1568</v>
      </c>
      <c r="F65" s="2">
        <v>46081</v>
      </c>
      <c r="G65" s="1" t="s">
        <v>106</v>
      </c>
      <c r="H65" s="1" t="s">
        <v>52</v>
      </c>
      <c r="I65" s="1" t="s">
        <v>37</v>
      </c>
      <c r="J65" s="1" t="s">
        <v>38</v>
      </c>
      <c r="K65" s="1" t="s">
        <v>39</v>
      </c>
      <c r="L65">
        <v>180</v>
      </c>
      <c r="M65">
        <v>42.1</v>
      </c>
      <c r="N65">
        <v>38.4</v>
      </c>
      <c r="O65">
        <v>18.899999999999999</v>
      </c>
      <c r="P65">
        <v>3.0550000000000001E-2</v>
      </c>
      <c r="Q65">
        <v>8.3699999999999992</v>
      </c>
      <c r="R65">
        <v>21.04</v>
      </c>
      <c r="S65">
        <v>5</v>
      </c>
      <c r="T65">
        <v>4</v>
      </c>
      <c r="U65">
        <v>20</v>
      </c>
      <c r="V65">
        <v>90.6</v>
      </c>
      <c r="W65">
        <v>192.4</v>
      </c>
      <c r="X65">
        <v>0.61099999999999999</v>
      </c>
      <c r="Y65">
        <v>8.7111111111111104</v>
      </c>
      <c r="Z65">
        <v>0.26612444444444444</v>
      </c>
      <c r="AA65">
        <v>0.43555555555555553</v>
      </c>
      <c r="AB65">
        <v>32990.720000000001</v>
      </c>
      <c r="AC65">
        <v>1</v>
      </c>
      <c r="AD65" s="1" t="s">
        <v>40</v>
      </c>
      <c r="AE65">
        <v>1</v>
      </c>
      <c r="AF65">
        <v>0</v>
      </c>
      <c r="AG65">
        <v>20.690789473684212</v>
      </c>
    </row>
    <row r="66" spans="1:33">
      <c r="A66" s="1" t="s">
        <v>107</v>
      </c>
      <c r="B66" s="1" t="s">
        <v>2237</v>
      </c>
      <c r="C66" s="2">
        <v>46337</v>
      </c>
      <c r="D66" s="1" t="s">
        <v>34</v>
      </c>
      <c r="E66">
        <v>155</v>
      </c>
      <c r="F66" s="2">
        <v>46081</v>
      </c>
      <c r="G66" s="1" t="s">
        <v>108</v>
      </c>
      <c r="H66" s="1" t="s">
        <v>43</v>
      </c>
      <c r="I66" s="1" t="s">
        <v>37</v>
      </c>
      <c r="J66" s="1" t="s">
        <v>38</v>
      </c>
      <c r="K66" s="1" t="s">
        <v>39</v>
      </c>
      <c r="L66">
        <v>60</v>
      </c>
      <c r="M66">
        <v>56.5</v>
      </c>
      <c r="N66">
        <v>30.2</v>
      </c>
      <c r="O66">
        <v>31.8</v>
      </c>
      <c r="P66">
        <v>5.4260000000000003E-2</v>
      </c>
      <c r="Q66">
        <v>12.08</v>
      </c>
      <c r="R66">
        <v>3.73</v>
      </c>
      <c r="S66">
        <v>6</v>
      </c>
      <c r="T66">
        <v>2</v>
      </c>
      <c r="U66">
        <v>12</v>
      </c>
      <c r="V66">
        <v>78.599999999999994</v>
      </c>
      <c r="W66">
        <v>169.96</v>
      </c>
      <c r="X66">
        <v>0.65112000000000003</v>
      </c>
      <c r="Y66">
        <v>2.5833333333333335</v>
      </c>
      <c r="Z66">
        <v>0.14017166666666669</v>
      </c>
      <c r="AA66">
        <v>0.21527777777777779</v>
      </c>
      <c r="AB66">
        <v>578.15</v>
      </c>
      <c r="AC66">
        <v>1</v>
      </c>
      <c r="AD66" s="1" t="s">
        <v>44</v>
      </c>
      <c r="AE66">
        <v>0</v>
      </c>
      <c r="AF66">
        <v>1</v>
      </c>
      <c r="AG66">
        <v>8.4210526315789469</v>
      </c>
    </row>
    <row r="67" spans="1:33">
      <c r="A67" s="1" t="s">
        <v>107</v>
      </c>
      <c r="B67" s="1" t="s">
        <v>2238</v>
      </c>
      <c r="C67" s="2">
        <v>46662</v>
      </c>
      <c r="D67" s="1" t="s">
        <v>34</v>
      </c>
      <c r="E67">
        <v>198</v>
      </c>
      <c r="F67" s="2">
        <v>46081</v>
      </c>
      <c r="G67" s="1" t="s">
        <v>108</v>
      </c>
      <c r="H67" s="1" t="s">
        <v>43</v>
      </c>
      <c r="I67" s="1" t="s">
        <v>37</v>
      </c>
      <c r="J67" s="1" t="s">
        <v>38</v>
      </c>
      <c r="K67" s="1" t="s">
        <v>39</v>
      </c>
      <c r="L67">
        <v>60</v>
      </c>
      <c r="M67">
        <v>56.5</v>
      </c>
      <c r="N67">
        <v>30.2</v>
      </c>
      <c r="O67">
        <v>31.8</v>
      </c>
      <c r="P67">
        <v>5.4260000000000003E-2</v>
      </c>
      <c r="Q67">
        <v>12.08</v>
      </c>
      <c r="R67">
        <v>3.73</v>
      </c>
      <c r="S67">
        <v>6</v>
      </c>
      <c r="T67">
        <v>2</v>
      </c>
      <c r="U67">
        <v>12</v>
      </c>
      <c r="V67">
        <v>78.599999999999994</v>
      </c>
      <c r="W67">
        <v>169.96</v>
      </c>
      <c r="X67">
        <v>0.65112000000000003</v>
      </c>
      <c r="Y67">
        <v>3.3</v>
      </c>
      <c r="Z67">
        <v>0.17905799999999999</v>
      </c>
      <c r="AA67">
        <v>0.27499999999999997</v>
      </c>
      <c r="AB67">
        <v>738.54</v>
      </c>
      <c r="AC67">
        <v>1</v>
      </c>
      <c r="AD67" s="1" t="s">
        <v>44</v>
      </c>
      <c r="AE67">
        <v>0</v>
      </c>
      <c r="AF67">
        <v>1</v>
      </c>
      <c r="AG67">
        <v>19.111842105263158</v>
      </c>
    </row>
    <row r="68" spans="1:33">
      <c r="A68" s="1" t="s">
        <v>109</v>
      </c>
      <c r="B68" s="1" t="s">
        <v>2239</v>
      </c>
      <c r="C68" s="2">
        <v>46518</v>
      </c>
      <c r="D68" s="1" t="s">
        <v>34</v>
      </c>
      <c r="E68">
        <v>31808</v>
      </c>
      <c r="F68" s="2">
        <v>46081</v>
      </c>
      <c r="G68" s="1" t="s">
        <v>110</v>
      </c>
      <c r="H68" s="1" t="s">
        <v>36</v>
      </c>
      <c r="I68" s="1" t="s">
        <v>37</v>
      </c>
      <c r="J68" s="1" t="s">
        <v>38</v>
      </c>
      <c r="K68" s="1" t="s">
        <v>39</v>
      </c>
      <c r="L68">
        <v>100</v>
      </c>
      <c r="M68">
        <v>52.7</v>
      </c>
      <c r="N68">
        <v>39</v>
      </c>
      <c r="O68">
        <v>31.5</v>
      </c>
      <c r="P68">
        <v>6.4740000000000006E-2</v>
      </c>
      <c r="Q68">
        <v>10.75</v>
      </c>
      <c r="R68">
        <v>5.77</v>
      </c>
      <c r="S68">
        <v>4</v>
      </c>
      <c r="T68">
        <v>4</v>
      </c>
      <c r="U68">
        <v>16</v>
      </c>
      <c r="V68">
        <v>141</v>
      </c>
      <c r="W68">
        <v>197</v>
      </c>
      <c r="X68">
        <v>1.0358400000000001</v>
      </c>
      <c r="Y68">
        <v>318.08</v>
      </c>
      <c r="Z68">
        <v>20.592499200000002</v>
      </c>
      <c r="AA68">
        <v>19.88</v>
      </c>
      <c r="AB68">
        <v>183532.15999999997</v>
      </c>
      <c r="AC68">
        <v>20</v>
      </c>
      <c r="AD68" s="1" t="s">
        <v>40</v>
      </c>
      <c r="AE68">
        <v>20</v>
      </c>
      <c r="AF68">
        <v>0</v>
      </c>
      <c r="AG68">
        <v>14.375</v>
      </c>
    </row>
    <row r="69" spans="1:33">
      <c r="A69" s="1" t="s">
        <v>109</v>
      </c>
      <c r="B69" s="1" t="s">
        <v>2240</v>
      </c>
      <c r="C69" s="2">
        <v>46635</v>
      </c>
      <c r="D69" s="1" t="s">
        <v>34</v>
      </c>
      <c r="E69">
        <v>8429</v>
      </c>
      <c r="F69" s="2">
        <v>46081</v>
      </c>
      <c r="G69" s="1" t="s">
        <v>110</v>
      </c>
      <c r="H69" s="1" t="s">
        <v>36</v>
      </c>
      <c r="I69" s="1" t="s">
        <v>37</v>
      </c>
      <c r="J69" s="1" t="s">
        <v>38</v>
      </c>
      <c r="K69" s="1" t="s">
        <v>39</v>
      </c>
      <c r="L69">
        <v>100</v>
      </c>
      <c r="M69">
        <v>52.7</v>
      </c>
      <c r="N69">
        <v>39</v>
      </c>
      <c r="O69">
        <v>31.5</v>
      </c>
      <c r="P69">
        <v>6.4740000000000006E-2</v>
      </c>
      <c r="Q69">
        <v>10.75</v>
      </c>
      <c r="R69">
        <v>5.77</v>
      </c>
      <c r="S69">
        <v>4</v>
      </c>
      <c r="T69">
        <v>4</v>
      </c>
      <c r="U69">
        <v>16</v>
      </c>
      <c r="V69">
        <v>141</v>
      </c>
      <c r="W69">
        <v>197</v>
      </c>
      <c r="X69">
        <v>1.0358400000000001</v>
      </c>
      <c r="Y69">
        <v>84.29</v>
      </c>
      <c r="Z69">
        <v>5.4569346000000012</v>
      </c>
      <c r="AA69">
        <v>5.2681250000000004</v>
      </c>
      <c r="AB69">
        <v>48635.329999999994</v>
      </c>
      <c r="AC69">
        <v>6</v>
      </c>
      <c r="AD69" s="1" t="s">
        <v>40</v>
      </c>
      <c r="AE69">
        <v>6</v>
      </c>
      <c r="AF69">
        <v>0</v>
      </c>
      <c r="AG69">
        <v>18.223684210526315</v>
      </c>
    </row>
    <row r="70" spans="1:33">
      <c r="A70" s="1" t="s">
        <v>111</v>
      </c>
      <c r="B70" s="1" t="s">
        <v>2241</v>
      </c>
      <c r="C70" s="2">
        <v>46732</v>
      </c>
      <c r="D70" s="1" t="s">
        <v>34</v>
      </c>
      <c r="E70">
        <v>575</v>
      </c>
      <c r="F70" s="2">
        <v>46081</v>
      </c>
      <c r="G70" s="1" t="s">
        <v>112</v>
      </c>
      <c r="H70" s="1" t="s">
        <v>48</v>
      </c>
      <c r="I70" s="1" t="s">
        <v>37</v>
      </c>
      <c r="J70" s="1" t="s">
        <v>38</v>
      </c>
      <c r="K70" s="1" t="s">
        <v>39</v>
      </c>
      <c r="L70">
        <v>100</v>
      </c>
      <c r="M70">
        <v>56.1</v>
      </c>
      <c r="N70">
        <v>30.3</v>
      </c>
      <c r="O70">
        <v>32.9</v>
      </c>
      <c r="P70">
        <v>5.5919999999999997E-2</v>
      </c>
      <c r="Q70">
        <v>10.82</v>
      </c>
      <c r="R70">
        <v>10.85</v>
      </c>
      <c r="S70">
        <v>6</v>
      </c>
      <c r="T70">
        <v>3</v>
      </c>
      <c r="U70">
        <v>18</v>
      </c>
      <c r="V70">
        <v>113.7</v>
      </c>
      <c r="W70">
        <v>219.76</v>
      </c>
      <c r="X70">
        <v>1.0065599999999999</v>
      </c>
      <c r="Y70">
        <v>5.75</v>
      </c>
      <c r="Z70">
        <v>0.32153999999999999</v>
      </c>
      <c r="AA70">
        <v>0.31944444444444442</v>
      </c>
      <c r="AB70">
        <v>6238.75</v>
      </c>
      <c r="AC70">
        <v>1</v>
      </c>
      <c r="AD70" s="1" t="s">
        <v>40</v>
      </c>
      <c r="AE70">
        <v>1</v>
      </c>
      <c r="AF70">
        <v>0</v>
      </c>
      <c r="AG70">
        <v>21.414473684210527</v>
      </c>
    </row>
    <row r="71" spans="1:33">
      <c r="A71" s="1" t="s">
        <v>113</v>
      </c>
      <c r="B71" s="1" t="s">
        <v>2242</v>
      </c>
      <c r="C71" s="2">
        <v>46815</v>
      </c>
      <c r="D71" s="1" t="s">
        <v>34</v>
      </c>
      <c r="E71">
        <v>489</v>
      </c>
      <c r="F71" s="2">
        <v>46081</v>
      </c>
      <c r="G71" s="1" t="s">
        <v>114</v>
      </c>
      <c r="H71" s="1" t="s">
        <v>48</v>
      </c>
      <c r="I71" s="1" t="s">
        <v>37</v>
      </c>
      <c r="J71" s="1" t="s">
        <v>38</v>
      </c>
      <c r="K71" s="1" t="s">
        <v>39</v>
      </c>
      <c r="L71">
        <v>60</v>
      </c>
      <c r="M71">
        <v>33.1</v>
      </c>
      <c r="N71">
        <v>33.6</v>
      </c>
      <c r="O71">
        <v>31</v>
      </c>
      <c r="P71">
        <v>3.4479999999999997E-2</v>
      </c>
      <c r="Q71">
        <v>6.29</v>
      </c>
      <c r="R71">
        <v>14.51</v>
      </c>
      <c r="S71">
        <v>9</v>
      </c>
      <c r="T71">
        <v>2</v>
      </c>
      <c r="U71">
        <v>18</v>
      </c>
      <c r="V71">
        <v>77</v>
      </c>
      <c r="W71">
        <v>138.22</v>
      </c>
      <c r="X71">
        <v>0.62063999999999997</v>
      </c>
      <c r="Y71">
        <v>8.15</v>
      </c>
      <c r="Z71">
        <v>0.28101199999999998</v>
      </c>
      <c r="AA71">
        <v>0.45277777777777778</v>
      </c>
      <c r="AB71">
        <v>7095.39</v>
      </c>
      <c r="AC71">
        <v>1</v>
      </c>
      <c r="AD71" s="1" t="s">
        <v>40</v>
      </c>
      <c r="AE71">
        <v>1</v>
      </c>
      <c r="AF71">
        <v>0</v>
      </c>
      <c r="AG71">
        <v>24.144736842105264</v>
      </c>
    </row>
    <row r="72" spans="1:33">
      <c r="A72" s="1" t="s">
        <v>113</v>
      </c>
      <c r="B72" s="1" t="s">
        <v>2243</v>
      </c>
      <c r="C72" s="2">
        <v>46401</v>
      </c>
      <c r="D72" s="1" t="s">
        <v>34</v>
      </c>
      <c r="E72">
        <v>855</v>
      </c>
      <c r="F72" s="2">
        <v>46081</v>
      </c>
      <c r="G72" s="1" t="s">
        <v>114</v>
      </c>
      <c r="H72" s="1" t="s">
        <v>48</v>
      </c>
      <c r="I72" s="1" t="s">
        <v>37</v>
      </c>
      <c r="J72" s="1" t="s">
        <v>38</v>
      </c>
      <c r="K72" s="1" t="s">
        <v>39</v>
      </c>
      <c r="L72">
        <v>60</v>
      </c>
      <c r="M72">
        <v>33.1</v>
      </c>
      <c r="N72">
        <v>33.6</v>
      </c>
      <c r="O72">
        <v>31</v>
      </c>
      <c r="P72">
        <v>3.4479999999999997E-2</v>
      </c>
      <c r="Q72">
        <v>6.29</v>
      </c>
      <c r="R72">
        <v>14.51</v>
      </c>
      <c r="S72">
        <v>9</v>
      </c>
      <c r="T72">
        <v>2</v>
      </c>
      <c r="U72">
        <v>18</v>
      </c>
      <c r="V72">
        <v>77</v>
      </c>
      <c r="W72">
        <v>138.22</v>
      </c>
      <c r="X72">
        <v>0.62063999999999997</v>
      </c>
      <c r="Y72">
        <v>14.25</v>
      </c>
      <c r="Z72">
        <v>0.49133999999999994</v>
      </c>
      <c r="AA72">
        <v>0.79166666666666663</v>
      </c>
      <c r="AB72">
        <v>12406.05</v>
      </c>
      <c r="AC72">
        <v>1</v>
      </c>
      <c r="AD72" s="1" t="s">
        <v>40</v>
      </c>
      <c r="AE72">
        <v>1</v>
      </c>
      <c r="AF72">
        <v>0</v>
      </c>
      <c r="AG72">
        <v>10.526315789473685</v>
      </c>
    </row>
    <row r="73" spans="1:33">
      <c r="A73" s="1" t="s">
        <v>115</v>
      </c>
      <c r="B73" s="1" t="s">
        <v>2244</v>
      </c>
      <c r="C73" s="2">
        <v>46988</v>
      </c>
      <c r="D73" s="1" t="s">
        <v>34</v>
      </c>
      <c r="E73">
        <v>52057</v>
      </c>
      <c r="F73" s="2">
        <v>46081</v>
      </c>
      <c r="G73" s="1" t="s">
        <v>116</v>
      </c>
      <c r="H73" s="1" t="s">
        <v>70</v>
      </c>
      <c r="I73" s="1" t="s">
        <v>37</v>
      </c>
      <c r="J73" s="1" t="s">
        <v>38</v>
      </c>
      <c r="K73" s="1" t="s">
        <v>39</v>
      </c>
      <c r="L73">
        <v>240</v>
      </c>
      <c r="M73">
        <v>59.6</v>
      </c>
      <c r="N73">
        <v>34.9</v>
      </c>
      <c r="O73">
        <v>26.8</v>
      </c>
      <c r="P73">
        <v>5.5750000000000001E-2</v>
      </c>
      <c r="Q73">
        <v>14.35</v>
      </c>
      <c r="R73">
        <v>22.98</v>
      </c>
      <c r="S73">
        <v>2</v>
      </c>
      <c r="T73">
        <v>2</v>
      </c>
      <c r="U73">
        <v>4</v>
      </c>
      <c r="V73">
        <v>68.599999999999994</v>
      </c>
      <c r="W73">
        <v>82.4</v>
      </c>
      <c r="X73">
        <v>0.223</v>
      </c>
      <c r="Y73">
        <v>216.90416666666667</v>
      </c>
      <c r="Z73">
        <v>12.092407291666667</v>
      </c>
      <c r="AA73">
        <v>54.226041666666667</v>
      </c>
      <c r="AB73">
        <v>1196269.8600000001</v>
      </c>
      <c r="AC73">
        <v>55</v>
      </c>
      <c r="AD73" s="1" t="s">
        <v>40</v>
      </c>
      <c r="AE73">
        <v>55</v>
      </c>
      <c r="AF73">
        <v>0</v>
      </c>
      <c r="AG73">
        <v>29.835526315789476</v>
      </c>
    </row>
    <row r="74" spans="1:33">
      <c r="A74" s="1" t="s">
        <v>117</v>
      </c>
      <c r="B74" s="1" t="s">
        <v>2245</v>
      </c>
      <c r="C74" s="2">
        <v>46809</v>
      </c>
      <c r="D74" s="1" t="s">
        <v>34</v>
      </c>
      <c r="E74">
        <v>4088</v>
      </c>
      <c r="F74" s="2">
        <v>46081</v>
      </c>
      <c r="G74" s="1" t="s">
        <v>118</v>
      </c>
      <c r="H74" s="1" t="s">
        <v>36</v>
      </c>
      <c r="I74" s="1" t="s">
        <v>37</v>
      </c>
      <c r="J74" s="1" t="s">
        <v>38</v>
      </c>
      <c r="K74" s="1" t="s">
        <v>39</v>
      </c>
      <c r="L74">
        <v>100</v>
      </c>
      <c r="M74">
        <v>57.8</v>
      </c>
      <c r="N74">
        <v>36.700000000000003</v>
      </c>
      <c r="O74">
        <v>22.1</v>
      </c>
      <c r="P74">
        <v>4.6879999999999998E-2</v>
      </c>
      <c r="Q74">
        <v>9.02</v>
      </c>
      <c r="R74">
        <v>23.52</v>
      </c>
      <c r="S74">
        <v>4</v>
      </c>
      <c r="T74">
        <v>3</v>
      </c>
      <c r="U74">
        <v>12</v>
      </c>
      <c r="V74">
        <v>81.300000000000011</v>
      </c>
      <c r="W74">
        <v>133.24</v>
      </c>
      <c r="X74">
        <v>0.56255999999999995</v>
      </c>
      <c r="Y74">
        <v>40.880000000000003</v>
      </c>
      <c r="Z74">
        <v>1.9164544000000001</v>
      </c>
      <c r="AA74">
        <v>3.4066666666666667</v>
      </c>
      <c r="AB74">
        <v>96149.759999999995</v>
      </c>
      <c r="AC74">
        <v>4</v>
      </c>
      <c r="AD74" s="1" t="s">
        <v>40</v>
      </c>
      <c r="AE74">
        <v>4</v>
      </c>
      <c r="AF74">
        <v>0</v>
      </c>
      <c r="AG74">
        <v>23.947368421052634</v>
      </c>
    </row>
    <row r="75" spans="1:33">
      <c r="A75" s="1" t="s">
        <v>119</v>
      </c>
      <c r="B75" s="1" t="s">
        <v>2246</v>
      </c>
      <c r="C75" s="2">
        <v>46597</v>
      </c>
      <c r="D75" s="1" t="s">
        <v>34</v>
      </c>
      <c r="E75">
        <v>2907</v>
      </c>
      <c r="F75" s="2">
        <v>46081</v>
      </c>
      <c r="G75" s="1" t="s">
        <v>120</v>
      </c>
      <c r="H75" s="1" t="s">
        <v>67</v>
      </c>
      <c r="I75" s="1" t="s">
        <v>37</v>
      </c>
      <c r="J75" s="1" t="s">
        <v>38</v>
      </c>
      <c r="K75" s="1" t="s">
        <v>39</v>
      </c>
      <c r="L75">
        <v>240</v>
      </c>
      <c r="M75">
        <v>51.9</v>
      </c>
      <c r="N75">
        <v>42.4</v>
      </c>
      <c r="O75">
        <v>18.3</v>
      </c>
      <c r="P75">
        <v>4.027E-2</v>
      </c>
      <c r="Q75">
        <v>7.05</v>
      </c>
      <c r="R75">
        <v>14.42</v>
      </c>
      <c r="S75">
        <v>4</v>
      </c>
      <c r="T75">
        <v>4</v>
      </c>
      <c r="U75">
        <v>16</v>
      </c>
      <c r="V75">
        <v>88.2</v>
      </c>
      <c r="W75">
        <v>137.80000000000001</v>
      </c>
      <c r="X75">
        <v>0.64432</v>
      </c>
      <c r="Y75">
        <v>12.112500000000001</v>
      </c>
      <c r="Z75">
        <v>0.48777037500000003</v>
      </c>
      <c r="AA75">
        <v>0.75703125000000004</v>
      </c>
      <c r="AB75">
        <v>41918.94</v>
      </c>
      <c r="AC75">
        <v>1</v>
      </c>
      <c r="AD75" s="1" t="s">
        <v>40</v>
      </c>
      <c r="AE75">
        <v>1</v>
      </c>
      <c r="AF75">
        <v>0</v>
      </c>
      <c r="AG75">
        <v>16.973684210526315</v>
      </c>
    </row>
    <row r="76" spans="1:33">
      <c r="A76" s="1" t="s">
        <v>119</v>
      </c>
      <c r="B76" s="1" t="s">
        <v>2247</v>
      </c>
      <c r="C76" s="2">
        <v>46800</v>
      </c>
      <c r="D76" s="1" t="s">
        <v>45</v>
      </c>
      <c r="E76">
        <v>58</v>
      </c>
      <c r="F76" s="2">
        <v>46081</v>
      </c>
      <c r="G76" s="1" t="s">
        <v>120</v>
      </c>
      <c r="H76" s="1" t="s">
        <v>67</v>
      </c>
      <c r="I76" s="1" t="s">
        <v>37</v>
      </c>
      <c r="J76" s="1" t="s">
        <v>38</v>
      </c>
      <c r="K76" s="1" t="s">
        <v>39</v>
      </c>
      <c r="L76">
        <v>240</v>
      </c>
      <c r="M76">
        <v>51.9</v>
      </c>
      <c r="N76">
        <v>42.4</v>
      </c>
      <c r="O76">
        <v>18.3</v>
      </c>
      <c r="P76">
        <v>4.027E-2</v>
      </c>
      <c r="Q76">
        <v>7.05</v>
      </c>
      <c r="R76">
        <v>14.42</v>
      </c>
      <c r="S76">
        <v>4</v>
      </c>
      <c r="T76">
        <v>4</v>
      </c>
      <c r="U76">
        <v>16</v>
      </c>
      <c r="V76">
        <v>88.2</v>
      </c>
      <c r="W76">
        <v>137.80000000000001</v>
      </c>
      <c r="X76">
        <v>0.64432</v>
      </c>
      <c r="Y76">
        <v>0.24166666666666667</v>
      </c>
      <c r="Z76">
        <v>9.7319166666666665E-3</v>
      </c>
      <c r="AA76">
        <v>1.5104166666666667E-2</v>
      </c>
      <c r="AB76">
        <v>836.36</v>
      </c>
      <c r="AC76">
        <v>1</v>
      </c>
      <c r="AD76" s="1" t="s">
        <v>44</v>
      </c>
      <c r="AE76">
        <v>0</v>
      </c>
      <c r="AF76">
        <v>1</v>
      </c>
      <c r="AG76">
        <v>23.651315789473685</v>
      </c>
    </row>
    <row r="77" spans="1:33">
      <c r="A77" s="1" t="s">
        <v>121</v>
      </c>
      <c r="B77" s="1" t="s">
        <v>2248</v>
      </c>
      <c r="C77" s="2">
        <v>46564</v>
      </c>
      <c r="D77" s="1" t="s">
        <v>34</v>
      </c>
      <c r="E77">
        <v>4518</v>
      </c>
      <c r="F77" s="2">
        <v>46081</v>
      </c>
      <c r="G77" s="1" t="s">
        <v>122</v>
      </c>
      <c r="H77" s="1" t="s">
        <v>70</v>
      </c>
      <c r="I77" s="1" t="s">
        <v>37</v>
      </c>
      <c r="J77" s="1" t="s">
        <v>38</v>
      </c>
      <c r="K77" s="1" t="s">
        <v>39</v>
      </c>
      <c r="L77">
        <v>60</v>
      </c>
      <c r="M77">
        <v>33.299999999999997</v>
      </c>
      <c r="N77">
        <v>39.5</v>
      </c>
      <c r="O77">
        <v>26.9</v>
      </c>
      <c r="P77">
        <v>3.5380000000000002E-2</v>
      </c>
      <c r="Q77">
        <v>5.79</v>
      </c>
      <c r="R77">
        <v>19.53</v>
      </c>
      <c r="S77">
        <v>9</v>
      </c>
      <c r="T77">
        <v>5</v>
      </c>
      <c r="U77">
        <v>45</v>
      </c>
      <c r="V77">
        <v>149.5</v>
      </c>
      <c r="W77">
        <v>285.55</v>
      </c>
      <c r="X77">
        <v>1.5921000000000001</v>
      </c>
      <c r="Y77">
        <v>75.3</v>
      </c>
      <c r="Z77">
        <v>2.6641140000000001</v>
      </c>
      <c r="AA77">
        <v>1.6733333333333333</v>
      </c>
      <c r="AB77">
        <v>88236.540000000008</v>
      </c>
      <c r="AC77">
        <v>2</v>
      </c>
      <c r="AD77" s="1" t="s">
        <v>40</v>
      </c>
      <c r="AE77">
        <v>2</v>
      </c>
      <c r="AF77">
        <v>0</v>
      </c>
      <c r="AG77">
        <v>15.888157894736842</v>
      </c>
    </row>
    <row r="78" spans="1:33">
      <c r="A78" s="1" t="s">
        <v>123</v>
      </c>
      <c r="B78" s="1" t="s">
        <v>2249</v>
      </c>
      <c r="C78" s="2">
        <v>46287</v>
      </c>
      <c r="D78" s="1" t="s">
        <v>34</v>
      </c>
      <c r="E78">
        <v>31</v>
      </c>
      <c r="F78" s="2">
        <v>46081</v>
      </c>
      <c r="G78" s="1" t="s">
        <v>124</v>
      </c>
      <c r="H78" s="1" t="s">
        <v>70</v>
      </c>
      <c r="I78" s="1" t="s">
        <v>37</v>
      </c>
      <c r="J78" s="1" t="s">
        <v>38</v>
      </c>
      <c r="K78" s="1" t="s">
        <v>39</v>
      </c>
      <c r="L78">
        <v>180</v>
      </c>
      <c r="M78">
        <v>46.2</v>
      </c>
      <c r="N78">
        <v>28.8</v>
      </c>
      <c r="O78">
        <v>21.9</v>
      </c>
      <c r="P78">
        <v>2.9139999999999999E-2</v>
      </c>
      <c r="Q78">
        <v>8.23</v>
      </c>
      <c r="R78">
        <v>4.3499999999999996</v>
      </c>
      <c r="S78">
        <v>8</v>
      </c>
      <c r="T78">
        <v>3</v>
      </c>
      <c r="U78">
        <v>24</v>
      </c>
      <c r="V78">
        <v>80.699999999999989</v>
      </c>
      <c r="W78">
        <v>222.52</v>
      </c>
      <c r="X78">
        <v>0.69935999999999998</v>
      </c>
      <c r="Y78">
        <v>0.17222222222222222</v>
      </c>
      <c r="Z78">
        <v>5.0185555555555556E-3</v>
      </c>
      <c r="AA78">
        <v>7.1759259259259259E-3</v>
      </c>
      <c r="AB78">
        <v>134.85</v>
      </c>
      <c r="AC78">
        <v>1</v>
      </c>
      <c r="AD78" s="1" t="s">
        <v>44</v>
      </c>
      <c r="AE78">
        <v>0</v>
      </c>
      <c r="AF78">
        <v>1</v>
      </c>
      <c r="AG78">
        <v>6.776315789473685</v>
      </c>
    </row>
    <row r="79" spans="1:33">
      <c r="A79" s="1" t="s">
        <v>123</v>
      </c>
      <c r="B79" s="1" t="s">
        <v>2250</v>
      </c>
      <c r="C79" s="2">
        <v>46902</v>
      </c>
      <c r="D79" s="1" t="s">
        <v>34</v>
      </c>
      <c r="E79">
        <v>19</v>
      </c>
      <c r="F79" s="2">
        <v>46081</v>
      </c>
      <c r="G79" s="1" t="s">
        <v>124</v>
      </c>
      <c r="H79" s="1" t="s">
        <v>70</v>
      </c>
      <c r="I79" s="1" t="s">
        <v>37</v>
      </c>
      <c r="J79" s="1" t="s">
        <v>38</v>
      </c>
      <c r="K79" s="1" t="s">
        <v>39</v>
      </c>
      <c r="L79">
        <v>180</v>
      </c>
      <c r="M79">
        <v>46.2</v>
      </c>
      <c r="N79">
        <v>28.8</v>
      </c>
      <c r="O79">
        <v>21.9</v>
      </c>
      <c r="P79">
        <v>2.9139999999999999E-2</v>
      </c>
      <c r="Q79">
        <v>8.23</v>
      </c>
      <c r="R79">
        <v>4.3499999999999996</v>
      </c>
      <c r="S79">
        <v>8</v>
      </c>
      <c r="T79">
        <v>3</v>
      </c>
      <c r="U79">
        <v>24</v>
      </c>
      <c r="V79">
        <v>80.699999999999989</v>
      </c>
      <c r="W79">
        <v>222.52</v>
      </c>
      <c r="X79">
        <v>0.69935999999999998</v>
      </c>
      <c r="Y79">
        <v>0.10555555555555556</v>
      </c>
      <c r="Z79">
        <v>3.0758888888888889E-3</v>
      </c>
      <c r="AA79">
        <v>4.3981481481481484E-3</v>
      </c>
      <c r="AB79">
        <v>82.649999999999991</v>
      </c>
      <c r="AC79">
        <v>1</v>
      </c>
      <c r="AD79" s="1" t="s">
        <v>44</v>
      </c>
      <c r="AE79">
        <v>0</v>
      </c>
      <c r="AF79">
        <v>1</v>
      </c>
      <c r="AG79">
        <v>27.006578947368421</v>
      </c>
    </row>
    <row r="80" spans="1:33">
      <c r="A80" s="1" t="s">
        <v>123</v>
      </c>
      <c r="B80" s="1" t="s">
        <v>2251</v>
      </c>
      <c r="C80" s="2">
        <v>46460</v>
      </c>
      <c r="D80" s="1" t="s">
        <v>34</v>
      </c>
      <c r="E80">
        <v>3</v>
      </c>
      <c r="F80" s="2">
        <v>46081</v>
      </c>
      <c r="G80" s="1" t="s">
        <v>124</v>
      </c>
      <c r="H80" s="1" t="s">
        <v>70</v>
      </c>
      <c r="I80" s="1" t="s">
        <v>37</v>
      </c>
      <c r="J80" s="1" t="s">
        <v>38</v>
      </c>
      <c r="K80" s="1" t="s">
        <v>39</v>
      </c>
      <c r="L80">
        <v>180</v>
      </c>
      <c r="M80">
        <v>46.2</v>
      </c>
      <c r="N80">
        <v>28.8</v>
      </c>
      <c r="O80">
        <v>21.9</v>
      </c>
      <c r="P80">
        <v>2.9139999999999999E-2</v>
      </c>
      <c r="Q80">
        <v>8.23</v>
      </c>
      <c r="R80">
        <v>4.3499999999999996</v>
      </c>
      <c r="S80">
        <v>8</v>
      </c>
      <c r="T80">
        <v>3</v>
      </c>
      <c r="U80">
        <v>24</v>
      </c>
      <c r="V80">
        <v>80.699999999999989</v>
      </c>
      <c r="W80">
        <v>222.52</v>
      </c>
      <c r="X80">
        <v>0.69935999999999998</v>
      </c>
      <c r="Y80">
        <v>1.6666666666666666E-2</v>
      </c>
      <c r="Z80">
        <v>4.8566666666666664E-4</v>
      </c>
      <c r="AA80">
        <v>6.9444444444444447E-4</v>
      </c>
      <c r="AB80">
        <v>13.049999999999999</v>
      </c>
      <c r="AC80">
        <v>1</v>
      </c>
      <c r="AD80" s="1" t="s">
        <v>44</v>
      </c>
      <c r="AE80">
        <v>0</v>
      </c>
      <c r="AF80">
        <v>1</v>
      </c>
      <c r="AG80">
        <v>12.467105263157896</v>
      </c>
    </row>
    <row r="81" spans="1:33">
      <c r="A81" s="1" t="s">
        <v>125</v>
      </c>
      <c r="B81" s="1" t="s">
        <v>2252</v>
      </c>
      <c r="C81" s="2">
        <v>46260</v>
      </c>
      <c r="D81" s="1" t="s">
        <v>34</v>
      </c>
      <c r="E81">
        <v>1227</v>
      </c>
      <c r="F81" s="2">
        <v>46081</v>
      </c>
      <c r="G81" s="1" t="s">
        <v>126</v>
      </c>
      <c r="H81" s="1" t="s">
        <v>52</v>
      </c>
      <c r="I81" s="1" t="s">
        <v>37</v>
      </c>
      <c r="J81" s="1" t="s">
        <v>38</v>
      </c>
      <c r="K81" s="1" t="s">
        <v>39</v>
      </c>
      <c r="L81">
        <v>100</v>
      </c>
      <c r="M81">
        <v>43.3</v>
      </c>
      <c r="N81">
        <v>41.9</v>
      </c>
      <c r="O81">
        <v>27</v>
      </c>
      <c r="P81">
        <v>4.8989999999999999E-2</v>
      </c>
      <c r="Q81">
        <v>11.04</v>
      </c>
      <c r="R81">
        <v>13.85</v>
      </c>
      <c r="S81">
        <v>4</v>
      </c>
      <c r="T81">
        <v>3</v>
      </c>
      <c r="U81">
        <v>12</v>
      </c>
      <c r="V81">
        <v>96</v>
      </c>
      <c r="W81">
        <v>157.47999999999999</v>
      </c>
      <c r="X81">
        <v>0.58787999999999996</v>
      </c>
      <c r="Y81">
        <v>12.27</v>
      </c>
      <c r="Z81">
        <v>0.60110730000000001</v>
      </c>
      <c r="AA81">
        <v>1.0225</v>
      </c>
      <c r="AB81">
        <v>16993.95</v>
      </c>
      <c r="AC81">
        <v>2</v>
      </c>
      <c r="AD81" s="1" t="s">
        <v>40</v>
      </c>
      <c r="AE81">
        <v>2</v>
      </c>
      <c r="AF81">
        <v>0</v>
      </c>
      <c r="AG81">
        <v>5.8881578947368425</v>
      </c>
    </row>
    <row r="82" spans="1:33">
      <c r="A82" s="1" t="s">
        <v>125</v>
      </c>
      <c r="B82" s="1" t="s">
        <v>2253</v>
      </c>
      <c r="C82" s="2">
        <v>46380</v>
      </c>
      <c r="D82" s="1" t="s">
        <v>34</v>
      </c>
      <c r="E82">
        <v>1171</v>
      </c>
      <c r="F82" s="2">
        <v>46081</v>
      </c>
      <c r="G82" s="1" t="s">
        <v>126</v>
      </c>
      <c r="H82" s="1" t="s">
        <v>52</v>
      </c>
      <c r="I82" s="1" t="s">
        <v>37</v>
      </c>
      <c r="J82" s="1" t="s">
        <v>38</v>
      </c>
      <c r="K82" s="1" t="s">
        <v>39</v>
      </c>
      <c r="L82">
        <v>100</v>
      </c>
      <c r="M82">
        <v>43.3</v>
      </c>
      <c r="N82">
        <v>41.9</v>
      </c>
      <c r="O82">
        <v>27</v>
      </c>
      <c r="P82">
        <v>4.8989999999999999E-2</v>
      </c>
      <c r="Q82">
        <v>11.04</v>
      </c>
      <c r="R82">
        <v>13.85</v>
      </c>
      <c r="S82">
        <v>4</v>
      </c>
      <c r="T82">
        <v>3</v>
      </c>
      <c r="U82">
        <v>12</v>
      </c>
      <c r="V82">
        <v>96</v>
      </c>
      <c r="W82">
        <v>157.47999999999999</v>
      </c>
      <c r="X82">
        <v>0.58787999999999996</v>
      </c>
      <c r="Y82">
        <v>11.71</v>
      </c>
      <c r="Z82">
        <v>0.57367290000000004</v>
      </c>
      <c r="AA82">
        <v>0.97583333333333344</v>
      </c>
      <c r="AB82">
        <v>16218.35</v>
      </c>
      <c r="AC82">
        <v>1</v>
      </c>
      <c r="AD82" s="1" t="s">
        <v>40</v>
      </c>
      <c r="AE82">
        <v>1</v>
      </c>
      <c r="AF82">
        <v>0</v>
      </c>
      <c r="AG82">
        <v>9.8355263157894743</v>
      </c>
    </row>
    <row r="83" spans="1:33">
      <c r="A83" s="1" t="s">
        <v>125</v>
      </c>
      <c r="B83" s="1" t="s">
        <v>2254</v>
      </c>
      <c r="C83" s="2">
        <v>47027</v>
      </c>
      <c r="D83" s="1" t="s">
        <v>34</v>
      </c>
      <c r="E83">
        <v>746</v>
      </c>
      <c r="F83" s="2">
        <v>46081</v>
      </c>
      <c r="G83" s="1" t="s">
        <v>126</v>
      </c>
      <c r="H83" s="1" t="s">
        <v>52</v>
      </c>
      <c r="I83" s="1" t="s">
        <v>37</v>
      </c>
      <c r="J83" s="1" t="s">
        <v>38</v>
      </c>
      <c r="K83" s="1" t="s">
        <v>39</v>
      </c>
      <c r="L83">
        <v>100</v>
      </c>
      <c r="M83">
        <v>43.3</v>
      </c>
      <c r="N83">
        <v>41.9</v>
      </c>
      <c r="O83">
        <v>27</v>
      </c>
      <c r="P83">
        <v>4.8989999999999999E-2</v>
      </c>
      <c r="Q83">
        <v>11.04</v>
      </c>
      <c r="R83">
        <v>13.85</v>
      </c>
      <c r="S83">
        <v>4</v>
      </c>
      <c r="T83">
        <v>3</v>
      </c>
      <c r="U83">
        <v>12</v>
      </c>
      <c r="V83">
        <v>96</v>
      </c>
      <c r="W83">
        <v>157.47999999999999</v>
      </c>
      <c r="X83">
        <v>0.58787999999999996</v>
      </c>
      <c r="Y83">
        <v>7.46</v>
      </c>
      <c r="Z83">
        <v>0.3654654</v>
      </c>
      <c r="AA83">
        <v>0.6216666666666667</v>
      </c>
      <c r="AB83">
        <v>10332.1</v>
      </c>
      <c r="AC83">
        <v>1</v>
      </c>
      <c r="AD83" s="1" t="s">
        <v>40</v>
      </c>
      <c r="AE83">
        <v>1</v>
      </c>
      <c r="AF83">
        <v>0</v>
      </c>
      <c r="AG83">
        <v>31.118421052631579</v>
      </c>
    </row>
    <row r="84" spans="1:33">
      <c r="A84" s="1" t="s">
        <v>125</v>
      </c>
      <c r="B84" s="1" t="s">
        <v>2255</v>
      </c>
      <c r="C84" s="2">
        <v>46810</v>
      </c>
      <c r="D84" s="1" t="s">
        <v>34</v>
      </c>
      <c r="E84">
        <v>20</v>
      </c>
      <c r="F84" s="2">
        <v>46081</v>
      </c>
      <c r="G84" s="1" t="s">
        <v>126</v>
      </c>
      <c r="H84" s="1" t="s">
        <v>52</v>
      </c>
      <c r="I84" s="1" t="s">
        <v>37</v>
      </c>
      <c r="J84" s="1" t="s">
        <v>38</v>
      </c>
      <c r="K84" s="1" t="s">
        <v>39</v>
      </c>
      <c r="L84">
        <v>100</v>
      </c>
      <c r="M84">
        <v>43.3</v>
      </c>
      <c r="N84">
        <v>41.9</v>
      </c>
      <c r="O84">
        <v>27</v>
      </c>
      <c r="P84">
        <v>4.8989999999999999E-2</v>
      </c>
      <c r="Q84">
        <v>11.04</v>
      </c>
      <c r="R84">
        <v>13.85</v>
      </c>
      <c r="S84">
        <v>4</v>
      </c>
      <c r="T84">
        <v>3</v>
      </c>
      <c r="U84">
        <v>12</v>
      </c>
      <c r="V84">
        <v>96</v>
      </c>
      <c r="W84">
        <v>157.47999999999999</v>
      </c>
      <c r="X84">
        <v>0.58787999999999996</v>
      </c>
      <c r="Y84">
        <v>0.2</v>
      </c>
      <c r="Z84">
        <v>9.7980000000000012E-3</v>
      </c>
      <c r="AA84">
        <v>1.6666666666666666E-2</v>
      </c>
      <c r="AB84">
        <v>277</v>
      </c>
      <c r="AC84">
        <v>1</v>
      </c>
      <c r="AD84" s="1" t="s">
        <v>44</v>
      </c>
      <c r="AE84">
        <v>0</v>
      </c>
      <c r="AF84">
        <v>1</v>
      </c>
      <c r="AG84">
        <v>23.980263157894736</v>
      </c>
    </row>
    <row r="85" spans="1:33">
      <c r="A85" s="1" t="s">
        <v>127</v>
      </c>
      <c r="B85" s="1" t="s">
        <v>2256</v>
      </c>
      <c r="C85" s="2">
        <v>46608</v>
      </c>
      <c r="D85" s="1" t="s">
        <v>34</v>
      </c>
      <c r="E85">
        <v>3056</v>
      </c>
      <c r="F85" s="2">
        <v>46081</v>
      </c>
      <c r="G85" s="1" t="s">
        <v>128</v>
      </c>
      <c r="H85" s="1" t="s">
        <v>36</v>
      </c>
      <c r="I85" s="1" t="s">
        <v>37</v>
      </c>
      <c r="J85" s="1" t="s">
        <v>38</v>
      </c>
      <c r="K85" s="1" t="s">
        <v>39</v>
      </c>
      <c r="L85">
        <v>100</v>
      </c>
      <c r="M85">
        <v>56.8</v>
      </c>
      <c r="N85">
        <v>32.1</v>
      </c>
      <c r="O85">
        <v>19.7</v>
      </c>
      <c r="P85">
        <v>3.5920000000000001E-2</v>
      </c>
      <c r="Q85">
        <v>8</v>
      </c>
      <c r="R85">
        <v>24.46</v>
      </c>
      <c r="S85">
        <v>6</v>
      </c>
      <c r="T85">
        <v>6</v>
      </c>
      <c r="U85">
        <v>36</v>
      </c>
      <c r="V85">
        <v>133.19999999999999</v>
      </c>
      <c r="W85">
        <v>313</v>
      </c>
      <c r="X85">
        <v>1.29312</v>
      </c>
      <c r="Y85">
        <v>30.56</v>
      </c>
      <c r="Z85">
        <v>1.0977151999999999</v>
      </c>
      <c r="AA85">
        <v>0.8488888888888888</v>
      </c>
      <c r="AB85">
        <v>74749.760000000009</v>
      </c>
      <c r="AC85">
        <v>1</v>
      </c>
      <c r="AD85" s="1" t="s">
        <v>40</v>
      </c>
      <c r="AE85">
        <v>1</v>
      </c>
      <c r="AF85">
        <v>0</v>
      </c>
      <c r="AG85">
        <v>17.335526315789476</v>
      </c>
    </row>
    <row r="86" spans="1:33">
      <c r="A86" s="1" t="s">
        <v>129</v>
      </c>
      <c r="B86" s="1" t="s">
        <v>2257</v>
      </c>
      <c r="C86" s="2">
        <v>47111</v>
      </c>
      <c r="D86" s="1" t="s">
        <v>34</v>
      </c>
      <c r="E86">
        <v>208</v>
      </c>
      <c r="F86" s="2">
        <v>46081</v>
      </c>
      <c r="G86" s="1" t="s">
        <v>130</v>
      </c>
      <c r="H86" s="1" t="s">
        <v>36</v>
      </c>
      <c r="I86" s="1" t="s">
        <v>37</v>
      </c>
      <c r="J86" s="1" t="s">
        <v>38</v>
      </c>
      <c r="K86" s="1" t="s">
        <v>39</v>
      </c>
      <c r="L86">
        <v>180</v>
      </c>
      <c r="M86">
        <v>50.2</v>
      </c>
      <c r="N86">
        <v>38.4</v>
      </c>
      <c r="O86">
        <v>33.700000000000003</v>
      </c>
      <c r="P86">
        <v>6.4960000000000004E-2</v>
      </c>
      <c r="Q86">
        <v>15.47</v>
      </c>
      <c r="R86">
        <v>8.5399999999999991</v>
      </c>
      <c r="S86">
        <v>2</v>
      </c>
      <c r="T86">
        <v>4</v>
      </c>
      <c r="U86">
        <v>8</v>
      </c>
      <c r="V86">
        <v>149.80000000000001</v>
      </c>
      <c r="W86">
        <v>148.76</v>
      </c>
      <c r="X86">
        <v>0.51968000000000003</v>
      </c>
      <c r="Y86">
        <v>1.1555555555555554</v>
      </c>
      <c r="Z86">
        <v>7.5064888888888889E-2</v>
      </c>
      <c r="AA86">
        <v>0.14444444444444443</v>
      </c>
      <c r="AB86">
        <v>1776.3199999999997</v>
      </c>
      <c r="AC86">
        <v>1</v>
      </c>
      <c r="AD86" s="1" t="s">
        <v>44</v>
      </c>
      <c r="AE86">
        <v>0</v>
      </c>
      <c r="AF86">
        <v>1</v>
      </c>
      <c r="AG86">
        <v>33.881578947368425</v>
      </c>
    </row>
    <row r="87" spans="1:33">
      <c r="A87" s="1" t="s">
        <v>131</v>
      </c>
      <c r="B87" s="1" t="s">
        <v>2258</v>
      </c>
      <c r="C87" s="2">
        <v>46614</v>
      </c>
      <c r="D87" s="1" t="s">
        <v>34</v>
      </c>
      <c r="E87">
        <v>22116</v>
      </c>
      <c r="F87" s="2">
        <v>46081</v>
      </c>
      <c r="G87" s="1" t="s">
        <v>132</v>
      </c>
      <c r="H87" s="1" t="s">
        <v>43</v>
      </c>
      <c r="I87" s="1" t="s">
        <v>37</v>
      </c>
      <c r="J87" s="1" t="s">
        <v>38</v>
      </c>
      <c r="K87" s="1" t="s">
        <v>39</v>
      </c>
      <c r="L87">
        <v>180</v>
      </c>
      <c r="M87">
        <v>36.9</v>
      </c>
      <c r="N87">
        <v>35.6</v>
      </c>
      <c r="O87">
        <v>16.2</v>
      </c>
      <c r="P87">
        <v>2.128E-2</v>
      </c>
      <c r="Q87">
        <v>5.36</v>
      </c>
      <c r="R87">
        <v>2.65</v>
      </c>
      <c r="S87">
        <v>5</v>
      </c>
      <c r="T87">
        <v>9</v>
      </c>
      <c r="U87">
        <v>45</v>
      </c>
      <c r="V87">
        <v>160.79999999999998</v>
      </c>
      <c r="W87">
        <v>266.20000000000005</v>
      </c>
      <c r="X87">
        <v>0.95760000000000001</v>
      </c>
      <c r="Y87">
        <v>122.86666666666666</v>
      </c>
      <c r="Z87">
        <v>2.6146026666666664</v>
      </c>
      <c r="AA87">
        <v>2.7303703703703701</v>
      </c>
      <c r="AB87">
        <v>58607.4</v>
      </c>
      <c r="AC87">
        <v>3</v>
      </c>
      <c r="AD87" s="1" t="s">
        <v>40</v>
      </c>
      <c r="AE87">
        <v>3</v>
      </c>
      <c r="AF87">
        <v>0</v>
      </c>
      <c r="AG87">
        <v>17.532894736842106</v>
      </c>
    </row>
    <row r="88" spans="1:33">
      <c r="A88" s="1" t="s">
        <v>131</v>
      </c>
      <c r="B88" s="1" t="s">
        <v>2259</v>
      </c>
      <c r="C88" s="2">
        <v>46702</v>
      </c>
      <c r="D88" s="1" t="s">
        <v>34</v>
      </c>
      <c r="E88">
        <v>6000</v>
      </c>
      <c r="F88" s="2">
        <v>46081</v>
      </c>
      <c r="G88" s="1" t="s">
        <v>132</v>
      </c>
      <c r="H88" s="1" t="s">
        <v>43</v>
      </c>
      <c r="I88" s="1" t="s">
        <v>37</v>
      </c>
      <c r="J88" s="1" t="s">
        <v>38</v>
      </c>
      <c r="K88" s="1" t="s">
        <v>39</v>
      </c>
      <c r="L88">
        <v>180</v>
      </c>
      <c r="M88">
        <v>36.9</v>
      </c>
      <c r="N88">
        <v>35.6</v>
      </c>
      <c r="O88">
        <v>16.2</v>
      </c>
      <c r="P88">
        <v>2.128E-2</v>
      </c>
      <c r="Q88">
        <v>5.36</v>
      </c>
      <c r="R88">
        <v>2.65</v>
      </c>
      <c r="S88">
        <v>5</v>
      </c>
      <c r="T88">
        <v>9</v>
      </c>
      <c r="U88">
        <v>45</v>
      </c>
      <c r="V88">
        <v>160.79999999999998</v>
      </c>
      <c r="W88">
        <v>266.20000000000005</v>
      </c>
      <c r="X88">
        <v>0.95760000000000001</v>
      </c>
      <c r="Y88">
        <v>33.333333333333336</v>
      </c>
      <c r="Z88">
        <v>0.70933333333333337</v>
      </c>
      <c r="AA88">
        <v>0.74074074074074081</v>
      </c>
      <c r="AB88">
        <v>15900</v>
      </c>
      <c r="AC88">
        <v>1</v>
      </c>
      <c r="AD88" s="1" t="s">
        <v>40</v>
      </c>
      <c r="AE88">
        <v>1</v>
      </c>
      <c r="AF88">
        <v>0</v>
      </c>
      <c r="AG88">
        <v>20.42763157894737</v>
      </c>
    </row>
    <row r="89" spans="1:33">
      <c r="A89" s="1" t="s">
        <v>133</v>
      </c>
      <c r="B89" s="1" t="s">
        <v>2260</v>
      </c>
      <c r="C89" s="2">
        <v>46897</v>
      </c>
      <c r="D89" s="1" t="s">
        <v>34</v>
      </c>
      <c r="E89">
        <v>6416</v>
      </c>
      <c r="F89" s="2">
        <v>46081</v>
      </c>
      <c r="G89" s="1" t="s">
        <v>134</v>
      </c>
      <c r="H89" s="1" t="s">
        <v>43</v>
      </c>
      <c r="I89" s="1" t="s">
        <v>37</v>
      </c>
      <c r="J89" s="1" t="s">
        <v>38</v>
      </c>
      <c r="K89" s="1" t="s">
        <v>39</v>
      </c>
      <c r="L89">
        <v>240</v>
      </c>
      <c r="M89">
        <v>43.5</v>
      </c>
      <c r="N89">
        <v>36.9</v>
      </c>
      <c r="O89">
        <v>34.6</v>
      </c>
      <c r="P89">
        <v>5.5539999999999999E-2</v>
      </c>
      <c r="Q89">
        <v>9.5399999999999991</v>
      </c>
      <c r="R89">
        <v>19.82</v>
      </c>
      <c r="S89">
        <v>6</v>
      </c>
      <c r="T89">
        <v>3</v>
      </c>
      <c r="U89">
        <v>18</v>
      </c>
      <c r="V89">
        <v>118.8</v>
      </c>
      <c r="W89">
        <v>196.72</v>
      </c>
      <c r="X89">
        <v>0.99972000000000005</v>
      </c>
      <c r="Y89">
        <v>26.733333333333334</v>
      </c>
      <c r="Z89">
        <v>1.4847693333333334</v>
      </c>
      <c r="AA89">
        <v>1.4851851851851852</v>
      </c>
      <c r="AB89">
        <v>127165.12</v>
      </c>
      <c r="AC89">
        <v>2</v>
      </c>
      <c r="AD89" s="1" t="s">
        <v>40</v>
      </c>
      <c r="AE89">
        <v>2</v>
      </c>
      <c r="AF89">
        <v>0</v>
      </c>
      <c r="AG89">
        <v>26.842105263157897</v>
      </c>
    </row>
    <row r="90" spans="1:33">
      <c r="A90" s="1" t="s">
        <v>133</v>
      </c>
      <c r="B90" s="1" t="s">
        <v>2261</v>
      </c>
      <c r="C90" s="2">
        <v>46938</v>
      </c>
      <c r="D90" s="1" t="s">
        <v>34</v>
      </c>
      <c r="E90">
        <v>13852</v>
      </c>
      <c r="F90" s="2">
        <v>46081</v>
      </c>
      <c r="G90" s="1" t="s">
        <v>134</v>
      </c>
      <c r="H90" s="1" t="s">
        <v>43</v>
      </c>
      <c r="I90" s="1" t="s">
        <v>37</v>
      </c>
      <c r="J90" s="1" t="s">
        <v>38</v>
      </c>
      <c r="K90" s="1" t="s">
        <v>39</v>
      </c>
      <c r="L90">
        <v>240</v>
      </c>
      <c r="M90">
        <v>43.5</v>
      </c>
      <c r="N90">
        <v>36.9</v>
      </c>
      <c r="O90">
        <v>34.6</v>
      </c>
      <c r="P90">
        <v>5.5539999999999999E-2</v>
      </c>
      <c r="Q90">
        <v>9.5399999999999991</v>
      </c>
      <c r="R90">
        <v>19.82</v>
      </c>
      <c r="S90">
        <v>6</v>
      </c>
      <c r="T90">
        <v>3</v>
      </c>
      <c r="U90">
        <v>18</v>
      </c>
      <c r="V90">
        <v>118.8</v>
      </c>
      <c r="W90">
        <v>196.72</v>
      </c>
      <c r="X90">
        <v>0.99972000000000005</v>
      </c>
      <c r="Y90">
        <v>57.716666666666669</v>
      </c>
      <c r="Z90">
        <v>3.2055836666666666</v>
      </c>
      <c r="AA90">
        <v>3.2064814814814815</v>
      </c>
      <c r="AB90">
        <v>274546.64</v>
      </c>
      <c r="AC90">
        <v>4</v>
      </c>
      <c r="AD90" s="1" t="s">
        <v>40</v>
      </c>
      <c r="AE90">
        <v>4</v>
      </c>
      <c r="AF90">
        <v>0</v>
      </c>
      <c r="AG90">
        <v>28.190789473684212</v>
      </c>
    </row>
    <row r="91" spans="1:33">
      <c r="A91" s="1" t="s">
        <v>133</v>
      </c>
      <c r="B91" s="1" t="s">
        <v>2262</v>
      </c>
      <c r="C91" s="2">
        <v>46936</v>
      </c>
      <c r="D91" s="1" t="s">
        <v>34</v>
      </c>
      <c r="E91">
        <v>3543</v>
      </c>
      <c r="F91" s="2">
        <v>46081</v>
      </c>
      <c r="G91" s="1" t="s">
        <v>134</v>
      </c>
      <c r="H91" s="1" t="s">
        <v>43</v>
      </c>
      <c r="I91" s="1" t="s">
        <v>37</v>
      </c>
      <c r="J91" s="1" t="s">
        <v>38</v>
      </c>
      <c r="K91" s="1" t="s">
        <v>39</v>
      </c>
      <c r="L91">
        <v>240</v>
      </c>
      <c r="M91">
        <v>43.5</v>
      </c>
      <c r="N91">
        <v>36.9</v>
      </c>
      <c r="O91">
        <v>34.6</v>
      </c>
      <c r="P91">
        <v>5.5539999999999999E-2</v>
      </c>
      <c r="Q91">
        <v>9.5399999999999991</v>
      </c>
      <c r="R91">
        <v>19.82</v>
      </c>
      <c r="S91">
        <v>6</v>
      </c>
      <c r="T91">
        <v>3</v>
      </c>
      <c r="U91">
        <v>18</v>
      </c>
      <c r="V91">
        <v>118.8</v>
      </c>
      <c r="W91">
        <v>196.72</v>
      </c>
      <c r="X91">
        <v>0.99972000000000005</v>
      </c>
      <c r="Y91">
        <v>14.762499999999999</v>
      </c>
      <c r="Z91">
        <v>0.81990924999999992</v>
      </c>
      <c r="AA91">
        <v>0.82013888888888886</v>
      </c>
      <c r="AB91">
        <v>70222.259999999995</v>
      </c>
      <c r="AC91">
        <v>1</v>
      </c>
      <c r="AD91" s="1" t="s">
        <v>40</v>
      </c>
      <c r="AE91">
        <v>1</v>
      </c>
      <c r="AF91">
        <v>0</v>
      </c>
      <c r="AG91">
        <v>28.125</v>
      </c>
    </row>
    <row r="92" spans="1:33">
      <c r="A92" s="1" t="s">
        <v>133</v>
      </c>
      <c r="B92" s="1" t="s">
        <v>2263</v>
      </c>
      <c r="C92" s="2">
        <v>46640</v>
      </c>
      <c r="D92" s="1" t="s">
        <v>49</v>
      </c>
      <c r="E92">
        <v>1190</v>
      </c>
      <c r="F92" s="2">
        <v>46081</v>
      </c>
      <c r="G92" s="1" t="s">
        <v>134</v>
      </c>
      <c r="H92" s="1" t="s">
        <v>43</v>
      </c>
      <c r="I92" s="1" t="s">
        <v>37</v>
      </c>
      <c r="J92" s="1" t="s">
        <v>38</v>
      </c>
      <c r="K92" s="1" t="s">
        <v>39</v>
      </c>
      <c r="L92">
        <v>240</v>
      </c>
      <c r="M92">
        <v>43.5</v>
      </c>
      <c r="N92">
        <v>36.9</v>
      </c>
      <c r="O92">
        <v>34.6</v>
      </c>
      <c r="P92">
        <v>5.5539999999999999E-2</v>
      </c>
      <c r="Q92">
        <v>9.5399999999999991</v>
      </c>
      <c r="R92">
        <v>19.82</v>
      </c>
      <c r="S92">
        <v>6</v>
      </c>
      <c r="T92">
        <v>3</v>
      </c>
      <c r="U92">
        <v>18</v>
      </c>
      <c r="V92">
        <v>118.8</v>
      </c>
      <c r="W92">
        <v>196.72</v>
      </c>
      <c r="X92">
        <v>0.99972000000000005</v>
      </c>
      <c r="Y92">
        <v>4.958333333333333</v>
      </c>
      <c r="Z92">
        <v>0.27538583333333333</v>
      </c>
      <c r="AA92">
        <v>0.27546296296296297</v>
      </c>
      <c r="AB92">
        <v>23585.8</v>
      </c>
      <c r="AC92">
        <v>1</v>
      </c>
      <c r="AD92" s="1" t="s">
        <v>40</v>
      </c>
      <c r="AE92">
        <v>1</v>
      </c>
      <c r="AF92">
        <v>0</v>
      </c>
      <c r="AG92">
        <v>18.388157894736842</v>
      </c>
    </row>
    <row r="93" spans="1:33">
      <c r="A93" s="1" t="s">
        <v>135</v>
      </c>
      <c r="B93" s="1" t="s">
        <v>2264</v>
      </c>
      <c r="C93" s="2">
        <v>47102</v>
      </c>
      <c r="D93" s="1" t="s">
        <v>34</v>
      </c>
      <c r="E93">
        <v>712</v>
      </c>
      <c r="F93" s="2">
        <v>46081</v>
      </c>
      <c r="G93" s="1" t="s">
        <v>136</v>
      </c>
      <c r="H93" s="1" t="s">
        <v>70</v>
      </c>
      <c r="I93" s="1" t="s">
        <v>37</v>
      </c>
      <c r="J93" s="1" t="s">
        <v>38</v>
      </c>
      <c r="K93" s="1" t="s">
        <v>39</v>
      </c>
      <c r="L93">
        <v>120</v>
      </c>
      <c r="M93">
        <v>41.5</v>
      </c>
      <c r="N93">
        <v>43.5</v>
      </c>
      <c r="O93">
        <v>16.3</v>
      </c>
      <c r="P93">
        <v>2.9430000000000001E-2</v>
      </c>
      <c r="Q93">
        <v>6.21</v>
      </c>
      <c r="R93">
        <v>20.66</v>
      </c>
      <c r="S93">
        <v>2</v>
      </c>
      <c r="T93">
        <v>7</v>
      </c>
      <c r="U93">
        <v>14</v>
      </c>
      <c r="V93">
        <v>129.10000000000002</v>
      </c>
      <c r="W93">
        <v>111.94</v>
      </c>
      <c r="X93">
        <v>0.41202</v>
      </c>
      <c r="Y93">
        <v>5.9333333333333336</v>
      </c>
      <c r="Z93">
        <v>0.17461800000000002</v>
      </c>
      <c r="AA93">
        <v>0.4238095238095238</v>
      </c>
      <c r="AB93">
        <v>14709.92</v>
      </c>
      <c r="AC93">
        <v>1</v>
      </c>
      <c r="AD93" s="1" t="s">
        <v>44</v>
      </c>
      <c r="AE93">
        <v>0</v>
      </c>
      <c r="AF93">
        <v>1</v>
      </c>
      <c r="AG93">
        <v>33.585526315789473</v>
      </c>
    </row>
    <row r="94" spans="1:33">
      <c r="A94" s="1" t="s">
        <v>135</v>
      </c>
      <c r="B94" s="1" t="s">
        <v>2265</v>
      </c>
      <c r="C94" s="2">
        <v>46855</v>
      </c>
      <c r="D94" s="1" t="s">
        <v>34</v>
      </c>
      <c r="E94">
        <v>101</v>
      </c>
      <c r="F94" s="2">
        <v>46081</v>
      </c>
      <c r="G94" s="1" t="s">
        <v>136</v>
      </c>
      <c r="H94" s="1" t="s">
        <v>70</v>
      </c>
      <c r="I94" s="1" t="s">
        <v>37</v>
      </c>
      <c r="J94" s="1" t="s">
        <v>38</v>
      </c>
      <c r="K94" s="1" t="s">
        <v>39</v>
      </c>
      <c r="L94">
        <v>120</v>
      </c>
      <c r="M94">
        <v>41.5</v>
      </c>
      <c r="N94">
        <v>43.5</v>
      </c>
      <c r="O94">
        <v>16.3</v>
      </c>
      <c r="P94">
        <v>2.9430000000000001E-2</v>
      </c>
      <c r="Q94">
        <v>6.21</v>
      </c>
      <c r="R94">
        <v>20.66</v>
      </c>
      <c r="S94">
        <v>2</v>
      </c>
      <c r="T94">
        <v>7</v>
      </c>
      <c r="U94">
        <v>14</v>
      </c>
      <c r="V94">
        <v>129.10000000000002</v>
      </c>
      <c r="W94">
        <v>111.94</v>
      </c>
      <c r="X94">
        <v>0.41202</v>
      </c>
      <c r="Y94">
        <v>0.84166666666666667</v>
      </c>
      <c r="Z94">
        <v>2.4770250000000001E-2</v>
      </c>
      <c r="AA94">
        <v>6.0119047619047621E-2</v>
      </c>
      <c r="AB94">
        <v>2086.66</v>
      </c>
      <c r="AC94">
        <v>1</v>
      </c>
      <c r="AD94" s="1" t="s">
        <v>44</v>
      </c>
      <c r="AE94">
        <v>0</v>
      </c>
      <c r="AF94">
        <v>1</v>
      </c>
      <c r="AG94">
        <v>25.460526315789476</v>
      </c>
    </row>
    <row r="95" spans="1:33">
      <c r="A95" s="1" t="s">
        <v>135</v>
      </c>
      <c r="B95" s="1" t="s">
        <v>2266</v>
      </c>
      <c r="C95" s="2">
        <v>46749</v>
      </c>
      <c r="D95" s="1" t="s">
        <v>45</v>
      </c>
      <c r="E95">
        <v>16</v>
      </c>
      <c r="F95" s="2">
        <v>46081</v>
      </c>
      <c r="G95" s="1" t="s">
        <v>136</v>
      </c>
      <c r="H95" s="1" t="s">
        <v>70</v>
      </c>
      <c r="I95" s="1" t="s">
        <v>37</v>
      </c>
      <c r="J95" s="1" t="s">
        <v>38</v>
      </c>
      <c r="K95" s="1" t="s">
        <v>39</v>
      </c>
      <c r="L95">
        <v>120</v>
      </c>
      <c r="M95">
        <v>41.5</v>
      </c>
      <c r="N95">
        <v>43.5</v>
      </c>
      <c r="O95">
        <v>16.3</v>
      </c>
      <c r="P95">
        <v>2.9430000000000001E-2</v>
      </c>
      <c r="Q95">
        <v>6.21</v>
      </c>
      <c r="R95">
        <v>20.66</v>
      </c>
      <c r="S95">
        <v>2</v>
      </c>
      <c r="T95">
        <v>7</v>
      </c>
      <c r="U95">
        <v>14</v>
      </c>
      <c r="V95">
        <v>129.10000000000002</v>
      </c>
      <c r="W95">
        <v>111.94</v>
      </c>
      <c r="X95">
        <v>0.41202</v>
      </c>
      <c r="Y95">
        <v>0.13333333333333333</v>
      </c>
      <c r="Z95">
        <v>3.9240000000000004E-3</v>
      </c>
      <c r="AA95">
        <v>9.5238095238095229E-3</v>
      </c>
      <c r="AB95">
        <v>330.56</v>
      </c>
      <c r="AC95">
        <v>1</v>
      </c>
      <c r="AD95" s="1" t="s">
        <v>44</v>
      </c>
      <c r="AE95">
        <v>0</v>
      </c>
      <c r="AF95">
        <v>1</v>
      </c>
      <c r="AG95">
        <v>21.973684210526315</v>
      </c>
    </row>
    <row r="96" spans="1:33">
      <c r="A96" s="1" t="s">
        <v>137</v>
      </c>
      <c r="B96" s="1" t="s">
        <v>2267</v>
      </c>
      <c r="C96" s="2">
        <v>46449</v>
      </c>
      <c r="D96" s="1" t="s">
        <v>34</v>
      </c>
      <c r="E96">
        <v>59</v>
      </c>
      <c r="F96" s="2">
        <v>46081</v>
      </c>
      <c r="G96" s="1" t="s">
        <v>138</v>
      </c>
      <c r="H96" s="1" t="s">
        <v>70</v>
      </c>
      <c r="I96" s="1" t="s">
        <v>37</v>
      </c>
      <c r="J96" s="1" t="s">
        <v>38</v>
      </c>
      <c r="K96" s="1" t="s">
        <v>39</v>
      </c>
      <c r="L96">
        <v>120</v>
      </c>
      <c r="M96">
        <v>45.3</v>
      </c>
      <c r="N96">
        <v>43.1</v>
      </c>
      <c r="O96">
        <v>19.8</v>
      </c>
      <c r="P96">
        <v>3.866E-2</v>
      </c>
      <c r="Q96">
        <v>11.06</v>
      </c>
      <c r="R96">
        <v>4.1399999999999997</v>
      </c>
      <c r="S96">
        <v>4</v>
      </c>
      <c r="T96">
        <v>7</v>
      </c>
      <c r="U96">
        <v>28</v>
      </c>
      <c r="V96">
        <v>153.6</v>
      </c>
      <c r="W96">
        <v>334.68</v>
      </c>
      <c r="X96">
        <v>1.0824800000000001</v>
      </c>
      <c r="Y96">
        <v>0.49166666666666664</v>
      </c>
      <c r="Z96">
        <v>1.9007833333333331E-2</v>
      </c>
      <c r="AA96">
        <v>1.755952380952381E-2</v>
      </c>
      <c r="AB96">
        <v>244.26</v>
      </c>
      <c r="AC96">
        <v>1</v>
      </c>
      <c r="AD96" s="1" t="s">
        <v>44</v>
      </c>
      <c r="AE96">
        <v>0</v>
      </c>
      <c r="AF96">
        <v>1</v>
      </c>
      <c r="AG96">
        <v>12.105263157894738</v>
      </c>
    </row>
    <row r="97" spans="1:33">
      <c r="A97" s="1" t="s">
        <v>137</v>
      </c>
      <c r="B97" s="1" t="s">
        <v>2268</v>
      </c>
      <c r="C97" s="2">
        <v>46178</v>
      </c>
      <c r="D97" s="1" t="s">
        <v>34</v>
      </c>
      <c r="E97">
        <v>144</v>
      </c>
      <c r="F97" s="2">
        <v>46081</v>
      </c>
      <c r="G97" s="1" t="s">
        <v>138</v>
      </c>
      <c r="H97" s="1" t="s">
        <v>70</v>
      </c>
      <c r="I97" s="1" t="s">
        <v>37</v>
      </c>
      <c r="J97" s="1" t="s">
        <v>38</v>
      </c>
      <c r="K97" s="1" t="s">
        <v>39</v>
      </c>
      <c r="L97">
        <v>120</v>
      </c>
      <c r="M97">
        <v>45.3</v>
      </c>
      <c r="N97">
        <v>43.1</v>
      </c>
      <c r="O97">
        <v>19.8</v>
      </c>
      <c r="P97">
        <v>3.866E-2</v>
      </c>
      <c r="Q97">
        <v>11.06</v>
      </c>
      <c r="R97">
        <v>4.1399999999999997</v>
      </c>
      <c r="S97">
        <v>4</v>
      </c>
      <c r="T97">
        <v>7</v>
      </c>
      <c r="U97">
        <v>28</v>
      </c>
      <c r="V97">
        <v>153.6</v>
      </c>
      <c r="W97">
        <v>334.68</v>
      </c>
      <c r="X97">
        <v>1.0824800000000001</v>
      </c>
      <c r="Y97">
        <v>1.2</v>
      </c>
      <c r="Z97">
        <v>4.6391999999999996E-2</v>
      </c>
      <c r="AA97">
        <v>4.2857142857142858E-2</v>
      </c>
      <c r="AB97">
        <v>596.16</v>
      </c>
      <c r="AC97">
        <v>1</v>
      </c>
      <c r="AD97" s="1" t="s">
        <v>44</v>
      </c>
      <c r="AE97">
        <v>0</v>
      </c>
      <c r="AF97">
        <v>1</v>
      </c>
      <c r="AG97">
        <v>3.1907894736842106</v>
      </c>
    </row>
    <row r="98" spans="1:33">
      <c r="A98" s="1" t="s">
        <v>137</v>
      </c>
      <c r="B98" s="1" t="s">
        <v>2269</v>
      </c>
      <c r="C98" s="2">
        <v>46658</v>
      </c>
      <c r="D98" s="1" t="s">
        <v>34</v>
      </c>
      <c r="E98">
        <v>600</v>
      </c>
      <c r="F98" s="2">
        <v>46081</v>
      </c>
      <c r="G98" s="1" t="s">
        <v>138</v>
      </c>
      <c r="H98" s="1" t="s">
        <v>70</v>
      </c>
      <c r="I98" s="1" t="s">
        <v>37</v>
      </c>
      <c r="J98" s="1" t="s">
        <v>38</v>
      </c>
      <c r="K98" s="1" t="s">
        <v>39</v>
      </c>
      <c r="L98">
        <v>120</v>
      </c>
      <c r="M98">
        <v>45.3</v>
      </c>
      <c r="N98">
        <v>43.1</v>
      </c>
      <c r="O98">
        <v>19.8</v>
      </c>
      <c r="P98">
        <v>3.866E-2</v>
      </c>
      <c r="Q98">
        <v>11.06</v>
      </c>
      <c r="R98">
        <v>4.1399999999999997</v>
      </c>
      <c r="S98">
        <v>4</v>
      </c>
      <c r="T98">
        <v>7</v>
      </c>
      <c r="U98">
        <v>28</v>
      </c>
      <c r="V98">
        <v>153.6</v>
      </c>
      <c r="W98">
        <v>334.68</v>
      </c>
      <c r="X98">
        <v>1.0824800000000001</v>
      </c>
      <c r="Y98">
        <v>5</v>
      </c>
      <c r="Z98">
        <v>0.1933</v>
      </c>
      <c r="AA98">
        <v>0.17857142857142858</v>
      </c>
      <c r="AB98">
        <v>2484</v>
      </c>
      <c r="AC98">
        <v>1</v>
      </c>
      <c r="AD98" s="1" t="s">
        <v>44</v>
      </c>
      <c r="AE98">
        <v>0</v>
      </c>
      <c r="AF98">
        <v>1</v>
      </c>
      <c r="AG98">
        <v>18.980263157894736</v>
      </c>
    </row>
    <row r="99" spans="1:33">
      <c r="A99" s="1" t="s">
        <v>139</v>
      </c>
      <c r="B99" s="1" t="s">
        <v>2270</v>
      </c>
      <c r="C99" s="2">
        <v>46659</v>
      </c>
      <c r="D99" s="1" t="s">
        <v>34</v>
      </c>
      <c r="E99">
        <v>9098</v>
      </c>
      <c r="F99" s="2">
        <v>46081</v>
      </c>
      <c r="G99" s="1" t="s">
        <v>140</v>
      </c>
      <c r="H99" s="1" t="s">
        <v>70</v>
      </c>
      <c r="I99" s="1" t="s">
        <v>37</v>
      </c>
      <c r="J99" s="1" t="s">
        <v>38</v>
      </c>
      <c r="K99" s="1" t="s">
        <v>39</v>
      </c>
      <c r="L99">
        <v>180</v>
      </c>
      <c r="M99">
        <v>54.2</v>
      </c>
      <c r="N99">
        <v>38.700000000000003</v>
      </c>
      <c r="O99">
        <v>32.200000000000003</v>
      </c>
      <c r="P99">
        <v>6.7540000000000003E-2</v>
      </c>
      <c r="Q99">
        <v>13.01</v>
      </c>
      <c r="R99">
        <v>3.27</v>
      </c>
      <c r="S99">
        <v>4</v>
      </c>
      <c r="T99">
        <v>4</v>
      </c>
      <c r="U99">
        <v>16</v>
      </c>
      <c r="V99">
        <v>143.80000000000001</v>
      </c>
      <c r="W99">
        <v>233.16</v>
      </c>
      <c r="X99">
        <v>1.08064</v>
      </c>
      <c r="Y99">
        <v>50.544444444444444</v>
      </c>
      <c r="Z99">
        <v>3.4137717777777778</v>
      </c>
      <c r="AA99">
        <v>3.1590277777777778</v>
      </c>
      <c r="AB99">
        <v>29750.46</v>
      </c>
      <c r="AC99">
        <v>4</v>
      </c>
      <c r="AD99" s="1" t="s">
        <v>40</v>
      </c>
      <c r="AE99">
        <v>4</v>
      </c>
      <c r="AF99">
        <v>0</v>
      </c>
      <c r="AG99">
        <v>19.013157894736842</v>
      </c>
    </row>
    <row r="100" spans="1:33">
      <c r="A100" s="1" t="s">
        <v>139</v>
      </c>
      <c r="B100" s="1" t="s">
        <v>2271</v>
      </c>
      <c r="C100" s="2">
        <v>46182</v>
      </c>
      <c r="D100" s="1" t="s">
        <v>34</v>
      </c>
      <c r="E100">
        <v>5518</v>
      </c>
      <c r="F100" s="2">
        <v>46081</v>
      </c>
      <c r="G100" s="1" t="s">
        <v>140</v>
      </c>
      <c r="H100" s="1" t="s">
        <v>70</v>
      </c>
      <c r="I100" s="1" t="s">
        <v>37</v>
      </c>
      <c r="J100" s="1" t="s">
        <v>38</v>
      </c>
      <c r="K100" s="1" t="s">
        <v>39</v>
      </c>
      <c r="L100">
        <v>180</v>
      </c>
      <c r="M100">
        <v>54.2</v>
      </c>
      <c r="N100">
        <v>38.700000000000003</v>
      </c>
      <c r="O100">
        <v>32.200000000000003</v>
      </c>
      <c r="P100">
        <v>6.7540000000000003E-2</v>
      </c>
      <c r="Q100">
        <v>13.01</v>
      </c>
      <c r="R100">
        <v>3.27</v>
      </c>
      <c r="S100">
        <v>4</v>
      </c>
      <c r="T100">
        <v>4</v>
      </c>
      <c r="U100">
        <v>16</v>
      </c>
      <c r="V100">
        <v>143.80000000000001</v>
      </c>
      <c r="W100">
        <v>233.16</v>
      </c>
      <c r="X100">
        <v>1.08064</v>
      </c>
      <c r="Y100">
        <v>30.655555555555555</v>
      </c>
      <c r="Z100">
        <v>2.0704762222222222</v>
      </c>
      <c r="AA100">
        <v>1.9159722222222222</v>
      </c>
      <c r="AB100">
        <v>18043.86</v>
      </c>
      <c r="AC100">
        <v>2</v>
      </c>
      <c r="AD100" s="1" t="s">
        <v>40</v>
      </c>
      <c r="AE100">
        <v>2</v>
      </c>
      <c r="AF100">
        <v>0</v>
      </c>
      <c r="AG100">
        <v>3.3223684210526319</v>
      </c>
    </row>
    <row r="101" spans="1:33">
      <c r="A101" s="1" t="s">
        <v>141</v>
      </c>
      <c r="B101" s="1" t="s">
        <v>2272</v>
      </c>
      <c r="C101" s="2">
        <v>46860</v>
      </c>
      <c r="D101" s="1" t="s">
        <v>34</v>
      </c>
      <c r="E101">
        <v>42489</v>
      </c>
      <c r="F101" s="2">
        <v>46081</v>
      </c>
      <c r="G101" s="1" t="s">
        <v>142</v>
      </c>
      <c r="H101" s="1" t="s">
        <v>48</v>
      </c>
      <c r="I101" s="1" t="s">
        <v>37</v>
      </c>
      <c r="J101" s="1" t="s">
        <v>38</v>
      </c>
      <c r="K101" s="1" t="s">
        <v>39</v>
      </c>
      <c r="L101">
        <v>180</v>
      </c>
      <c r="M101">
        <v>52.5</v>
      </c>
      <c r="N101">
        <v>41.2</v>
      </c>
      <c r="O101">
        <v>31.6</v>
      </c>
      <c r="P101">
        <v>6.8349999999999994E-2</v>
      </c>
      <c r="Q101">
        <v>17.57</v>
      </c>
      <c r="R101">
        <v>8.64</v>
      </c>
      <c r="S101">
        <v>4</v>
      </c>
      <c r="T101">
        <v>2</v>
      </c>
      <c r="U101">
        <v>8</v>
      </c>
      <c r="V101">
        <v>78.2</v>
      </c>
      <c r="W101">
        <v>165.56</v>
      </c>
      <c r="X101">
        <v>0.54679999999999995</v>
      </c>
      <c r="Y101">
        <v>236.05</v>
      </c>
      <c r="Z101">
        <v>16.134017499999999</v>
      </c>
      <c r="AA101">
        <v>29.506250000000001</v>
      </c>
      <c r="AB101">
        <v>367104.96</v>
      </c>
      <c r="AC101">
        <v>30</v>
      </c>
      <c r="AD101" s="1" t="s">
        <v>40</v>
      </c>
      <c r="AE101">
        <v>30</v>
      </c>
      <c r="AF101">
        <v>0</v>
      </c>
      <c r="AG101">
        <v>25.625</v>
      </c>
    </row>
    <row r="102" spans="1:33">
      <c r="A102" s="1" t="s">
        <v>141</v>
      </c>
      <c r="B102" s="1" t="s">
        <v>2273</v>
      </c>
      <c r="C102" s="2">
        <v>47014</v>
      </c>
      <c r="D102" s="1" t="s">
        <v>34</v>
      </c>
      <c r="E102">
        <v>31546</v>
      </c>
      <c r="F102" s="2">
        <v>46081</v>
      </c>
      <c r="G102" s="1" t="s">
        <v>142</v>
      </c>
      <c r="H102" s="1" t="s">
        <v>48</v>
      </c>
      <c r="I102" s="1" t="s">
        <v>37</v>
      </c>
      <c r="J102" s="1" t="s">
        <v>38</v>
      </c>
      <c r="K102" s="1" t="s">
        <v>39</v>
      </c>
      <c r="L102">
        <v>180</v>
      </c>
      <c r="M102">
        <v>52.5</v>
      </c>
      <c r="N102">
        <v>41.2</v>
      </c>
      <c r="O102">
        <v>31.6</v>
      </c>
      <c r="P102">
        <v>6.8349999999999994E-2</v>
      </c>
      <c r="Q102">
        <v>17.57</v>
      </c>
      <c r="R102">
        <v>8.64</v>
      </c>
      <c r="S102">
        <v>4</v>
      </c>
      <c r="T102">
        <v>2</v>
      </c>
      <c r="U102">
        <v>8</v>
      </c>
      <c r="V102">
        <v>78.2</v>
      </c>
      <c r="W102">
        <v>165.56</v>
      </c>
      <c r="X102">
        <v>0.54679999999999995</v>
      </c>
      <c r="Y102">
        <v>175.25555555555556</v>
      </c>
      <c r="Z102">
        <v>11.978717222222221</v>
      </c>
      <c r="AA102">
        <v>21.906944444444445</v>
      </c>
      <c r="AB102">
        <v>272557.44</v>
      </c>
      <c r="AC102">
        <v>22</v>
      </c>
      <c r="AD102" s="1" t="s">
        <v>40</v>
      </c>
      <c r="AE102">
        <v>22</v>
      </c>
      <c r="AF102">
        <v>0</v>
      </c>
      <c r="AG102">
        <v>30.690789473684212</v>
      </c>
    </row>
    <row r="103" spans="1:33">
      <c r="A103" s="1" t="s">
        <v>143</v>
      </c>
      <c r="B103" s="1" t="s">
        <v>2274</v>
      </c>
      <c r="C103" s="2">
        <v>46628</v>
      </c>
      <c r="D103" s="1" t="s">
        <v>34</v>
      </c>
      <c r="E103">
        <v>19900</v>
      </c>
      <c r="F103" s="2">
        <v>46081</v>
      </c>
      <c r="G103" s="1" t="s">
        <v>144</v>
      </c>
      <c r="H103" s="1" t="s">
        <v>43</v>
      </c>
      <c r="I103" s="1" t="s">
        <v>37</v>
      </c>
      <c r="J103" s="1" t="s">
        <v>38</v>
      </c>
      <c r="K103" s="1" t="s">
        <v>39</v>
      </c>
      <c r="L103">
        <v>240</v>
      </c>
      <c r="M103">
        <v>53</v>
      </c>
      <c r="N103">
        <v>44.3</v>
      </c>
      <c r="O103">
        <v>22</v>
      </c>
      <c r="P103">
        <v>5.1650000000000001E-2</v>
      </c>
      <c r="Q103">
        <v>12.46</v>
      </c>
      <c r="R103">
        <v>24.31</v>
      </c>
      <c r="S103">
        <v>4</v>
      </c>
      <c r="T103">
        <v>5</v>
      </c>
      <c r="U103">
        <v>20</v>
      </c>
      <c r="V103">
        <v>125</v>
      </c>
      <c r="W103">
        <v>274.20000000000005</v>
      </c>
      <c r="X103">
        <v>1.0329999999999999</v>
      </c>
      <c r="Y103">
        <v>82.916666666666671</v>
      </c>
      <c r="Z103">
        <v>4.2826458333333335</v>
      </c>
      <c r="AA103">
        <v>4.1458333333333339</v>
      </c>
      <c r="AB103">
        <v>483769</v>
      </c>
      <c r="AC103">
        <v>5</v>
      </c>
      <c r="AD103" s="1" t="s">
        <v>40</v>
      </c>
      <c r="AE103">
        <v>5</v>
      </c>
      <c r="AF103">
        <v>0</v>
      </c>
      <c r="AG103">
        <v>17.993421052631579</v>
      </c>
    </row>
    <row r="104" spans="1:33">
      <c r="A104" s="1" t="s">
        <v>143</v>
      </c>
      <c r="B104" s="1" t="s">
        <v>2275</v>
      </c>
      <c r="C104" s="2">
        <v>46782</v>
      </c>
      <c r="D104" s="1" t="s">
        <v>34</v>
      </c>
      <c r="E104">
        <v>3326</v>
      </c>
      <c r="F104" s="2">
        <v>46081</v>
      </c>
      <c r="G104" s="1" t="s">
        <v>144</v>
      </c>
      <c r="H104" s="1" t="s">
        <v>43</v>
      </c>
      <c r="I104" s="1" t="s">
        <v>37</v>
      </c>
      <c r="J104" s="1" t="s">
        <v>38</v>
      </c>
      <c r="K104" s="1" t="s">
        <v>39</v>
      </c>
      <c r="L104">
        <v>240</v>
      </c>
      <c r="M104">
        <v>53</v>
      </c>
      <c r="N104">
        <v>44.3</v>
      </c>
      <c r="O104">
        <v>22</v>
      </c>
      <c r="P104">
        <v>5.1650000000000001E-2</v>
      </c>
      <c r="Q104">
        <v>12.46</v>
      </c>
      <c r="R104">
        <v>24.31</v>
      </c>
      <c r="S104">
        <v>4</v>
      </c>
      <c r="T104">
        <v>5</v>
      </c>
      <c r="U104">
        <v>20</v>
      </c>
      <c r="V104">
        <v>125</v>
      </c>
      <c r="W104">
        <v>274.20000000000005</v>
      </c>
      <c r="X104">
        <v>1.0329999999999999</v>
      </c>
      <c r="Y104">
        <v>13.858333333333333</v>
      </c>
      <c r="Z104">
        <v>0.7157829166666666</v>
      </c>
      <c r="AA104">
        <v>0.69291666666666663</v>
      </c>
      <c r="AB104">
        <v>80855.06</v>
      </c>
      <c r="AC104">
        <v>1</v>
      </c>
      <c r="AD104" s="1" t="s">
        <v>40</v>
      </c>
      <c r="AE104">
        <v>1</v>
      </c>
      <c r="AF104">
        <v>0</v>
      </c>
      <c r="AG104">
        <v>23.059210526315791</v>
      </c>
    </row>
    <row r="105" spans="1:33">
      <c r="A105" s="1" t="s">
        <v>143</v>
      </c>
      <c r="B105" s="1" t="s">
        <v>2276</v>
      </c>
      <c r="C105" s="2">
        <v>46377</v>
      </c>
      <c r="D105" s="1" t="s">
        <v>34</v>
      </c>
      <c r="E105">
        <v>362</v>
      </c>
      <c r="F105" s="2">
        <v>46081</v>
      </c>
      <c r="G105" s="1" t="s">
        <v>144</v>
      </c>
      <c r="H105" s="1" t="s">
        <v>43</v>
      </c>
      <c r="I105" s="1" t="s">
        <v>37</v>
      </c>
      <c r="J105" s="1" t="s">
        <v>38</v>
      </c>
      <c r="K105" s="1" t="s">
        <v>39</v>
      </c>
      <c r="L105">
        <v>240</v>
      </c>
      <c r="M105">
        <v>53</v>
      </c>
      <c r="N105">
        <v>44.3</v>
      </c>
      <c r="O105">
        <v>22</v>
      </c>
      <c r="P105">
        <v>5.1650000000000001E-2</v>
      </c>
      <c r="Q105">
        <v>12.46</v>
      </c>
      <c r="R105">
        <v>24.31</v>
      </c>
      <c r="S105">
        <v>4</v>
      </c>
      <c r="T105">
        <v>5</v>
      </c>
      <c r="U105">
        <v>20</v>
      </c>
      <c r="V105">
        <v>125</v>
      </c>
      <c r="W105">
        <v>274.20000000000005</v>
      </c>
      <c r="X105">
        <v>1.0329999999999999</v>
      </c>
      <c r="Y105">
        <v>1.5083333333333333</v>
      </c>
      <c r="Z105">
        <v>7.7905416666666671E-2</v>
      </c>
      <c r="AA105">
        <v>7.541666666666666E-2</v>
      </c>
      <c r="AB105">
        <v>8800.2199999999993</v>
      </c>
      <c r="AC105">
        <v>1</v>
      </c>
      <c r="AD105" s="1" t="s">
        <v>44</v>
      </c>
      <c r="AE105">
        <v>0</v>
      </c>
      <c r="AF105">
        <v>1</v>
      </c>
      <c r="AG105">
        <v>9.7368421052631575</v>
      </c>
    </row>
    <row r="106" spans="1:33">
      <c r="A106" s="1" t="s">
        <v>143</v>
      </c>
      <c r="B106" s="1" t="s">
        <v>2277</v>
      </c>
      <c r="C106" s="2">
        <v>45877</v>
      </c>
      <c r="D106" s="1" t="s">
        <v>73</v>
      </c>
      <c r="E106">
        <v>1887</v>
      </c>
      <c r="F106" s="2">
        <v>46081</v>
      </c>
      <c r="G106" s="1" t="s">
        <v>144</v>
      </c>
      <c r="H106" s="1" t="s">
        <v>43</v>
      </c>
      <c r="I106" s="1" t="s">
        <v>37</v>
      </c>
      <c r="J106" s="1" t="s">
        <v>38</v>
      </c>
      <c r="K106" s="1" t="s">
        <v>39</v>
      </c>
      <c r="L106">
        <v>240</v>
      </c>
      <c r="M106">
        <v>53</v>
      </c>
      <c r="N106">
        <v>44.3</v>
      </c>
      <c r="O106">
        <v>22</v>
      </c>
      <c r="P106">
        <v>5.1650000000000001E-2</v>
      </c>
      <c r="Q106">
        <v>12.46</v>
      </c>
      <c r="R106">
        <v>24.31</v>
      </c>
      <c r="S106">
        <v>4</v>
      </c>
      <c r="T106">
        <v>5</v>
      </c>
      <c r="U106">
        <v>20</v>
      </c>
      <c r="V106">
        <v>125</v>
      </c>
      <c r="W106">
        <v>274.20000000000005</v>
      </c>
      <c r="X106">
        <v>1.0329999999999999</v>
      </c>
      <c r="Y106">
        <v>7.8624999999999998</v>
      </c>
      <c r="Z106">
        <v>0.40609812499999998</v>
      </c>
      <c r="AA106">
        <v>0.393125</v>
      </c>
      <c r="AB106">
        <v>45872.97</v>
      </c>
      <c r="AC106">
        <v>1</v>
      </c>
      <c r="AD106" s="1" t="s">
        <v>74</v>
      </c>
      <c r="AE106">
        <v>0</v>
      </c>
      <c r="AF106">
        <v>0</v>
      </c>
      <c r="AG106">
        <v>-6.7105263157894743</v>
      </c>
    </row>
    <row r="107" spans="1:33">
      <c r="A107" s="1" t="s">
        <v>145</v>
      </c>
      <c r="B107" s="1" t="s">
        <v>2278</v>
      </c>
      <c r="C107" s="2">
        <v>47071</v>
      </c>
      <c r="D107" s="1" t="s">
        <v>34</v>
      </c>
      <c r="E107">
        <v>7869</v>
      </c>
      <c r="F107" s="2">
        <v>46081</v>
      </c>
      <c r="G107" s="1" t="s">
        <v>146</v>
      </c>
      <c r="H107" s="1" t="s">
        <v>43</v>
      </c>
      <c r="I107" s="1" t="s">
        <v>37</v>
      </c>
      <c r="J107" s="1" t="s">
        <v>38</v>
      </c>
      <c r="K107" s="1" t="s">
        <v>39</v>
      </c>
      <c r="L107">
        <v>240</v>
      </c>
      <c r="M107">
        <v>57.7</v>
      </c>
      <c r="N107">
        <v>39.200000000000003</v>
      </c>
      <c r="O107">
        <v>29.1</v>
      </c>
      <c r="P107">
        <v>6.5820000000000004E-2</v>
      </c>
      <c r="Q107">
        <v>17.87</v>
      </c>
      <c r="R107">
        <v>11.21</v>
      </c>
      <c r="S107">
        <v>4</v>
      </c>
      <c r="T107">
        <v>4</v>
      </c>
      <c r="U107">
        <v>16</v>
      </c>
      <c r="V107">
        <v>131.4</v>
      </c>
      <c r="W107">
        <v>310.92</v>
      </c>
      <c r="X107">
        <v>1.0531200000000001</v>
      </c>
      <c r="Y107">
        <v>32.787500000000001</v>
      </c>
      <c r="Z107">
        <v>2.1580732500000002</v>
      </c>
      <c r="AA107">
        <v>2.0492187500000001</v>
      </c>
      <c r="AB107">
        <v>88211.49</v>
      </c>
      <c r="AC107">
        <v>3</v>
      </c>
      <c r="AD107" s="1" t="s">
        <v>40</v>
      </c>
      <c r="AE107">
        <v>3</v>
      </c>
      <c r="AF107">
        <v>0</v>
      </c>
      <c r="AG107">
        <v>32.565789473684212</v>
      </c>
    </row>
    <row r="108" spans="1:33">
      <c r="A108" s="1" t="s">
        <v>145</v>
      </c>
      <c r="B108" s="1" t="s">
        <v>2279</v>
      </c>
      <c r="C108" s="2">
        <v>46787</v>
      </c>
      <c r="D108" s="1" t="s">
        <v>45</v>
      </c>
      <c r="E108">
        <v>157</v>
      </c>
      <c r="F108" s="2">
        <v>46081</v>
      </c>
      <c r="G108" s="1" t="s">
        <v>146</v>
      </c>
      <c r="H108" s="1" t="s">
        <v>43</v>
      </c>
      <c r="I108" s="1" t="s">
        <v>37</v>
      </c>
      <c r="J108" s="1" t="s">
        <v>38</v>
      </c>
      <c r="K108" s="1" t="s">
        <v>39</v>
      </c>
      <c r="L108">
        <v>240</v>
      </c>
      <c r="M108">
        <v>57.7</v>
      </c>
      <c r="N108">
        <v>39.200000000000003</v>
      </c>
      <c r="O108">
        <v>29.1</v>
      </c>
      <c r="P108">
        <v>6.5820000000000004E-2</v>
      </c>
      <c r="Q108">
        <v>17.87</v>
      </c>
      <c r="R108">
        <v>11.21</v>
      </c>
      <c r="S108">
        <v>4</v>
      </c>
      <c r="T108">
        <v>4</v>
      </c>
      <c r="U108">
        <v>16</v>
      </c>
      <c r="V108">
        <v>131.4</v>
      </c>
      <c r="W108">
        <v>310.92</v>
      </c>
      <c r="X108">
        <v>1.0531200000000001</v>
      </c>
      <c r="Y108">
        <v>0.65416666666666667</v>
      </c>
      <c r="Z108">
        <v>4.3057250000000005E-2</v>
      </c>
      <c r="AA108">
        <v>4.0885416666666667E-2</v>
      </c>
      <c r="AB108">
        <v>1759.97</v>
      </c>
      <c r="AC108">
        <v>1</v>
      </c>
      <c r="AD108" s="1" t="s">
        <v>44</v>
      </c>
      <c r="AE108">
        <v>0</v>
      </c>
      <c r="AF108">
        <v>1</v>
      </c>
      <c r="AG108">
        <v>23.223684210526319</v>
      </c>
    </row>
    <row r="109" spans="1:33">
      <c r="A109" s="1" t="s">
        <v>147</v>
      </c>
      <c r="B109" s="1" t="s">
        <v>2280</v>
      </c>
      <c r="C109" s="2">
        <v>46339</v>
      </c>
      <c r="D109" s="1" t="s">
        <v>34</v>
      </c>
      <c r="E109">
        <v>1429</v>
      </c>
      <c r="F109" s="2">
        <v>46081</v>
      </c>
      <c r="G109" s="1" t="s">
        <v>148</v>
      </c>
      <c r="H109" s="1" t="s">
        <v>48</v>
      </c>
      <c r="I109" s="1" t="s">
        <v>37</v>
      </c>
      <c r="J109" s="1" t="s">
        <v>38</v>
      </c>
      <c r="K109" s="1" t="s">
        <v>39</v>
      </c>
      <c r="L109">
        <v>100</v>
      </c>
      <c r="M109">
        <v>54.7</v>
      </c>
      <c r="N109">
        <v>43.6</v>
      </c>
      <c r="O109">
        <v>25.1</v>
      </c>
      <c r="P109">
        <v>5.9859999999999997E-2</v>
      </c>
      <c r="Q109">
        <v>11.02</v>
      </c>
      <c r="R109">
        <v>23.17</v>
      </c>
      <c r="S109">
        <v>4</v>
      </c>
      <c r="T109">
        <v>3</v>
      </c>
      <c r="U109">
        <v>12</v>
      </c>
      <c r="V109">
        <v>90.3</v>
      </c>
      <c r="W109">
        <v>157.24</v>
      </c>
      <c r="X109">
        <v>0.71831999999999996</v>
      </c>
      <c r="Y109">
        <v>14.29</v>
      </c>
      <c r="Z109">
        <v>0.85539939999999992</v>
      </c>
      <c r="AA109">
        <v>1.1908333333333332</v>
      </c>
      <c r="AB109">
        <v>33109.93</v>
      </c>
      <c r="AC109">
        <v>2</v>
      </c>
      <c r="AD109" s="1" t="s">
        <v>40</v>
      </c>
      <c r="AE109">
        <v>2</v>
      </c>
      <c r="AF109">
        <v>0</v>
      </c>
      <c r="AG109">
        <v>8.4868421052631575</v>
      </c>
    </row>
    <row r="110" spans="1:33">
      <c r="A110" s="1" t="s">
        <v>147</v>
      </c>
      <c r="B110" s="1" t="s">
        <v>2281</v>
      </c>
      <c r="C110" s="2">
        <v>46732</v>
      </c>
      <c r="D110" s="1" t="s">
        <v>34</v>
      </c>
      <c r="E110">
        <v>178</v>
      </c>
      <c r="F110" s="2">
        <v>46081</v>
      </c>
      <c r="G110" s="1" t="s">
        <v>148</v>
      </c>
      <c r="H110" s="1" t="s">
        <v>48</v>
      </c>
      <c r="I110" s="1" t="s">
        <v>37</v>
      </c>
      <c r="J110" s="1" t="s">
        <v>38</v>
      </c>
      <c r="K110" s="1" t="s">
        <v>39</v>
      </c>
      <c r="L110">
        <v>100</v>
      </c>
      <c r="M110">
        <v>54.7</v>
      </c>
      <c r="N110">
        <v>43.6</v>
      </c>
      <c r="O110">
        <v>25.1</v>
      </c>
      <c r="P110">
        <v>5.9859999999999997E-2</v>
      </c>
      <c r="Q110">
        <v>11.02</v>
      </c>
      <c r="R110">
        <v>23.17</v>
      </c>
      <c r="S110">
        <v>4</v>
      </c>
      <c r="T110">
        <v>3</v>
      </c>
      <c r="U110">
        <v>12</v>
      </c>
      <c r="V110">
        <v>90.3</v>
      </c>
      <c r="W110">
        <v>157.24</v>
      </c>
      <c r="X110">
        <v>0.71831999999999996</v>
      </c>
      <c r="Y110">
        <v>1.78</v>
      </c>
      <c r="Z110">
        <v>0.1065508</v>
      </c>
      <c r="AA110">
        <v>0.14833333333333334</v>
      </c>
      <c r="AB110">
        <v>4124.26</v>
      </c>
      <c r="AC110">
        <v>1</v>
      </c>
      <c r="AD110" s="1" t="s">
        <v>44</v>
      </c>
      <c r="AE110">
        <v>0</v>
      </c>
      <c r="AF110">
        <v>1</v>
      </c>
      <c r="AG110">
        <v>21.414473684210527</v>
      </c>
    </row>
    <row r="111" spans="1:33">
      <c r="A111" s="1" t="s">
        <v>147</v>
      </c>
      <c r="B111" s="1" t="s">
        <v>2282</v>
      </c>
      <c r="C111" s="2">
        <v>46901</v>
      </c>
      <c r="D111" s="1" t="s">
        <v>34</v>
      </c>
      <c r="E111">
        <v>1742</v>
      </c>
      <c r="F111" s="2">
        <v>46081</v>
      </c>
      <c r="G111" s="1" t="s">
        <v>148</v>
      </c>
      <c r="H111" s="1" t="s">
        <v>48</v>
      </c>
      <c r="I111" s="1" t="s">
        <v>37</v>
      </c>
      <c r="J111" s="1" t="s">
        <v>38</v>
      </c>
      <c r="K111" s="1" t="s">
        <v>39</v>
      </c>
      <c r="L111">
        <v>100</v>
      </c>
      <c r="M111">
        <v>54.7</v>
      </c>
      <c r="N111">
        <v>43.6</v>
      </c>
      <c r="O111">
        <v>25.1</v>
      </c>
      <c r="P111">
        <v>5.9859999999999997E-2</v>
      </c>
      <c r="Q111">
        <v>11.02</v>
      </c>
      <c r="R111">
        <v>23.17</v>
      </c>
      <c r="S111">
        <v>4</v>
      </c>
      <c r="T111">
        <v>3</v>
      </c>
      <c r="U111">
        <v>12</v>
      </c>
      <c r="V111">
        <v>90.3</v>
      </c>
      <c r="W111">
        <v>157.24</v>
      </c>
      <c r="X111">
        <v>0.71831999999999996</v>
      </c>
      <c r="Y111">
        <v>17.420000000000002</v>
      </c>
      <c r="Z111">
        <v>1.0427611999999999</v>
      </c>
      <c r="AA111">
        <v>1.4516666666666669</v>
      </c>
      <c r="AB111">
        <v>40362.14</v>
      </c>
      <c r="AC111">
        <v>2</v>
      </c>
      <c r="AD111" s="1" t="s">
        <v>40</v>
      </c>
      <c r="AE111">
        <v>2</v>
      </c>
      <c r="AF111">
        <v>0</v>
      </c>
      <c r="AG111">
        <v>26.973684210526319</v>
      </c>
    </row>
    <row r="112" spans="1:33">
      <c r="A112" s="1" t="s">
        <v>149</v>
      </c>
      <c r="B112" s="1" t="s">
        <v>2283</v>
      </c>
      <c r="C112" s="2">
        <v>46638</v>
      </c>
      <c r="D112" s="1" t="s">
        <v>34</v>
      </c>
      <c r="E112">
        <v>540</v>
      </c>
      <c r="F112" s="2">
        <v>46081</v>
      </c>
      <c r="G112" s="1" t="s">
        <v>150</v>
      </c>
      <c r="H112" s="1" t="s">
        <v>70</v>
      </c>
      <c r="I112" s="1" t="s">
        <v>37</v>
      </c>
      <c r="J112" s="1" t="s">
        <v>38</v>
      </c>
      <c r="K112" s="1" t="s">
        <v>39</v>
      </c>
      <c r="L112">
        <v>180</v>
      </c>
      <c r="M112">
        <v>57.5</v>
      </c>
      <c r="N112">
        <v>44.2</v>
      </c>
      <c r="O112">
        <v>32.799999999999997</v>
      </c>
      <c r="P112">
        <v>8.3360000000000004E-2</v>
      </c>
      <c r="Q112">
        <v>16.28</v>
      </c>
      <c r="R112">
        <v>24.78</v>
      </c>
      <c r="S112">
        <v>4</v>
      </c>
      <c r="T112">
        <v>3</v>
      </c>
      <c r="U112">
        <v>12</v>
      </c>
      <c r="V112">
        <v>113.4</v>
      </c>
      <c r="W112">
        <v>220.36</v>
      </c>
      <c r="X112">
        <v>1.0003200000000001</v>
      </c>
      <c r="Y112">
        <v>3</v>
      </c>
      <c r="Z112">
        <v>0.25008000000000002</v>
      </c>
      <c r="AA112">
        <v>0.25</v>
      </c>
      <c r="AB112">
        <v>13381.2</v>
      </c>
      <c r="AC112">
        <v>1</v>
      </c>
      <c r="AD112" s="1" t="s">
        <v>40</v>
      </c>
      <c r="AE112">
        <v>1</v>
      </c>
      <c r="AF112">
        <v>0</v>
      </c>
      <c r="AG112">
        <v>18.322368421052634</v>
      </c>
    </row>
    <row r="113" spans="1:33">
      <c r="A113" s="1" t="s">
        <v>151</v>
      </c>
      <c r="B113" s="1" t="s">
        <v>2284</v>
      </c>
      <c r="C113" s="2">
        <v>46428</v>
      </c>
      <c r="D113" s="1" t="s">
        <v>34</v>
      </c>
      <c r="E113">
        <v>2804</v>
      </c>
      <c r="F113" s="2">
        <v>46081</v>
      </c>
      <c r="G113" s="1" t="s">
        <v>152</v>
      </c>
      <c r="H113" s="1" t="s">
        <v>67</v>
      </c>
      <c r="I113" s="1" t="s">
        <v>37</v>
      </c>
      <c r="J113" s="1" t="s">
        <v>38</v>
      </c>
      <c r="K113" s="1" t="s">
        <v>39</v>
      </c>
      <c r="L113">
        <v>120</v>
      </c>
      <c r="M113">
        <v>30.7</v>
      </c>
      <c r="N113">
        <v>30</v>
      </c>
      <c r="O113">
        <v>33.6</v>
      </c>
      <c r="P113">
        <v>3.0949999999999998E-2</v>
      </c>
      <c r="Q113">
        <v>9.2799999999999994</v>
      </c>
      <c r="R113">
        <v>20.69</v>
      </c>
      <c r="S113">
        <v>11</v>
      </c>
      <c r="T113">
        <v>4</v>
      </c>
      <c r="U113">
        <v>44</v>
      </c>
      <c r="V113">
        <v>149.4</v>
      </c>
      <c r="W113">
        <v>433.32</v>
      </c>
      <c r="X113">
        <v>1.3617999999999999</v>
      </c>
      <c r="Y113">
        <v>23.366666666666667</v>
      </c>
      <c r="Z113">
        <v>0.72319833333333328</v>
      </c>
      <c r="AA113">
        <v>0.53106060606060612</v>
      </c>
      <c r="AB113">
        <v>58014.76</v>
      </c>
      <c r="AC113">
        <v>1</v>
      </c>
      <c r="AD113" s="1" t="s">
        <v>40</v>
      </c>
      <c r="AE113">
        <v>1</v>
      </c>
      <c r="AF113">
        <v>0</v>
      </c>
      <c r="AG113">
        <v>11.414473684210527</v>
      </c>
    </row>
    <row r="114" spans="1:33">
      <c r="A114" s="1" t="s">
        <v>151</v>
      </c>
      <c r="B114" s="1" t="s">
        <v>2285</v>
      </c>
      <c r="C114" s="2">
        <v>46768</v>
      </c>
      <c r="D114" s="1" t="s">
        <v>45</v>
      </c>
      <c r="E114">
        <v>56</v>
      </c>
      <c r="F114" s="2">
        <v>46081</v>
      </c>
      <c r="G114" s="1" t="s">
        <v>152</v>
      </c>
      <c r="H114" s="1" t="s">
        <v>67</v>
      </c>
      <c r="I114" s="1" t="s">
        <v>37</v>
      </c>
      <c r="J114" s="1" t="s">
        <v>38</v>
      </c>
      <c r="K114" s="1" t="s">
        <v>39</v>
      </c>
      <c r="L114">
        <v>120</v>
      </c>
      <c r="M114">
        <v>30.7</v>
      </c>
      <c r="N114">
        <v>30</v>
      </c>
      <c r="O114">
        <v>33.6</v>
      </c>
      <c r="P114">
        <v>3.0949999999999998E-2</v>
      </c>
      <c r="Q114">
        <v>9.2799999999999994</v>
      </c>
      <c r="R114">
        <v>20.69</v>
      </c>
      <c r="S114">
        <v>11</v>
      </c>
      <c r="T114">
        <v>4</v>
      </c>
      <c r="U114">
        <v>44</v>
      </c>
      <c r="V114">
        <v>149.4</v>
      </c>
      <c r="W114">
        <v>433.32</v>
      </c>
      <c r="X114">
        <v>1.3617999999999999</v>
      </c>
      <c r="Y114">
        <v>0.46666666666666667</v>
      </c>
      <c r="Z114">
        <v>1.4443333333333332E-2</v>
      </c>
      <c r="AA114">
        <v>1.0606060606060607E-2</v>
      </c>
      <c r="AB114">
        <v>1158.6400000000001</v>
      </c>
      <c r="AC114">
        <v>1</v>
      </c>
      <c r="AD114" s="1" t="s">
        <v>44</v>
      </c>
      <c r="AE114">
        <v>0</v>
      </c>
      <c r="AF114">
        <v>1</v>
      </c>
      <c r="AG114">
        <v>22.598684210526319</v>
      </c>
    </row>
    <row r="115" spans="1:33">
      <c r="A115" s="1" t="s">
        <v>151</v>
      </c>
      <c r="B115" s="1" t="s">
        <v>2286</v>
      </c>
      <c r="C115" s="2">
        <v>46374</v>
      </c>
      <c r="D115" s="1" t="s">
        <v>153</v>
      </c>
      <c r="E115">
        <v>84</v>
      </c>
      <c r="F115" s="2">
        <v>46081</v>
      </c>
      <c r="G115" s="1" t="s">
        <v>152</v>
      </c>
      <c r="H115" s="1" t="s">
        <v>67</v>
      </c>
      <c r="I115" s="1" t="s">
        <v>37</v>
      </c>
      <c r="J115" s="1" t="s">
        <v>38</v>
      </c>
      <c r="K115" s="1" t="s">
        <v>39</v>
      </c>
      <c r="L115">
        <v>120</v>
      </c>
      <c r="M115">
        <v>30.7</v>
      </c>
      <c r="N115">
        <v>30</v>
      </c>
      <c r="O115">
        <v>33.6</v>
      </c>
      <c r="P115">
        <v>3.0949999999999998E-2</v>
      </c>
      <c r="Q115">
        <v>9.2799999999999994</v>
      </c>
      <c r="R115">
        <v>20.69</v>
      </c>
      <c r="S115">
        <v>11</v>
      </c>
      <c r="T115">
        <v>4</v>
      </c>
      <c r="U115">
        <v>44</v>
      </c>
      <c r="V115">
        <v>149.4</v>
      </c>
      <c r="W115">
        <v>433.32</v>
      </c>
      <c r="X115">
        <v>1.3617999999999999</v>
      </c>
      <c r="Y115">
        <v>0.7</v>
      </c>
      <c r="Z115">
        <v>2.1664999999999997E-2</v>
      </c>
      <c r="AA115">
        <v>1.5909090909090907E-2</v>
      </c>
      <c r="AB115">
        <v>1737.96</v>
      </c>
      <c r="AC115">
        <v>1</v>
      </c>
      <c r="AD115" s="1" t="s">
        <v>74</v>
      </c>
      <c r="AE115">
        <v>0</v>
      </c>
      <c r="AF115">
        <v>0</v>
      </c>
      <c r="AG115">
        <v>9.6381578947368425</v>
      </c>
    </row>
    <row r="116" spans="1:33">
      <c r="A116" s="1" t="s">
        <v>154</v>
      </c>
      <c r="B116" s="1" t="s">
        <v>2287</v>
      </c>
      <c r="C116" s="2">
        <v>46765</v>
      </c>
      <c r="D116" s="1" t="s">
        <v>34</v>
      </c>
      <c r="E116">
        <v>357</v>
      </c>
      <c r="F116" s="2">
        <v>46081</v>
      </c>
      <c r="G116" s="1" t="s">
        <v>155</v>
      </c>
      <c r="H116" s="1" t="s">
        <v>43</v>
      </c>
      <c r="I116" s="1" t="s">
        <v>37</v>
      </c>
      <c r="J116" s="1" t="s">
        <v>38</v>
      </c>
      <c r="K116" s="1" t="s">
        <v>39</v>
      </c>
      <c r="L116">
        <v>180</v>
      </c>
      <c r="M116">
        <v>53.3</v>
      </c>
      <c r="N116">
        <v>36.4</v>
      </c>
      <c r="O116">
        <v>22.9</v>
      </c>
      <c r="P116">
        <v>4.4429999999999997E-2</v>
      </c>
      <c r="Q116">
        <v>7.21</v>
      </c>
      <c r="R116">
        <v>3.94</v>
      </c>
      <c r="S116">
        <v>3</v>
      </c>
      <c r="T116">
        <v>3</v>
      </c>
      <c r="U116">
        <v>9</v>
      </c>
      <c r="V116">
        <v>83.699999999999989</v>
      </c>
      <c r="W116">
        <v>89.89</v>
      </c>
      <c r="X116">
        <v>0.39986999999999989</v>
      </c>
      <c r="Y116">
        <v>1.9833333333333334</v>
      </c>
      <c r="Z116">
        <v>8.8119500000000003E-2</v>
      </c>
      <c r="AA116">
        <v>0.22037037037037038</v>
      </c>
      <c r="AB116">
        <v>1406.58</v>
      </c>
      <c r="AC116">
        <v>1</v>
      </c>
      <c r="AD116" s="1" t="s">
        <v>44</v>
      </c>
      <c r="AE116">
        <v>0</v>
      </c>
      <c r="AF116">
        <v>1</v>
      </c>
      <c r="AG116">
        <v>22.5</v>
      </c>
    </row>
    <row r="117" spans="1:33">
      <c r="A117" s="1" t="s">
        <v>154</v>
      </c>
      <c r="B117" s="1" t="s">
        <v>2288</v>
      </c>
      <c r="C117" s="2">
        <v>46589</v>
      </c>
      <c r="D117" s="1" t="s">
        <v>34</v>
      </c>
      <c r="E117">
        <v>1609</v>
      </c>
      <c r="F117" s="2">
        <v>46081</v>
      </c>
      <c r="G117" s="1" t="s">
        <v>155</v>
      </c>
      <c r="H117" s="1" t="s">
        <v>43</v>
      </c>
      <c r="I117" s="1" t="s">
        <v>37</v>
      </c>
      <c r="J117" s="1" t="s">
        <v>38</v>
      </c>
      <c r="K117" s="1" t="s">
        <v>39</v>
      </c>
      <c r="L117">
        <v>180</v>
      </c>
      <c r="M117">
        <v>53.3</v>
      </c>
      <c r="N117">
        <v>36.4</v>
      </c>
      <c r="O117">
        <v>22.9</v>
      </c>
      <c r="P117">
        <v>4.4429999999999997E-2</v>
      </c>
      <c r="Q117">
        <v>7.21</v>
      </c>
      <c r="R117">
        <v>3.94</v>
      </c>
      <c r="S117">
        <v>3</v>
      </c>
      <c r="T117">
        <v>3</v>
      </c>
      <c r="U117">
        <v>9</v>
      </c>
      <c r="V117">
        <v>83.699999999999989</v>
      </c>
      <c r="W117">
        <v>89.89</v>
      </c>
      <c r="X117">
        <v>0.39986999999999989</v>
      </c>
      <c r="Y117">
        <v>8.9388888888888882</v>
      </c>
      <c r="Z117">
        <v>0.39715483333333329</v>
      </c>
      <c r="AA117">
        <v>0.9932098765432098</v>
      </c>
      <c r="AB117">
        <v>6339.46</v>
      </c>
      <c r="AC117">
        <v>1</v>
      </c>
      <c r="AD117" s="1" t="s">
        <v>40</v>
      </c>
      <c r="AE117">
        <v>1</v>
      </c>
      <c r="AF117">
        <v>0</v>
      </c>
      <c r="AG117">
        <v>16.710526315789476</v>
      </c>
    </row>
    <row r="118" spans="1:33">
      <c r="A118" s="1" t="s">
        <v>156</v>
      </c>
      <c r="B118" s="1" t="s">
        <v>2289</v>
      </c>
      <c r="C118" s="2">
        <v>47075</v>
      </c>
      <c r="D118" s="1" t="s">
        <v>34</v>
      </c>
      <c r="E118">
        <v>11243</v>
      </c>
      <c r="F118" s="2">
        <v>46081</v>
      </c>
      <c r="G118" s="1" t="s">
        <v>157</v>
      </c>
      <c r="H118" s="1" t="s">
        <v>70</v>
      </c>
      <c r="I118" s="1" t="s">
        <v>37</v>
      </c>
      <c r="J118" s="1" t="s">
        <v>38</v>
      </c>
      <c r="K118" s="1" t="s">
        <v>39</v>
      </c>
      <c r="L118">
        <v>100</v>
      </c>
      <c r="M118">
        <v>37.9</v>
      </c>
      <c r="N118">
        <v>34.9</v>
      </c>
      <c r="O118">
        <v>30.5</v>
      </c>
      <c r="P118">
        <v>4.0340000000000001E-2</v>
      </c>
      <c r="Q118">
        <v>10.87</v>
      </c>
      <c r="R118">
        <v>21.5</v>
      </c>
      <c r="S118">
        <v>6</v>
      </c>
      <c r="T118">
        <v>2</v>
      </c>
      <c r="U118">
        <v>12</v>
      </c>
      <c r="V118">
        <v>76</v>
      </c>
      <c r="W118">
        <v>155.44</v>
      </c>
      <c r="X118">
        <v>0.48408000000000001</v>
      </c>
      <c r="Y118">
        <v>112.43</v>
      </c>
      <c r="Z118">
        <v>4.5354262000000007</v>
      </c>
      <c r="AA118">
        <v>9.3691666666666666</v>
      </c>
      <c r="AB118">
        <v>241724.5</v>
      </c>
      <c r="AC118">
        <v>10</v>
      </c>
      <c r="AD118" s="1" t="s">
        <v>40</v>
      </c>
      <c r="AE118">
        <v>10</v>
      </c>
      <c r="AF118">
        <v>0</v>
      </c>
      <c r="AG118">
        <v>32.69736842105263</v>
      </c>
    </row>
    <row r="119" spans="1:33">
      <c r="A119" s="1" t="s">
        <v>158</v>
      </c>
      <c r="B119" s="1" t="s">
        <v>2290</v>
      </c>
      <c r="C119" s="2">
        <v>46869</v>
      </c>
      <c r="D119" s="1" t="s">
        <v>34</v>
      </c>
      <c r="E119">
        <v>6567</v>
      </c>
      <c r="F119" s="2">
        <v>46081</v>
      </c>
      <c r="G119" s="1" t="s">
        <v>159</v>
      </c>
      <c r="H119" s="1" t="s">
        <v>43</v>
      </c>
      <c r="I119" s="1" t="s">
        <v>37</v>
      </c>
      <c r="J119" s="1" t="s">
        <v>38</v>
      </c>
      <c r="K119" s="1" t="s">
        <v>39</v>
      </c>
      <c r="L119">
        <v>120</v>
      </c>
      <c r="M119">
        <v>43.2</v>
      </c>
      <c r="N119">
        <v>37.1</v>
      </c>
      <c r="O119">
        <v>33.4</v>
      </c>
      <c r="P119">
        <v>5.3530000000000001E-2</v>
      </c>
      <c r="Q119">
        <v>11.46</v>
      </c>
      <c r="R119">
        <v>19.25</v>
      </c>
      <c r="S119">
        <v>6</v>
      </c>
      <c r="T119">
        <v>3</v>
      </c>
      <c r="U119">
        <v>18</v>
      </c>
      <c r="V119">
        <v>115.2</v>
      </c>
      <c r="W119">
        <v>231.28000000000003</v>
      </c>
      <c r="X119">
        <v>0.96353999999999995</v>
      </c>
      <c r="Y119">
        <v>54.725000000000001</v>
      </c>
      <c r="Z119">
        <v>2.9294292500000001</v>
      </c>
      <c r="AA119">
        <v>3.0402777777777779</v>
      </c>
      <c r="AB119">
        <v>126414.75</v>
      </c>
      <c r="AC119">
        <v>4</v>
      </c>
      <c r="AD119" s="1" t="s">
        <v>40</v>
      </c>
      <c r="AE119">
        <v>4</v>
      </c>
      <c r="AF119">
        <v>0</v>
      </c>
      <c r="AG119">
        <v>25.921052631578949</v>
      </c>
    </row>
    <row r="120" spans="1:33">
      <c r="A120" s="1" t="s">
        <v>160</v>
      </c>
      <c r="B120" s="1" t="s">
        <v>2291</v>
      </c>
      <c r="C120" s="2">
        <v>46645</v>
      </c>
      <c r="D120" s="1" t="s">
        <v>34</v>
      </c>
      <c r="E120">
        <v>1554</v>
      </c>
      <c r="F120" s="2">
        <v>46081</v>
      </c>
      <c r="G120" s="1" t="s">
        <v>161</v>
      </c>
      <c r="H120" s="1" t="s">
        <v>36</v>
      </c>
      <c r="I120" s="1" t="s">
        <v>37</v>
      </c>
      <c r="J120" s="1" t="s">
        <v>38</v>
      </c>
      <c r="K120" s="1" t="s">
        <v>39</v>
      </c>
      <c r="L120">
        <v>180</v>
      </c>
      <c r="M120">
        <v>55.2</v>
      </c>
      <c r="N120">
        <v>40.299999999999997</v>
      </c>
      <c r="O120">
        <v>25.7</v>
      </c>
      <c r="P120">
        <v>5.7169999999999999E-2</v>
      </c>
      <c r="Q120">
        <v>11.86</v>
      </c>
      <c r="R120">
        <v>2.4900000000000002</v>
      </c>
      <c r="S120">
        <v>4</v>
      </c>
      <c r="T120">
        <v>5</v>
      </c>
      <c r="U120">
        <v>20</v>
      </c>
      <c r="V120">
        <v>143.5</v>
      </c>
      <c r="W120">
        <v>262.2</v>
      </c>
      <c r="X120">
        <v>1.1434</v>
      </c>
      <c r="Y120">
        <v>8.6333333333333329</v>
      </c>
      <c r="Z120">
        <v>0.49356766666666663</v>
      </c>
      <c r="AA120">
        <v>0.43166666666666664</v>
      </c>
      <c r="AB120">
        <v>3869.4600000000005</v>
      </c>
      <c r="AC120">
        <v>1</v>
      </c>
      <c r="AD120" s="1" t="s">
        <v>40</v>
      </c>
      <c r="AE120">
        <v>1</v>
      </c>
      <c r="AF120">
        <v>0</v>
      </c>
      <c r="AG120">
        <v>18.55263157894737</v>
      </c>
    </row>
    <row r="121" spans="1:33">
      <c r="A121" s="1" t="s">
        <v>162</v>
      </c>
      <c r="B121" s="1" t="s">
        <v>2292</v>
      </c>
      <c r="C121" s="2">
        <v>47145</v>
      </c>
      <c r="D121" s="1" t="s">
        <v>34</v>
      </c>
      <c r="E121">
        <v>427</v>
      </c>
      <c r="F121" s="2">
        <v>46081</v>
      </c>
      <c r="G121" s="1" t="s">
        <v>163</v>
      </c>
      <c r="H121" s="1" t="s">
        <v>43</v>
      </c>
      <c r="I121" s="1" t="s">
        <v>37</v>
      </c>
      <c r="J121" s="1" t="s">
        <v>38</v>
      </c>
      <c r="K121" s="1" t="s">
        <v>39</v>
      </c>
      <c r="L121">
        <v>180</v>
      </c>
      <c r="M121">
        <v>58.5</v>
      </c>
      <c r="N121">
        <v>34.4</v>
      </c>
      <c r="O121">
        <v>21</v>
      </c>
      <c r="P121">
        <v>4.2259999999999999E-2</v>
      </c>
      <c r="Q121">
        <v>9.6199999999999992</v>
      </c>
      <c r="R121">
        <v>10.79</v>
      </c>
      <c r="S121">
        <v>2</v>
      </c>
      <c r="T121">
        <v>7</v>
      </c>
      <c r="U121">
        <v>14</v>
      </c>
      <c r="V121">
        <v>162</v>
      </c>
      <c r="W121">
        <v>159.67999999999998</v>
      </c>
      <c r="X121">
        <v>0.59163999999999994</v>
      </c>
      <c r="Y121">
        <v>2.3722222222222222</v>
      </c>
      <c r="Z121">
        <v>0.10025011111111111</v>
      </c>
      <c r="AA121">
        <v>0.16944444444444445</v>
      </c>
      <c r="AB121">
        <v>4607.33</v>
      </c>
      <c r="AC121">
        <v>1</v>
      </c>
      <c r="AD121" s="1" t="s">
        <v>44</v>
      </c>
      <c r="AE121">
        <v>0</v>
      </c>
      <c r="AF121">
        <v>1</v>
      </c>
      <c r="AG121">
        <v>35</v>
      </c>
    </row>
    <row r="122" spans="1:33">
      <c r="A122" s="1" t="s">
        <v>162</v>
      </c>
      <c r="B122" s="1" t="s">
        <v>2293</v>
      </c>
      <c r="C122" s="2">
        <v>46488</v>
      </c>
      <c r="D122" s="1" t="s">
        <v>34</v>
      </c>
      <c r="E122">
        <v>1067</v>
      </c>
      <c r="F122" s="2">
        <v>46081</v>
      </c>
      <c r="G122" s="1" t="s">
        <v>163</v>
      </c>
      <c r="H122" s="1" t="s">
        <v>43</v>
      </c>
      <c r="I122" s="1" t="s">
        <v>37</v>
      </c>
      <c r="J122" s="1" t="s">
        <v>38</v>
      </c>
      <c r="K122" s="1" t="s">
        <v>39</v>
      </c>
      <c r="L122">
        <v>180</v>
      </c>
      <c r="M122">
        <v>58.5</v>
      </c>
      <c r="N122">
        <v>34.4</v>
      </c>
      <c r="O122">
        <v>21</v>
      </c>
      <c r="P122">
        <v>4.2259999999999999E-2</v>
      </c>
      <c r="Q122">
        <v>9.6199999999999992</v>
      </c>
      <c r="R122">
        <v>10.79</v>
      </c>
      <c r="S122">
        <v>2</v>
      </c>
      <c r="T122">
        <v>7</v>
      </c>
      <c r="U122">
        <v>14</v>
      </c>
      <c r="V122">
        <v>162</v>
      </c>
      <c r="W122">
        <v>159.67999999999998</v>
      </c>
      <c r="X122">
        <v>0.59163999999999994</v>
      </c>
      <c r="Y122">
        <v>5.927777777777778</v>
      </c>
      <c r="Z122">
        <v>0.25050788888888892</v>
      </c>
      <c r="AA122">
        <v>0.42341269841269841</v>
      </c>
      <c r="AB122">
        <v>11512.929999999998</v>
      </c>
      <c r="AC122">
        <v>1</v>
      </c>
      <c r="AD122" s="1" t="s">
        <v>40</v>
      </c>
      <c r="AE122">
        <v>1</v>
      </c>
      <c r="AF122">
        <v>0</v>
      </c>
      <c r="AG122">
        <v>13.388157894736842</v>
      </c>
    </row>
    <row r="123" spans="1:33">
      <c r="A123" s="1" t="s">
        <v>162</v>
      </c>
      <c r="B123" s="1" t="s">
        <v>2294</v>
      </c>
      <c r="C123" s="2">
        <v>46449</v>
      </c>
      <c r="D123" s="1" t="s">
        <v>34</v>
      </c>
      <c r="E123">
        <v>231</v>
      </c>
      <c r="F123" s="2">
        <v>46081</v>
      </c>
      <c r="G123" s="1" t="s">
        <v>163</v>
      </c>
      <c r="H123" s="1" t="s">
        <v>43</v>
      </c>
      <c r="I123" s="1" t="s">
        <v>37</v>
      </c>
      <c r="J123" s="1" t="s">
        <v>38</v>
      </c>
      <c r="K123" s="1" t="s">
        <v>39</v>
      </c>
      <c r="L123">
        <v>180</v>
      </c>
      <c r="M123">
        <v>58.5</v>
      </c>
      <c r="N123">
        <v>34.4</v>
      </c>
      <c r="O123">
        <v>21</v>
      </c>
      <c r="P123">
        <v>4.2259999999999999E-2</v>
      </c>
      <c r="Q123">
        <v>9.6199999999999992</v>
      </c>
      <c r="R123">
        <v>10.79</v>
      </c>
      <c r="S123">
        <v>2</v>
      </c>
      <c r="T123">
        <v>7</v>
      </c>
      <c r="U123">
        <v>14</v>
      </c>
      <c r="V123">
        <v>162</v>
      </c>
      <c r="W123">
        <v>159.67999999999998</v>
      </c>
      <c r="X123">
        <v>0.59163999999999994</v>
      </c>
      <c r="Y123">
        <v>1.2833333333333334</v>
      </c>
      <c r="Z123">
        <v>5.4233666666666673E-2</v>
      </c>
      <c r="AA123">
        <v>9.1666666666666674E-2</v>
      </c>
      <c r="AB123">
        <v>2492.4899999999998</v>
      </c>
      <c r="AC123">
        <v>1</v>
      </c>
      <c r="AD123" s="1" t="s">
        <v>44</v>
      </c>
      <c r="AE123">
        <v>0</v>
      </c>
      <c r="AF123">
        <v>1</v>
      </c>
      <c r="AG123">
        <v>12.105263157894738</v>
      </c>
    </row>
    <row r="124" spans="1:33">
      <c r="A124" s="1" t="s">
        <v>162</v>
      </c>
      <c r="B124" s="1" t="s">
        <v>2295</v>
      </c>
      <c r="C124" s="2">
        <v>46198</v>
      </c>
      <c r="D124" s="1" t="s">
        <v>34</v>
      </c>
      <c r="E124">
        <v>2036</v>
      </c>
      <c r="F124" s="2">
        <v>46081</v>
      </c>
      <c r="G124" s="1" t="s">
        <v>163</v>
      </c>
      <c r="H124" s="1" t="s">
        <v>43</v>
      </c>
      <c r="I124" s="1" t="s">
        <v>37</v>
      </c>
      <c r="J124" s="1" t="s">
        <v>38</v>
      </c>
      <c r="K124" s="1" t="s">
        <v>39</v>
      </c>
      <c r="L124">
        <v>180</v>
      </c>
      <c r="M124">
        <v>58.5</v>
      </c>
      <c r="N124">
        <v>34.4</v>
      </c>
      <c r="O124">
        <v>21</v>
      </c>
      <c r="P124">
        <v>4.2259999999999999E-2</v>
      </c>
      <c r="Q124">
        <v>9.6199999999999992</v>
      </c>
      <c r="R124">
        <v>10.79</v>
      </c>
      <c r="S124">
        <v>2</v>
      </c>
      <c r="T124">
        <v>7</v>
      </c>
      <c r="U124">
        <v>14</v>
      </c>
      <c r="V124">
        <v>162</v>
      </c>
      <c r="W124">
        <v>159.67999999999998</v>
      </c>
      <c r="X124">
        <v>0.59163999999999994</v>
      </c>
      <c r="Y124">
        <v>11.311111111111112</v>
      </c>
      <c r="Z124">
        <v>0.47800755555555557</v>
      </c>
      <c r="AA124">
        <v>0.80793650793650795</v>
      </c>
      <c r="AB124">
        <v>21968.44</v>
      </c>
      <c r="AC124">
        <v>1</v>
      </c>
      <c r="AD124" s="1" t="s">
        <v>40</v>
      </c>
      <c r="AE124">
        <v>1</v>
      </c>
      <c r="AF124">
        <v>0</v>
      </c>
      <c r="AG124">
        <v>3.8486842105263159</v>
      </c>
    </row>
    <row r="125" spans="1:33">
      <c r="A125" s="1" t="s">
        <v>164</v>
      </c>
      <c r="B125" s="1" t="s">
        <v>2296</v>
      </c>
      <c r="C125" s="2">
        <v>46811</v>
      </c>
      <c r="D125" s="1" t="s">
        <v>34</v>
      </c>
      <c r="E125">
        <v>744</v>
      </c>
      <c r="F125" s="2">
        <v>46081</v>
      </c>
      <c r="G125" s="1" t="s">
        <v>165</v>
      </c>
      <c r="H125" s="1" t="s">
        <v>52</v>
      </c>
      <c r="I125" s="1" t="s">
        <v>37</v>
      </c>
      <c r="J125" s="1" t="s">
        <v>38</v>
      </c>
      <c r="K125" s="1" t="s">
        <v>39</v>
      </c>
      <c r="L125">
        <v>120</v>
      </c>
      <c r="M125">
        <v>32.299999999999997</v>
      </c>
      <c r="N125">
        <v>44.6</v>
      </c>
      <c r="O125">
        <v>15.3</v>
      </c>
      <c r="P125">
        <v>2.2040000000000001E-2</v>
      </c>
      <c r="Q125">
        <v>4.9800000000000004</v>
      </c>
      <c r="R125">
        <v>20.07</v>
      </c>
      <c r="S125">
        <v>6</v>
      </c>
      <c r="T125">
        <v>7</v>
      </c>
      <c r="U125">
        <v>42</v>
      </c>
      <c r="V125">
        <v>122.1</v>
      </c>
      <c r="W125">
        <v>234.16000000000005</v>
      </c>
      <c r="X125">
        <v>0.92567999999999995</v>
      </c>
      <c r="Y125">
        <v>6.2</v>
      </c>
      <c r="Z125">
        <v>0.13664800000000002</v>
      </c>
      <c r="AA125">
        <v>0.14761904761904762</v>
      </c>
      <c r="AB125">
        <v>14932.08</v>
      </c>
      <c r="AC125">
        <v>1</v>
      </c>
      <c r="AD125" s="1" t="s">
        <v>44</v>
      </c>
      <c r="AE125">
        <v>0</v>
      </c>
      <c r="AF125">
        <v>1</v>
      </c>
      <c r="AG125">
        <v>24.013157894736842</v>
      </c>
    </row>
    <row r="126" spans="1:33">
      <c r="A126" s="1" t="s">
        <v>166</v>
      </c>
      <c r="B126" s="1" t="s">
        <v>2297</v>
      </c>
      <c r="C126" s="2">
        <v>46511</v>
      </c>
      <c r="D126" s="1" t="s">
        <v>34</v>
      </c>
      <c r="E126">
        <v>6003</v>
      </c>
      <c r="F126" s="2">
        <v>46081</v>
      </c>
      <c r="G126" s="1" t="s">
        <v>167</v>
      </c>
      <c r="H126" s="1" t="s">
        <v>52</v>
      </c>
      <c r="I126" s="1" t="s">
        <v>37</v>
      </c>
      <c r="J126" s="1" t="s">
        <v>38</v>
      </c>
      <c r="K126" s="1" t="s">
        <v>39</v>
      </c>
      <c r="L126">
        <v>60</v>
      </c>
      <c r="M126">
        <v>49.9</v>
      </c>
      <c r="N126">
        <v>39.1</v>
      </c>
      <c r="O126">
        <v>16.899999999999999</v>
      </c>
      <c r="P126">
        <v>3.2969999999999999E-2</v>
      </c>
      <c r="Q126">
        <v>9.8699999999999992</v>
      </c>
      <c r="R126">
        <v>19.36</v>
      </c>
      <c r="S126">
        <v>6</v>
      </c>
      <c r="T126">
        <v>8</v>
      </c>
      <c r="U126">
        <v>48</v>
      </c>
      <c r="V126">
        <v>150.19999999999999</v>
      </c>
      <c r="W126">
        <v>498.76</v>
      </c>
      <c r="X126">
        <v>1.58256</v>
      </c>
      <c r="Y126">
        <v>100.05</v>
      </c>
      <c r="Z126">
        <v>3.2986484999999997</v>
      </c>
      <c r="AA126">
        <v>2.0843750000000001</v>
      </c>
      <c r="AB126">
        <v>116218.08</v>
      </c>
      <c r="AC126">
        <v>3</v>
      </c>
      <c r="AD126" s="1" t="s">
        <v>40</v>
      </c>
      <c r="AE126">
        <v>3</v>
      </c>
      <c r="AF126">
        <v>0</v>
      </c>
      <c r="AG126">
        <v>14.144736842105264</v>
      </c>
    </row>
    <row r="127" spans="1:33">
      <c r="A127" s="1" t="s">
        <v>168</v>
      </c>
      <c r="B127" s="1" t="s">
        <v>2298</v>
      </c>
      <c r="C127" s="2">
        <v>46360</v>
      </c>
      <c r="D127" s="1" t="s">
        <v>34</v>
      </c>
      <c r="E127">
        <v>5952</v>
      </c>
      <c r="F127" s="2">
        <v>46081</v>
      </c>
      <c r="G127" s="1" t="s">
        <v>169</v>
      </c>
      <c r="H127" s="1" t="s">
        <v>70</v>
      </c>
      <c r="I127" s="1" t="s">
        <v>37</v>
      </c>
      <c r="J127" s="1" t="s">
        <v>38</v>
      </c>
      <c r="K127" s="1" t="s">
        <v>39</v>
      </c>
      <c r="L127">
        <v>240</v>
      </c>
      <c r="M127">
        <v>54.2</v>
      </c>
      <c r="N127">
        <v>44.2</v>
      </c>
      <c r="O127">
        <v>29.4</v>
      </c>
      <c r="P127">
        <v>7.0430000000000006E-2</v>
      </c>
      <c r="Q127">
        <v>16.09</v>
      </c>
      <c r="R127">
        <v>16.72</v>
      </c>
      <c r="S127">
        <v>4</v>
      </c>
      <c r="T127">
        <v>5</v>
      </c>
      <c r="U127">
        <v>20</v>
      </c>
      <c r="V127">
        <v>162</v>
      </c>
      <c r="W127">
        <v>346.8</v>
      </c>
      <c r="X127">
        <v>1.4086000000000001</v>
      </c>
      <c r="Y127">
        <v>24.8</v>
      </c>
      <c r="Z127">
        <v>1.7466640000000002</v>
      </c>
      <c r="AA127">
        <v>1.24</v>
      </c>
      <c r="AB127">
        <v>99517.439999999988</v>
      </c>
      <c r="AC127">
        <v>2</v>
      </c>
      <c r="AD127" s="1" t="s">
        <v>40</v>
      </c>
      <c r="AE127">
        <v>2</v>
      </c>
      <c r="AF127">
        <v>0</v>
      </c>
      <c r="AG127">
        <v>9.1776315789473681</v>
      </c>
    </row>
    <row r="128" spans="1:33">
      <c r="A128" s="1" t="s">
        <v>170</v>
      </c>
      <c r="B128" s="1" t="s">
        <v>2299</v>
      </c>
      <c r="C128" s="2">
        <v>46266</v>
      </c>
      <c r="D128" s="1" t="s">
        <v>34</v>
      </c>
      <c r="E128">
        <v>5728</v>
      </c>
      <c r="F128" s="2">
        <v>46081</v>
      </c>
      <c r="G128" s="1" t="s">
        <v>171</v>
      </c>
      <c r="H128" s="1" t="s">
        <v>48</v>
      </c>
      <c r="I128" s="1" t="s">
        <v>37</v>
      </c>
      <c r="J128" s="1" t="s">
        <v>38</v>
      </c>
      <c r="K128" s="1" t="s">
        <v>39</v>
      </c>
      <c r="L128">
        <v>240</v>
      </c>
      <c r="M128">
        <v>48.7</v>
      </c>
      <c r="N128">
        <v>25</v>
      </c>
      <c r="O128">
        <v>18</v>
      </c>
      <c r="P128">
        <v>2.1919999999999999E-2</v>
      </c>
      <c r="Q128">
        <v>6.54</v>
      </c>
      <c r="R128">
        <v>8.11</v>
      </c>
      <c r="S128">
        <v>8</v>
      </c>
      <c r="T128">
        <v>5</v>
      </c>
      <c r="U128">
        <v>40</v>
      </c>
      <c r="V128">
        <v>105</v>
      </c>
      <c r="W128">
        <v>286.60000000000002</v>
      </c>
      <c r="X128">
        <v>0.87679999999999991</v>
      </c>
      <c r="Y128">
        <v>23.866666666666667</v>
      </c>
      <c r="Z128">
        <v>0.52315733333333336</v>
      </c>
      <c r="AA128">
        <v>0.59666666666666668</v>
      </c>
      <c r="AB128">
        <v>46454.079999999994</v>
      </c>
      <c r="AC128">
        <v>1</v>
      </c>
      <c r="AD128" s="1" t="s">
        <v>40</v>
      </c>
      <c r="AE128">
        <v>1</v>
      </c>
      <c r="AF128">
        <v>0</v>
      </c>
      <c r="AG128">
        <v>6.0855263157894743</v>
      </c>
    </row>
    <row r="129" spans="1:33">
      <c r="A129" s="1" t="s">
        <v>172</v>
      </c>
      <c r="B129" s="1" t="s">
        <v>2300</v>
      </c>
      <c r="C129" s="2">
        <v>46358</v>
      </c>
      <c r="D129" s="1" t="s">
        <v>34</v>
      </c>
      <c r="E129">
        <v>2940</v>
      </c>
      <c r="F129" s="2">
        <v>46081</v>
      </c>
      <c r="G129" s="1" t="s">
        <v>173</v>
      </c>
      <c r="H129" s="1" t="s">
        <v>43</v>
      </c>
      <c r="I129" s="1" t="s">
        <v>37</v>
      </c>
      <c r="J129" s="1" t="s">
        <v>38</v>
      </c>
      <c r="K129" s="1" t="s">
        <v>39</v>
      </c>
      <c r="L129">
        <v>180</v>
      </c>
      <c r="M129">
        <v>54.3</v>
      </c>
      <c r="N129">
        <v>32.4</v>
      </c>
      <c r="O129">
        <v>29.5</v>
      </c>
      <c r="P129">
        <v>5.1900000000000002E-2</v>
      </c>
      <c r="Q129">
        <v>11.84</v>
      </c>
      <c r="R129">
        <v>21.07</v>
      </c>
      <c r="S129">
        <v>4</v>
      </c>
      <c r="T129">
        <v>5</v>
      </c>
      <c r="U129">
        <v>20</v>
      </c>
      <c r="V129">
        <v>162.5</v>
      </c>
      <c r="W129">
        <v>261.8</v>
      </c>
      <c r="X129">
        <v>1.038</v>
      </c>
      <c r="Y129">
        <v>16.333333333333332</v>
      </c>
      <c r="Z129">
        <v>0.84770000000000001</v>
      </c>
      <c r="AA129">
        <v>0.81666666666666665</v>
      </c>
      <c r="AB129">
        <v>61945.8</v>
      </c>
      <c r="AC129">
        <v>1</v>
      </c>
      <c r="AD129" s="1" t="s">
        <v>40</v>
      </c>
      <c r="AE129">
        <v>1</v>
      </c>
      <c r="AF129">
        <v>0</v>
      </c>
      <c r="AG129">
        <v>9.1118421052631575</v>
      </c>
    </row>
    <row r="130" spans="1:33">
      <c r="A130" s="1" t="s">
        <v>172</v>
      </c>
      <c r="B130" s="1" t="s">
        <v>2301</v>
      </c>
      <c r="C130" s="2">
        <v>46973</v>
      </c>
      <c r="D130" s="1" t="s">
        <v>34</v>
      </c>
      <c r="E130">
        <v>15303</v>
      </c>
      <c r="F130" s="2">
        <v>46081</v>
      </c>
      <c r="G130" s="1" t="s">
        <v>173</v>
      </c>
      <c r="H130" s="1" t="s">
        <v>43</v>
      </c>
      <c r="I130" s="1" t="s">
        <v>37</v>
      </c>
      <c r="J130" s="1" t="s">
        <v>38</v>
      </c>
      <c r="K130" s="1" t="s">
        <v>39</v>
      </c>
      <c r="L130">
        <v>180</v>
      </c>
      <c r="M130">
        <v>54.3</v>
      </c>
      <c r="N130">
        <v>32.4</v>
      </c>
      <c r="O130">
        <v>29.5</v>
      </c>
      <c r="P130">
        <v>5.1900000000000002E-2</v>
      </c>
      <c r="Q130">
        <v>11.84</v>
      </c>
      <c r="R130">
        <v>21.07</v>
      </c>
      <c r="S130">
        <v>4</v>
      </c>
      <c r="T130">
        <v>5</v>
      </c>
      <c r="U130">
        <v>20</v>
      </c>
      <c r="V130">
        <v>162.5</v>
      </c>
      <c r="W130">
        <v>261.8</v>
      </c>
      <c r="X130">
        <v>1.038</v>
      </c>
      <c r="Y130">
        <v>85.016666666666666</v>
      </c>
      <c r="Z130">
        <v>4.4123650000000003</v>
      </c>
      <c r="AA130">
        <v>4.2508333333333335</v>
      </c>
      <c r="AB130">
        <v>322434.21000000002</v>
      </c>
      <c r="AC130">
        <v>5</v>
      </c>
      <c r="AD130" s="1" t="s">
        <v>40</v>
      </c>
      <c r="AE130">
        <v>5</v>
      </c>
      <c r="AF130">
        <v>0</v>
      </c>
      <c r="AG130">
        <v>29.342105263157897</v>
      </c>
    </row>
    <row r="131" spans="1:33">
      <c r="A131" s="1" t="s">
        <v>174</v>
      </c>
      <c r="B131" s="1" t="s">
        <v>2302</v>
      </c>
      <c r="C131" s="2">
        <v>47071</v>
      </c>
      <c r="D131" s="1" t="s">
        <v>34</v>
      </c>
      <c r="E131">
        <v>9157</v>
      </c>
      <c r="F131" s="2">
        <v>46081</v>
      </c>
      <c r="G131" s="1" t="s">
        <v>175</v>
      </c>
      <c r="H131" s="1" t="s">
        <v>36</v>
      </c>
      <c r="I131" s="1" t="s">
        <v>37</v>
      </c>
      <c r="J131" s="1" t="s">
        <v>38</v>
      </c>
      <c r="K131" s="1" t="s">
        <v>39</v>
      </c>
      <c r="L131">
        <v>180</v>
      </c>
      <c r="M131">
        <v>33.6</v>
      </c>
      <c r="N131">
        <v>35.4</v>
      </c>
      <c r="O131">
        <v>32.299999999999997</v>
      </c>
      <c r="P131">
        <v>3.8420000000000003E-2</v>
      </c>
      <c r="Q131">
        <v>7.09</v>
      </c>
      <c r="R131">
        <v>3.7</v>
      </c>
      <c r="S131">
        <v>6</v>
      </c>
      <c r="T131">
        <v>2</v>
      </c>
      <c r="U131">
        <v>12</v>
      </c>
      <c r="V131">
        <v>79.599999999999994</v>
      </c>
      <c r="W131">
        <v>110.08</v>
      </c>
      <c r="X131">
        <v>0.46104000000000001</v>
      </c>
      <c r="Y131">
        <v>50.87222222222222</v>
      </c>
      <c r="Z131">
        <v>1.9545107777777779</v>
      </c>
      <c r="AA131">
        <v>4.2393518518518514</v>
      </c>
      <c r="AB131">
        <v>33880.9</v>
      </c>
      <c r="AC131">
        <v>5</v>
      </c>
      <c r="AD131" s="1" t="s">
        <v>40</v>
      </c>
      <c r="AE131">
        <v>5</v>
      </c>
      <c r="AF131">
        <v>0</v>
      </c>
      <c r="AG131">
        <v>32.565789473684212</v>
      </c>
    </row>
    <row r="132" spans="1:33">
      <c r="A132" s="1" t="s">
        <v>174</v>
      </c>
      <c r="B132" s="1" t="s">
        <v>2303</v>
      </c>
      <c r="C132" s="2">
        <v>45760</v>
      </c>
      <c r="D132" s="1" t="s">
        <v>73</v>
      </c>
      <c r="E132">
        <v>732</v>
      </c>
      <c r="F132" s="2">
        <v>46081</v>
      </c>
      <c r="G132" s="1" t="s">
        <v>175</v>
      </c>
      <c r="H132" s="1" t="s">
        <v>36</v>
      </c>
      <c r="I132" s="1" t="s">
        <v>37</v>
      </c>
      <c r="J132" s="1" t="s">
        <v>38</v>
      </c>
      <c r="K132" s="1" t="s">
        <v>39</v>
      </c>
      <c r="L132">
        <v>180</v>
      </c>
      <c r="M132">
        <v>33.6</v>
      </c>
      <c r="N132">
        <v>35.4</v>
      </c>
      <c r="O132">
        <v>32.299999999999997</v>
      </c>
      <c r="P132">
        <v>3.8420000000000003E-2</v>
      </c>
      <c r="Q132">
        <v>7.09</v>
      </c>
      <c r="R132">
        <v>3.7</v>
      </c>
      <c r="S132">
        <v>6</v>
      </c>
      <c r="T132">
        <v>2</v>
      </c>
      <c r="U132">
        <v>12</v>
      </c>
      <c r="V132">
        <v>79.599999999999994</v>
      </c>
      <c r="W132">
        <v>110.08</v>
      </c>
      <c r="X132">
        <v>0.46104000000000001</v>
      </c>
      <c r="Y132">
        <v>4.0666666666666664</v>
      </c>
      <c r="Z132">
        <v>0.15624133333333334</v>
      </c>
      <c r="AA132">
        <v>0.33888888888888885</v>
      </c>
      <c r="AB132">
        <v>2708.4</v>
      </c>
      <c r="AC132">
        <v>1</v>
      </c>
      <c r="AD132" s="1" t="s">
        <v>74</v>
      </c>
      <c r="AE132">
        <v>0</v>
      </c>
      <c r="AF132">
        <v>0</v>
      </c>
      <c r="AG132">
        <v>-10.559210526315789</v>
      </c>
    </row>
    <row r="133" spans="1:33">
      <c r="A133" s="1" t="s">
        <v>176</v>
      </c>
      <c r="B133" s="1" t="s">
        <v>2304</v>
      </c>
      <c r="C133" s="2">
        <v>46216</v>
      </c>
      <c r="D133" s="1" t="s">
        <v>34</v>
      </c>
      <c r="E133">
        <v>22347</v>
      </c>
      <c r="F133" s="2">
        <v>46081</v>
      </c>
      <c r="G133" s="1" t="s">
        <v>177</v>
      </c>
      <c r="H133" s="1" t="s">
        <v>52</v>
      </c>
      <c r="I133" s="1" t="s">
        <v>37</v>
      </c>
      <c r="J133" s="1" t="s">
        <v>38</v>
      </c>
      <c r="K133" s="1" t="s">
        <v>39</v>
      </c>
      <c r="L133">
        <v>240</v>
      </c>
      <c r="M133">
        <v>32.5</v>
      </c>
      <c r="N133">
        <v>40.700000000000003</v>
      </c>
      <c r="O133">
        <v>31.8</v>
      </c>
      <c r="P133">
        <v>4.206E-2</v>
      </c>
      <c r="Q133">
        <v>11.95</v>
      </c>
      <c r="R133">
        <v>23.33</v>
      </c>
      <c r="S133">
        <v>6</v>
      </c>
      <c r="T133">
        <v>2</v>
      </c>
      <c r="U133">
        <v>12</v>
      </c>
      <c r="V133">
        <v>78.599999999999994</v>
      </c>
      <c r="W133">
        <v>168.39999999999998</v>
      </c>
      <c r="X133">
        <v>0.50472000000000006</v>
      </c>
      <c r="Y133">
        <v>93.112499999999997</v>
      </c>
      <c r="Z133">
        <v>3.9163117499999998</v>
      </c>
      <c r="AA133">
        <v>7.7593749999999995</v>
      </c>
      <c r="AB133">
        <v>521355.50999999995</v>
      </c>
      <c r="AC133">
        <v>8</v>
      </c>
      <c r="AD133" s="1" t="s">
        <v>40</v>
      </c>
      <c r="AE133">
        <v>8</v>
      </c>
      <c r="AF133">
        <v>0</v>
      </c>
      <c r="AG133">
        <v>4.4407894736842106</v>
      </c>
    </row>
    <row r="134" spans="1:33">
      <c r="A134" s="1" t="s">
        <v>176</v>
      </c>
      <c r="B134" s="1" t="s">
        <v>2305</v>
      </c>
      <c r="C134" s="2">
        <v>45940</v>
      </c>
      <c r="D134" s="1" t="s">
        <v>73</v>
      </c>
      <c r="E134">
        <v>1787</v>
      </c>
      <c r="F134" s="2">
        <v>46081</v>
      </c>
      <c r="G134" s="1" t="s">
        <v>177</v>
      </c>
      <c r="H134" s="1" t="s">
        <v>52</v>
      </c>
      <c r="I134" s="1" t="s">
        <v>37</v>
      </c>
      <c r="J134" s="1" t="s">
        <v>38</v>
      </c>
      <c r="K134" s="1" t="s">
        <v>39</v>
      </c>
      <c r="L134">
        <v>240</v>
      </c>
      <c r="M134">
        <v>32.5</v>
      </c>
      <c r="N134">
        <v>40.700000000000003</v>
      </c>
      <c r="O134">
        <v>31.8</v>
      </c>
      <c r="P134">
        <v>4.206E-2</v>
      </c>
      <c r="Q134">
        <v>11.95</v>
      </c>
      <c r="R134">
        <v>23.33</v>
      </c>
      <c r="S134">
        <v>6</v>
      </c>
      <c r="T134">
        <v>2</v>
      </c>
      <c r="U134">
        <v>12</v>
      </c>
      <c r="V134">
        <v>78.599999999999994</v>
      </c>
      <c r="W134">
        <v>168.39999999999998</v>
      </c>
      <c r="X134">
        <v>0.50472000000000006</v>
      </c>
      <c r="Y134">
        <v>7.4458333333333337</v>
      </c>
      <c r="Z134">
        <v>0.31317175000000003</v>
      </c>
      <c r="AA134">
        <v>0.62048611111111118</v>
      </c>
      <c r="AB134">
        <v>41690.71</v>
      </c>
      <c r="AC134">
        <v>1</v>
      </c>
      <c r="AD134" s="1" t="s">
        <v>74</v>
      </c>
      <c r="AE134">
        <v>0</v>
      </c>
      <c r="AF134">
        <v>0</v>
      </c>
      <c r="AG134">
        <v>-4.6381578947368425</v>
      </c>
    </row>
    <row r="135" spans="1:33">
      <c r="A135" s="1" t="s">
        <v>178</v>
      </c>
      <c r="B135" s="1" t="s">
        <v>2306</v>
      </c>
      <c r="C135" s="2">
        <v>47089</v>
      </c>
      <c r="D135" s="1" t="s">
        <v>34</v>
      </c>
      <c r="E135">
        <v>3745</v>
      </c>
      <c r="F135" s="2">
        <v>46081</v>
      </c>
      <c r="G135" s="1" t="s">
        <v>179</v>
      </c>
      <c r="H135" s="1" t="s">
        <v>70</v>
      </c>
      <c r="I135" s="1" t="s">
        <v>37</v>
      </c>
      <c r="J135" s="1" t="s">
        <v>38</v>
      </c>
      <c r="K135" s="1" t="s">
        <v>39</v>
      </c>
      <c r="L135">
        <v>120</v>
      </c>
      <c r="M135">
        <v>46.1</v>
      </c>
      <c r="N135">
        <v>37.6</v>
      </c>
      <c r="O135">
        <v>34.1</v>
      </c>
      <c r="P135">
        <v>5.9110000000000003E-2</v>
      </c>
      <c r="Q135">
        <v>9.32</v>
      </c>
      <c r="R135">
        <v>15.42</v>
      </c>
      <c r="S135">
        <v>5</v>
      </c>
      <c r="T135">
        <v>3</v>
      </c>
      <c r="U135">
        <v>15</v>
      </c>
      <c r="V135">
        <v>117.3</v>
      </c>
      <c r="W135">
        <v>164.8</v>
      </c>
      <c r="X135">
        <v>0.88665000000000005</v>
      </c>
      <c r="Y135">
        <v>31.208333333333332</v>
      </c>
      <c r="Z135">
        <v>1.8447245833333334</v>
      </c>
      <c r="AA135">
        <v>2.0805555555555553</v>
      </c>
      <c r="AB135">
        <v>57747.9</v>
      </c>
      <c r="AC135">
        <v>3</v>
      </c>
      <c r="AD135" s="1" t="s">
        <v>40</v>
      </c>
      <c r="AE135">
        <v>3</v>
      </c>
      <c r="AF135">
        <v>0</v>
      </c>
      <c r="AG135">
        <v>33.15789473684211</v>
      </c>
    </row>
    <row r="136" spans="1:33">
      <c r="A136" s="1" t="s">
        <v>180</v>
      </c>
      <c r="B136" s="1" t="s">
        <v>2307</v>
      </c>
      <c r="C136" s="2">
        <v>46586</v>
      </c>
      <c r="D136" s="1" t="s">
        <v>34</v>
      </c>
      <c r="E136">
        <v>287</v>
      </c>
      <c r="F136" s="2">
        <v>46081</v>
      </c>
      <c r="G136" s="1" t="s">
        <v>181</v>
      </c>
      <c r="H136" s="1" t="s">
        <v>48</v>
      </c>
      <c r="I136" s="1" t="s">
        <v>37</v>
      </c>
      <c r="J136" s="1" t="s">
        <v>38</v>
      </c>
      <c r="K136" s="1" t="s">
        <v>39</v>
      </c>
      <c r="L136">
        <v>240</v>
      </c>
      <c r="M136">
        <v>57.9</v>
      </c>
      <c r="N136">
        <v>39.9</v>
      </c>
      <c r="O136">
        <v>27.1</v>
      </c>
      <c r="P136">
        <v>6.2609999999999999E-2</v>
      </c>
      <c r="Q136">
        <v>14.68</v>
      </c>
      <c r="R136">
        <v>18.989999999999998</v>
      </c>
      <c r="S136">
        <v>4</v>
      </c>
      <c r="T136">
        <v>2</v>
      </c>
      <c r="U136">
        <v>8</v>
      </c>
      <c r="V136">
        <v>69.2</v>
      </c>
      <c r="W136">
        <v>142.44</v>
      </c>
      <c r="X136">
        <v>0.50087999999999999</v>
      </c>
      <c r="Y136">
        <v>1.1958333333333333</v>
      </c>
      <c r="Z136">
        <v>7.4871124999999997E-2</v>
      </c>
      <c r="AA136">
        <v>0.14947916666666666</v>
      </c>
      <c r="AB136">
        <v>5450.1299999999992</v>
      </c>
      <c r="AC136">
        <v>1</v>
      </c>
      <c r="AD136" s="1" t="s">
        <v>44</v>
      </c>
      <c r="AE136">
        <v>0</v>
      </c>
      <c r="AF136">
        <v>1</v>
      </c>
      <c r="AG136">
        <v>16.611842105263158</v>
      </c>
    </row>
    <row r="137" spans="1:33">
      <c r="A137" s="1" t="s">
        <v>180</v>
      </c>
      <c r="B137" s="1" t="s">
        <v>2308</v>
      </c>
      <c r="C137" s="2">
        <v>46755</v>
      </c>
      <c r="D137" s="1" t="s">
        <v>34</v>
      </c>
      <c r="E137">
        <v>323</v>
      </c>
      <c r="F137" s="2">
        <v>46081</v>
      </c>
      <c r="G137" s="1" t="s">
        <v>181</v>
      </c>
      <c r="H137" s="1" t="s">
        <v>48</v>
      </c>
      <c r="I137" s="1" t="s">
        <v>37</v>
      </c>
      <c r="J137" s="1" t="s">
        <v>38</v>
      </c>
      <c r="K137" s="1" t="s">
        <v>39</v>
      </c>
      <c r="L137">
        <v>240</v>
      </c>
      <c r="M137">
        <v>57.9</v>
      </c>
      <c r="N137">
        <v>39.9</v>
      </c>
      <c r="O137">
        <v>27.1</v>
      </c>
      <c r="P137">
        <v>6.2609999999999999E-2</v>
      </c>
      <c r="Q137">
        <v>14.68</v>
      </c>
      <c r="R137">
        <v>18.989999999999998</v>
      </c>
      <c r="S137">
        <v>4</v>
      </c>
      <c r="T137">
        <v>2</v>
      </c>
      <c r="U137">
        <v>8</v>
      </c>
      <c r="V137">
        <v>69.2</v>
      </c>
      <c r="W137">
        <v>142.44</v>
      </c>
      <c r="X137">
        <v>0.50087999999999999</v>
      </c>
      <c r="Y137">
        <v>1.3458333333333334</v>
      </c>
      <c r="Z137">
        <v>8.4262625000000008E-2</v>
      </c>
      <c r="AA137">
        <v>0.16822916666666668</v>
      </c>
      <c r="AB137">
        <v>6133.7699999999995</v>
      </c>
      <c r="AC137">
        <v>1</v>
      </c>
      <c r="AD137" s="1" t="s">
        <v>44</v>
      </c>
      <c r="AE137">
        <v>0</v>
      </c>
      <c r="AF137">
        <v>1</v>
      </c>
      <c r="AG137">
        <v>22.171052631578949</v>
      </c>
    </row>
    <row r="138" spans="1:33">
      <c r="A138" s="1" t="s">
        <v>182</v>
      </c>
      <c r="B138" s="1" t="s">
        <v>2309</v>
      </c>
      <c r="C138" s="2">
        <v>46277</v>
      </c>
      <c r="D138" s="1" t="s">
        <v>34</v>
      </c>
      <c r="E138">
        <v>493</v>
      </c>
      <c r="F138" s="2">
        <v>46081</v>
      </c>
      <c r="G138" s="1" t="s">
        <v>183</v>
      </c>
      <c r="H138" s="1" t="s">
        <v>70</v>
      </c>
      <c r="I138" s="1" t="s">
        <v>37</v>
      </c>
      <c r="J138" s="1" t="s">
        <v>38</v>
      </c>
      <c r="K138" s="1" t="s">
        <v>39</v>
      </c>
      <c r="L138">
        <v>100</v>
      </c>
      <c r="M138">
        <v>46.8</v>
      </c>
      <c r="N138">
        <v>40.299999999999997</v>
      </c>
      <c r="O138">
        <v>34.299999999999997</v>
      </c>
      <c r="P138">
        <v>6.4689999999999998E-2</v>
      </c>
      <c r="Q138">
        <v>15.07</v>
      </c>
      <c r="R138">
        <v>8.6300000000000008</v>
      </c>
      <c r="S138">
        <v>4</v>
      </c>
      <c r="T138">
        <v>3</v>
      </c>
      <c r="U138">
        <v>12</v>
      </c>
      <c r="V138">
        <v>117.9</v>
      </c>
      <c r="W138">
        <v>205.84</v>
      </c>
      <c r="X138">
        <v>0.77627999999999997</v>
      </c>
      <c r="Y138">
        <v>4.93</v>
      </c>
      <c r="Z138">
        <v>0.31892169999999997</v>
      </c>
      <c r="AA138">
        <v>0.41083333333333333</v>
      </c>
      <c r="AB138">
        <v>4254.59</v>
      </c>
      <c r="AC138">
        <v>1</v>
      </c>
      <c r="AD138" s="1" t="s">
        <v>40</v>
      </c>
      <c r="AE138">
        <v>1</v>
      </c>
      <c r="AF138">
        <v>0</v>
      </c>
      <c r="AG138">
        <v>6.4473684210526319</v>
      </c>
    </row>
    <row r="139" spans="1:33">
      <c r="A139" s="1" t="s">
        <v>182</v>
      </c>
      <c r="B139" s="1" t="s">
        <v>2310</v>
      </c>
      <c r="C139" s="2">
        <v>46730</v>
      </c>
      <c r="D139" s="1" t="s">
        <v>34</v>
      </c>
      <c r="E139">
        <v>1569</v>
      </c>
      <c r="F139" s="2">
        <v>46081</v>
      </c>
      <c r="G139" s="1" t="s">
        <v>183</v>
      </c>
      <c r="H139" s="1" t="s">
        <v>70</v>
      </c>
      <c r="I139" s="1" t="s">
        <v>37</v>
      </c>
      <c r="J139" s="1" t="s">
        <v>38</v>
      </c>
      <c r="K139" s="1" t="s">
        <v>39</v>
      </c>
      <c r="L139">
        <v>100</v>
      </c>
      <c r="M139">
        <v>46.8</v>
      </c>
      <c r="N139">
        <v>40.299999999999997</v>
      </c>
      <c r="O139">
        <v>34.299999999999997</v>
      </c>
      <c r="P139">
        <v>6.4689999999999998E-2</v>
      </c>
      <c r="Q139">
        <v>15.07</v>
      </c>
      <c r="R139">
        <v>8.6300000000000008</v>
      </c>
      <c r="S139">
        <v>4</v>
      </c>
      <c r="T139">
        <v>3</v>
      </c>
      <c r="U139">
        <v>12</v>
      </c>
      <c r="V139">
        <v>117.9</v>
      </c>
      <c r="W139">
        <v>205.84</v>
      </c>
      <c r="X139">
        <v>0.77627999999999997</v>
      </c>
      <c r="Y139">
        <v>15.69</v>
      </c>
      <c r="Z139">
        <v>1.0149861</v>
      </c>
      <c r="AA139">
        <v>1.3074999999999999</v>
      </c>
      <c r="AB139">
        <v>13540.470000000001</v>
      </c>
      <c r="AC139">
        <v>2</v>
      </c>
      <c r="AD139" s="1" t="s">
        <v>40</v>
      </c>
      <c r="AE139">
        <v>2</v>
      </c>
      <c r="AF139">
        <v>0</v>
      </c>
      <c r="AG139">
        <v>21.348684210526315</v>
      </c>
    </row>
    <row r="140" spans="1:33">
      <c r="A140" s="1" t="s">
        <v>184</v>
      </c>
      <c r="B140" s="1" t="s">
        <v>2311</v>
      </c>
      <c r="C140" s="2">
        <v>46644</v>
      </c>
      <c r="D140" s="1" t="s">
        <v>34</v>
      </c>
      <c r="E140">
        <v>439</v>
      </c>
      <c r="F140" s="2">
        <v>46081</v>
      </c>
      <c r="G140" s="1" t="s">
        <v>185</v>
      </c>
      <c r="H140" s="1" t="s">
        <v>43</v>
      </c>
      <c r="I140" s="1" t="s">
        <v>37</v>
      </c>
      <c r="J140" s="1" t="s">
        <v>38</v>
      </c>
      <c r="K140" s="1" t="s">
        <v>39</v>
      </c>
      <c r="L140">
        <v>240</v>
      </c>
      <c r="M140">
        <v>53.8</v>
      </c>
      <c r="N140">
        <v>41.5</v>
      </c>
      <c r="O140">
        <v>34.6</v>
      </c>
      <c r="P140">
        <v>7.7249999999999999E-2</v>
      </c>
      <c r="Q140">
        <v>12.3</v>
      </c>
      <c r="R140">
        <v>13.41</v>
      </c>
      <c r="S140">
        <v>3</v>
      </c>
      <c r="T140">
        <v>3</v>
      </c>
      <c r="U140">
        <v>9</v>
      </c>
      <c r="V140">
        <v>118.8</v>
      </c>
      <c r="W140">
        <v>135.69999999999999</v>
      </c>
      <c r="X140">
        <v>0.69525000000000003</v>
      </c>
      <c r="Y140">
        <v>1.8291666666666666</v>
      </c>
      <c r="Z140">
        <v>0.141303125</v>
      </c>
      <c r="AA140">
        <v>0.20324074074074072</v>
      </c>
      <c r="AB140">
        <v>5886.99</v>
      </c>
      <c r="AC140">
        <v>1</v>
      </c>
      <c r="AD140" s="1" t="s">
        <v>44</v>
      </c>
      <c r="AE140">
        <v>0</v>
      </c>
      <c r="AF140">
        <v>1</v>
      </c>
      <c r="AG140">
        <v>18.519736842105264</v>
      </c>
    </row>
    <row r="141" spans="1:33">
      <c r="A141" s="1" t="s">
        <v>184</v>
      </c>
      <c r="B141" s="1" t="s">
        <v>2312</v>
      </c>
      <c r="C141" s="2">
        <v>46670</v>
      </c>
      <c r="D141" s="1" t="s">
        <v>34</v>
      </c>
      <c r="E141">
        <v>931</v>
      </c>
      <c r="F141" s="2">
        <v>46081</v>
      </c>
      <c r="G141" s="1" t="s">
        <v>185</v>
      </c>
      <c r="H141" s="1" t="s">
        <v>43</v>
      </c>
      <c r="I141" s="1" t="s">
        <v>37</v>
      </c>
      <c r="J141" s="1" t="s">
        <v>38</v>
      </c>
      <c r="K141" s="1" t="s">
        <v>39</v>
      </c>
      <c r="L141">
        <v>240</v>
      </c>
      <c r="M141">
        <v>53.8</v>
      </c>
      <c r="N141">
        <v>41.5</v>
      </c>
      <c r="O141">
        <v>34.6</v>
      </c>
      <c r="P141">
        <v>7.7249999999999999E-2</v>
      </c>
      <c r="Q141">
        <v>12.3</v>
      </c>
      <c r="R141">
        <v>13.41</v>
      </c>
      <c r="S141">
        <v>3</v>
      </c>
      <c r="T141">
        <v>3</v>
      </c>
      <c r="U141">
        <v>9</v>
      </c>
      <c r="V141">
        <v>118.8</v>
      </c>
      <c r="W141">
        <v>135.69999999999999</v>
      </c>
      <c r="X141">
        <v>0.69525000000000003</v>
      </c>
      <c r="Y141">
        <v>3.8791666666666669</v>
      </c>
      <c r="Z141">
        <v>0.29966562499999999</v>
      </c>
      <c r="AA141">
        <v>0.43101851851851852</v>
      </c>
      <c r="AB141">
        <v>12484.710000000001</v>
      </c>
      <c r="AC141">
        <v>1</v>
      </c>
      <c r="AD141" s="1" t="s">
        <v>40</v>
      </c>
      <c r="AE141">
        <v>1</v>
      </c>
      <c r="AF141">
        <v>0</v>
      </c>
      <c r="AG141">
        <v>19.375</v>
      </c>
    </row>
    <row r="142" spans="1:33">
      <c r="A142" s="1" t="s">
        <v>186</v>
      </c>
      <c r="B142" s="1" t="s">
        <v>2313</v>
      </c>
      <c r="C142" s="2">
        <v>46400</v>
      </c>
      <c r="D142" s="1" t="s">
        <v>34</v>
      </c>
      <c r="E142">
        <v>1393</v>
      </c>
      <c r="F142" s="2">
        <v>46081</v>
      </c>
      <c r="G142" s="1" t="s">
        <v>187</v>
      </c>
      <c r="H142" s="1" t="s">
        <v>36</v>
      </c>
      <c r="I142" s="1" t="s">
        <v>37</v>
      </c>
      <c r="J142" s="1" t="s">
        <v>38</v>
      </c>
      <c r="K142" s="1" t="s">
        <v>39</v>
      </c>
      <c r="L142">
        <v>120</v>
      </c>
      <c r="M142">
        <v>44.3</v>
      </c>
      <c r="N142">
        <v>29.4</v>
      </c>
      <c r="O142">
        <v>35</v>
      </c>
      <c r="P142">
        <v>4.5580000000000002E-2</v>
      </c>
      <c r="Q142">
        <v>8.5299999999999994</v>
      </c>
      <c r="R142">
        <v>8.5399999999999991</v>
      </c>
      <c r="S142">
        <v>7</v>
      </c>
      <c r="T142">
        <v>2</v>
      </c>
      <c r="U142">
        <v>14</v>
      </c>
      <c r="V142">
        <v>85</v>
      </c>
      <c r="W142">
        <v>144.41999999999999</v>
      </c>
      <c r="X142">
        <v>0.63812000000000002</v>
      </c>
      <c r="Y142">
        <v>11.608333333333333</v>
      </c>
      <c r="Z142">
        <v>0.52910783333333333</v>
      </c>
      <c r="AA142">
        <v>0.82916666666666661</v>
      </c>
      <c r="AB142">
        <v>11896.22</v>
      </c>
      <c r="AC142">
        <v>1</v>
      </c>
      <c r="AD142" s="1" t="s">
        <v>40</v>
      </c>
      <c r="AE142">
        <v>1</v>
      </c>
      <c r="AF142">
        <v>0</v>
      </c>
      <c r="AG142">
        <v>10.493421052631579</v>
      </c>
    </row>
    <row r="143" spans="1:33">
      <c r="A143" s="1" t="s">
        <v>188</v>
      </c>
      <c r="B143" s="1" t="s">
        <v>2314</v>
      </c>
      <c r="C143" s="2">
        <v>46849</v>
      </c>
      <c r="D143" s="1" t="s">
        <v>34</v>
      </c>
      <c r="E143">
        <v>9293</v>
      </c>
      <c r="F143" s="2">
        <v>46081</v>
      </c>
      <c r="G143" s="1" t="s">
        <v>189</v>
      </c>
      <c r="H143" s="1" t="s">
        <v>48</v>
      </c>
      <c r="I143" s="1" t="s">
        <v>37</v>
      </c>
      <c r="J143" s="1" t="s">
        <v>38</v>
      </c>
      <c r="K143" s="1" t="s">
        <v>39</v>
      </c>
      <c r="L143">
        <v>180</v>
      </c>
      <c r="M143">
        <v>53.3</v>
      </c>
      <c r="N143">
        <v>38.9</v>
      </c>
      <c r="O143">
        <v>30.7</v>
      </c>
      <c r="P143">
        <v>6.3649999999999998E-2</v>
      </c>
      <c r="Q143">
        <v>13.7</v>
      </c>
      <c r="R143">
        <v>19.04</v>
      </c>
      <c r="S143">
        <v>4</v>
      </c>
      <c r="T143">
        <v>4</v>
      </c>
      <c r="U143">
        <v>16</v>
      </c>
      <c r="V143">
        <v>137.80000000000001</v>
      </c>
      <c r="W143">
        <v>244.2</v>
      </c>
      <c r="X143">
        <v>1.0184</v>
      </c>
      <c r="Y143">
        <v>51.62777777777778</v>
      </c>
      <c r="Z143">
        <v>3.2861080555555557</v>
      </c>
      <c r="AA143">
        <v>3.2267361111111112</v>
      </c>
      <c r="AB143">
        <v>176938.72</v>
      </c>
      <c r="AC143">
        <v>4</v>
      </c>
      <c r="AD143" s="1" t="s">
        <v>40</v>
      </c>
      <c r="AE143">
        <v>4</v>
      </c>
      <c r="AF143">
        <v>0</v>
      </c>
      <c r="AG143">
        <v>25.263157894736842</v>
      </c>
    </row>
    <row r="144" spans="1:33">
      <c r="A144" s="1" t="s">
        <v>190</v>
      </c>
      <c r="B144" s="1" t="s">
        <v>2315</v>
      </c>
      <c r="C144" s="2">
        <v>46318</v>
      </c>
      <c r="D144" s="1" t="s">
        <v>34</v>
      </c>
      <c r="E144">
        <v>6690</v>
      </c>
      <c r="F144" s="2">
        <v>46081</v>
      </c>
      <c r="G144" s="1" t="s">
        <v>191</v>
      </c>
      <c r="H144" s="1" t="s">
        <v>48</v>
      </c>
      <c r="I144" s="1" t="s">
        <v>37</v>
      </c>
      <c r="J144" s="1" t="s">
        <v>38</v>
      </c>
      <c r="K144" s="1" t="s">
        <v>39</v>
      </c>
      <c r="L144">
        <v>60</v>
      </c>
      <c r="M144">
        <v>55.4</v>
      </c>
      <c r="N144">
        <v>43</v>
      </c>
      <c r="O144">
        <v>34.9</v>
      </c>
      <c r="P144">
        <v>8.3140000000000006E-2</v>
      </c>
      <c r="Q144">
        <v>15.96</v>
      </c>
      <c r="R144">
        <v>2.12</v>
      </c>
      <c r="S144">
        <v>4</v>
      </c>
      <c r="T144">
        <v>4</v>
      </c>
      <c r="U144">
        <v>16</v>
      </c>
      <c r="V144">
        <v>154.6</v>
      </c>
      <c r="W144">
        <v>280.36</v>
      </c>
      <c r="X144">
        <v>1.3302400000000001</v>
      </c>
      <c r="Y144">
        <v>111.5</v>
      </c>
      <c r="Z144">
        <v>9.2701100000000007</v>
      </c>
      <c r="AA144">
        <v>6.96875</v>
      </c>
      <c r="AB144">
        <v>14182.800000000001</v>
      </c>
      <c r="AC144">
        <v>7</v>
      </c>
      <c r="AD144" s="1" t="s">
        <v>40</v>
      </c>
      <c r="AE144">
        <v>7</v>
      </c>
      <c r="AF144">
        <v>0</v>
      </c>
      <c r="AG144">
        <v>7.7960526315789478</v>
      </c>
    </row>
    <row r="145" spans="1:33">
      <c r="A145" s="1" t="s">
        <v>190</v>
      </c>
      <c r="B145" s="1" t="s">
        <v>2316</v>
      </c>
      <c r="C145" s="2">
        <v>46257</v>
      </c>
      <c r="D145" s="1" t="s">
        <v>34</v>
      </c>
      <c r="E145">
        <v>7268</v>
      </c>
      <c r="F145" s="2">
        <v>46081</v>
      </c>
      <c r="G145" s="1" t="s">
        <v>191</v>
      </c>
      <c r="H145" s="1" t="s">
        <v>48</v>
      </c>
      <c r="I145" s="1" t="s">
        <v>37</v>
      </c>
      <c r="J145" s="1" t="s">
        <v>38</v>
      </c>
      <c r="K145" s="1" t="s">
        <v>39</v>
      </c>
      <c r="L145">
        <v>60</v>
      </c>
      <c r="M145">
        <v>55.4</v>
      </c>
      <c r="N145">
        <v>43</v>
      </c>
      <c r="O145">
        <v>34.9</v>
      </c>
      <c r="P145">
        <v>8.3140000000000006E-2</v>
      </c>
      <c r="Q145">
        <v>15.96</v>
      </c>
      <c r="R145">
        <v>2.12</v>
      </c>
      <c r="S145">
        <v>4</v>
      </c>
      <c r="T145">
        <v>4</v>
      </c>
      <c r="U145">
        <v>16</v>
      </c>
      <c r="V145">
        <v>154.6</v>
      </c>
      <c r="W145">
        <v>280.36</v>
      </c>
      <c r="X145">
        <v>1.3302400000000001</v>
      </c>
      <c r="Y145">
        <v>121.13333333333334</v>
      </c>
      <c r="Z145">
        <v>10.071025333333335</v>
      </c>
      <c r="AA145">
        <v>7.5708333333333337</v>
      </c>
      <c r="AB145">
        <v>15408.160000000002</v>
      </c>
      <c r="AC145">
        <v>8</v>
      </c>
      <c r="AD145" s="1" t="s">
        <v>40</v>
      </c>
      <c r="AE145">
        <v>8</v>
      </c>
      <c r="AF145">
        <v>0</v>
      </c>
      <c r="AG145">
        <v>5.7894736842105265</v>
      </c>
    </row>
    <row r="146" spans="1:33">
      <c r="A146" s="1" t="s">
        <v>190</v>
      </c>
      <c r="B146" s="1" t="s">
        <v>2317</v>
      </c>
      <c r="C146" s="2">
        <v>46374</v>
      </c>
      <c r="D146" s="1" t="s">
        <v>34</v>
      </c>
      <c r="E146">
        <v>23</v>
      </c>
      <c r="F146" s="2">
        <v>46081</v>
      </c>
      <c r="G146" s="1" t="s">
        <v>191</v>
      </c>
      <c r="H146" s="1" t="s">
        <v>48</v>
      </c>
      <c r="I146" s="1" t="s">
        <v>37</v>
      </c>
      <c r="J146" s="1" t="s">
        <v>38</v>
      </c>
      <c r="K146" s="1" t="s">
        <v>39</v>
      </c>
      <c r="L146">
        <v>60</v>
      </c>
      <c r="M146">
        <v>55.4</v>
      </c>
      <c r="N146">
        <v>43</v>
      </c>
      <c r="O146">
        <v>34.9</v>
      </c>
      <c r="P146">
        <v>8.3140000000000006E-2</v>
      </c>
      <c r="Q146">
        <v>15.96</v>
      </c>
      <c r="R146">
        <v>2.12</v>
      </c>
      <c r="S146">
        <v>4</v>
      </c>
      <c r="T146">
        <v>4</v>
      </c>
      <c r="U146">
        <v>16</v>
      </c>
      <c r="V146">
        <v>154.6</v>
      </c>
      <c r="W146">
        <v>280.36</v>
      </c>
      <c r="X146">
        <v>1.3302400000000001</v>
      </c>
      <c r="Y146">
        <v>0.38333333333333336</v>
      </c>
      <c r="Z146">
        <v>3.1870333333333341E-2</v>
      </c>
      <c r="AA146">
        <v>2.3958333333333335E-2</v>
      </c>
      <c r="AB146">
        <v>48.760000000000005</v>
      </c>
      <c r="AC146">
        <v>1</v>
      </c>
      <c r="AD146" s="1" t="s">
        <v>44</v>
      </c>
      <c r="AE146">
        <v>0</v>
      </c>
      <c r="AF146">
        <v>1</v>
      </c>
      <c r="AG146">
        <v>9.6381578947368425</v>
      </c>
    </row>
    <row r="147" spans="1:33">
      <c r="A147" s="1" t="s">
        <v>190</v>
      </c>
      <c r="B147" s="1" t="s">
        <v>2318</v>
      </c>
      <c r="C147" s="2">
        <v>46497</v>
      </c>
      <c r="D147" s="1" t="s">
        <v>49</v>
      </c>
      <c r="E147">
        <v>699</v>
      </c>
      <c r="F147" s="2">
        <v>46081</v>
      </c>
      <c r="G147" s="1" t="s">
        <v>191</v>
      </c>
      <c r="H147" s="1" t="s">
        <v>48</v>
      </c>
      <c r="I147" s="1" t="s">
        <v>37</v>
      </c>
      <c r="J147" s="1" t="s">
        <v>38</v>
      </c>
      <c r="K147" s="1" t="s">
        <v>39</v>
      </c>
      <c r="L147">
        <v>60</v>
      </c>
      <c r="M147">
        <v>55.4</v>
      </c>
      <c r="N147">
        <v>43</v>
      </c>
      <c r="O147">
        <v>34.9</v>
      </c>
      <c r="P147">
        <v>8.3140000000000006E-2</v>
      </c>
      <c r="Q147">
        <v>15.96</v>
      </c>
      <c r="R147">
        <v>2.12</v>
      </c>
      <c r="S147">
        <v>4</v>
      </c>
      <c r="T147">
        <v>4</v>
      </c>
      <c r="U147">
        <v>16</v>
      </c>
      <c r="V147">
        <v>154.6</v>
      </c>
      <c r="W147">
        <v>280.36</v>
      </c>
      <c r="X147">
        <v>1.3302400000000001</v>
      </c>
      <c r="Y147">
        <v>11.65</v>
      </c>
      <c r="Z147">
        <v>0.96858100000000014</v>
      </c>
      <c r="AA147">
        <v>0.72812500000000002</v>
      </c>
      <c r="AB147">
        <v>1481.88</v>
      </c>
      <c r="AC147">
        <v>1</v>
      </c>
      <c r="AD147" s="1" t="s">
        <v>40</v>
      </c>
      <c r="AE147">
        <v>1</v>
      </c>
      <c r="AF147">
        <v>0</v>
      </c>
      <c r="AG147">
        <v>13.684210526315789</v>
      </c>
    </row>
    <row r="148" spans="1:33">
      <c r="A148" s="1" t="s">
        <v>192</v>
      </c>
      <c r="B148" s="1" t="s">
        <v>2319</v>
      </c>
      <c r="C148" s="2">
        <v>46968</v>
      </c>
      <c r="D148" s="1" t="s">
        <v>34</v>
      </c>
      <c r="E148">
        <v>40900</v>
      </c>
      <c r="F148" s="2">
        <v>46081</v>
      </c>
      <c r="G148" s="1" t="s">
        <v>193</v>
      </c>
      <c r="H148" s="1" t="s">
        <v>43</v>
      </c>
      <c r="I148" s="1" t="s">
        <v>37</v>
      </c>
      <c r="J148" s="1" t="s">
        <v>38</v>
      </c>
      <c r="K148" s="1" t="s">
        <v>39</v>
      </c>
      <c r="L148">
        <v>240</v>
      </c>
      <c r="M148">
        <v>34.299999999999997</v>
      </c>
      <c r="N148">
        <v>40.6</v>
      </c>
      <c r="O148">
        <v>31.1</v>
      </c>
      <c r="P148">
        <v>4.3310000000000001E-2</v>
      </c>
      <c r="Q148">
        <v>8.0299999999999994</v>
      </c>
      <c r="R148">
        <v>18.760000000000002</v>
      </c>
      <c r="S148">
        <v>6</v>
      </c>
      <c r="T148">
        <v>4</v>
      </c>
      <c r="U148">
        <v>24</v>
      </c>
      <c r="V148">
        <v>139.4</v>
      </c>
      <c r="W148">
        <v>217.72</v>
      </c>
      <c r="X148">
        <v>1.0394399999999999</v>
      </c>
      <c r="Y148">
        <v>170.41666666666666</v>
      </c>
      <c r="Z148">
        <v>7.3807458333333331</v>
      </c>
      <c r="AA148">
        <v>7.1006944444444438</v>
      </c>
      <c r="AB148">
        <v>767284.00000000012</v>
      </c>
      <c r="AC148">
        <v>8</v>
      </c>
      <c r="AD148" s="1" t="s">
        <v>40</v>
      </c>
      <c r="AE148">
        <v>8</v>
      </c>
      <c r="AF148">
        <v>0</v>
      </c>
      <c r="AG148">
        <v>29.17763157894737</v>
      </c>
    </row>
    <row r="149" spans="1:33">
      <c r="A149" s="1" t="s">
        <v>194</v>
      </c>
      <c r="B149" s="1" t="s">
        <v>2320</v>
      </c>
      <c r="C149" s="2">
        <v>46279</v>
      </c>
      <c r="D149" s="1" t="s">
        <v>34</v>
      </c>
      <c r="E149">
        <v>1436</v>
      </c>
      <c r="F149" s="2">
        <v>46081</v>
      </c>
      <c r="G149" s="1" t="s">
        <v>195</v>
      </c>
      <c r="H149" s="1" t="s">
        <v>70</v>
      </c>
      <c r="I149" s="1" t="s">
        <v>37</v>
      </c>
      <c r="J149" s="1" t="s">
        <v>38</v>
      </c>
      <c r="K149" s="1" t="s">
        <v>39</v>
      </c>
      <c r="L149">
        <v>120</v>
      </c>
      <c r="M149">
        <v>35.5</v>
      </c>
      <c r="N149">
        <v>40.1</v>
      </c>
      <c r="O149">
        <v>16</v>
      </c>
      <c r="P149">
        <v>2.2780000000000002E-2</v>
      </c>
      <c r="Q149">
        <v>6.45</v>
      </c>
      <c r="R149">
        <v>9.41</v>
      </c>
      <c r="S149">
        <v>6</v>
      </c>
      <c r="T149">
        <v>8</v>
      </c>
      <c r="U149">
        <v>48</v>
      </c>
      <c r="V149">
        <v>143</v>
      </c>
      <c r="W149">
        <v>334.6</v>
      </c>
      <c r="X149">
        <v>1.0934400000000002</v>
      </c>
      <c r="Y149">
        <v>11.966666666666667</v>
      </c>
      <c r="Z149">
        <v>0.27260066666666671</v>
      </c>
      <c r="AA149">
        <v>0.24930555555555556</v>
      </c>
      <c r="AB149">
        <v>13512.76</v>
      </c>
      <c r="AC149">
        <v>1</v>
      </c>
      <c r="AD149" s="1" t="s">
        <v>40</v>
      </c>
      <c r="AE149">
        <v>1</v>
      </c>
      <c r="AF149">
        <v>0</v>
      </c>
      <c r="AG149">
        <v>6.5131578947368425</v>
      </c>
    </row>
    <row r="150" spans="1:33">
      <c r="A150" s="1" t="s">
        <v>194</v>
      </c>
      <c r="B150" s="1" t="s">
        <v>2321</v>
      </c>
      <c r="C150" s="2">
        <v>46976</v>
      </c>
      <c r="D150" s="1" t="s">
        <v>34</v>
      </c>
      <c r="E150">
        <v>158</v>
      </c>
      <c r="F150" s="2">
        <v>46081</v>
      </c>
      <c r="G150" s="1" t="s">
        <v>195</v>
      </c>
      <c r="H150" s="1" t="s">
        <v>70</v>
      </c>
      <c r="I150" s="1" t="s">
        <v>37</v>
      </c>
      <c r="J150" s="1" t="s">
        <v>38</v>
      </c>
      <c r="K150" s="1" t="s">
        <v>39</v>
      </c>
      <c r="L150">
        <v>120</v>
      </c>
      <c r="M150">
        <v>35.5</v>
      </c>
      <c r="N150">
        <v>40.1</v>
      </c>
      <c r="O150">
        <v>16</v>
      </c>
      <c r="P150">
        <v>2.2780000000000002E-2</v>
      </c>
      <c r="Q150">
        <v>6.45</v>
      </c>
      <c r="R150">
        <v>9.41</v>
      </c>
      <c r="S150">
        <v>6</v>
      </c>
      <c r="T150">
        <v>8</v>
      </c>
      <c r="U150">
        <v>48</v>
      </c>
      <c r="V150">
        <v>143</v>
      </c>
      <c r="W150">
        <v>334.6</v>
      </c>
      <c r="X150">
        <v>1.0934400000000002</v>
      </c>
      <c r="Y150">
        <v>1.3166666666666667</v>
      </c>
      <c r="Z150">
        <v>2.9993666666666668E-2</v>
      </c>
      <c r="AA150">
        <v>2.7430555555555555E-2</v>
      </c>
      <c r="AB150">
        <v>1486.78</v>
      </c>
      <c r="AC150">
        <v>1</v>
      </c>
      <c r="AD150" s="1" t="s">
        <v>44</v>
      </c>
      <c r="AE150">
        <v>0</v>
      </c>
      <c r="AF150">
        <v>1</v>
      </c>
      <c r="AG150">
        <v>29.440789473684212</v>
      </c>
    </row>
    <row r="151" spans="1:33">
      <c r="A151" s="1" t="s">
        <v>196</v>
      </c>
      <c r="B151" s="1" t="s">
        <v>2322</v>
      </c>
      <c r="C151" s="2">
        <v>46625</v>
      </c>
      <c r="D151" s="1" t="s">
        <v>34</v>
      </c>
      <c r="E151">
        <v>468</v>
      </c>
      <c r="F151" s="2">
        <v>46081</v>
      </c>
      <c r="G151" s="1" t="s">
        <v>197</v>
      </c>
      <c r="H151" s="1" t="s">
        <v>43</v>
      </c>
      <c r="I151" s="1" t="s">
        <v>37</v>
      </c>
      <c r="J151" s="1" t="s">
        <v>38</v>
      </c>
      <c r="K151" s="1" t="s">
        <v>39</v>
      </c>
      <c r="L151">
        <v>180</v>
      </c>
      <c r="M151">
        <v>58.5</v>
      </c>
      <c r="N151">
        <v>34</v>
      </c>
      <c r="O151">
        <v>23</v>
      </c>
      <c r="P151">
        <v>4.5749999999999999E-2</v>
      </c>
      <c r="Q151">
        <v>7.28</v>
      </c>
      <c r="R151">
        <v>21.55</v>
      </c>
      <c r="S151">
        <v>4</v>
      </c>
      <c r="T151">
        <v>5</v>
      </c>
      <c r="U151">
        <v>20</v>
      </c>
      <c r="V151">
        <v>130</v>
      </c>
      <c r="W151">
        <v>170.6</v>
      </c>
      <c r="X151">
        <v>0.91500000000000004</v>
      </c>
      <c r="Y151">
        <v>2.6</v>
      </c>
      <c r="Z151">
        <v>0.11895</v>
      </c>
      <c r="AA151">
        <v>0.13</v>
      </c>
      <c r="AB151">
        <v>10085.4</v>
      </c>
      <c r="AC151">
        <v>1</v>
      </c>
      <c r="AD151" s="1" t="s">
        <v>44</v>
      </c>
      <c r="AE151">
        <v>0</v>
      </c>
      <c r="AF151">
        <v>1</v>
      </c>
      <c r="AG151">
        <v>17.894736842105264</v>
      </c>
    </row>
    <row r="152" spans="1:33">
      <c r="A152" s="1" t="s">
        <v>196</v>
      </c>
      <c r="B152" s="1" t="s">
        <v>2323</v>
      </c>
      <c r="C152" s="2">
        <v>46475</v>
      </c>
      <c r="D152" s="1" t="s">
        <v>34</v>
      </c>
      <c r="E152">
        <v>1</v>
      </c>
      <c r="F152" s="2">
        <v>46081</v>
      </c>
      <c r="G152" s="1" t="s">
        <v>197</v>
      </c>
      <c r="H152" s="1" t="s">
        <v>43</v>
      </c>
      <c r="I152" s="1" t="s">
        <v>37</v>
      </c>
      <c r="J152" s="1" t="s">
        <v>38</v>
      </c>
      <c r="K152" s="1" t="s">
        <v>39</v>
      </c>
      <c r="L152">
        <v>180</v>
      </c>
      <c r="M152">
        <v>58.5</v>
      </c>
      <c r="N152">
        <v>34</v>
      </c>
      <c r="O152">
        <v>23</v>
      </c>
      <c r="P152">
        <v>4.5749999999999999E-2</v>
      </c>
      <c r="Q152">
        <v>7.28</v>
      </c>
      <c r="R152">
        <v>21.55</v>
      </c>
      <c r="S152">
        <v>4</v>
      </c>
      <c r="T152">
        <v>5</v>
      </c>
      <c r="U152">
        <v>20</v>
      </c>
      <c r="V152">
        <v>130</v>
      </c>
      <c r="W152">
        <v>170.6</v>
      </c>
      <c r="X152">
        <v>0.91500000000000004</v>
      </c>
      <c r="Y152">
        <v>5.5555555555555558E-3</v>
      </c>
      <c r="Z152">
        <v>2.5416666666666665E-4</v>
      </c>
      <c r="AA152">
        <v>2.7777777777777778E-4</v>
      </c>
      <c r="AB152">
        <v>21.55</v>
      </c>
      <c r="AC152">
        <v>1</v>
      </c>
      <c r="AD152" s="1" t="s">
        <v>44</v>
      </c>
      <c r="AE152">
        <v>0</v>
      </c>
      <c r="AF152">
        <v>1</v>
      </c>
      <c r="AG152">
        <v>12.960526315789474</v>
      </c>
    </row>
    <row r="153" spans="1:33">
      <c r="A153" s="1" t="s">
        <v>196</v>
      </c>
      <c r="B153" s="1" t="s">
        <v>2324</v>
      </c>
      <c r="C153" s="2">
        <v>46187</v>
      </c>
      <c r="D153" s="1" t="s">
        <v>34</v>
      </c>
      <c r="E153">
        <v>760</v>
      </c>
      <c r="F153" s="2">
        <v>46081</v>
      </c>
      <c r="G153" s="1" t="s">
        <v>197</v>
      </c>
      <c r="H153" s="1" t="s">
        <v>43</v>
      </c>
      <c r="I153" s="1" t="s">
        <v>37</v>
      </c>
      <c r="J153" s="1" t="s">
        <v>38</v>
      </c>
      <c r="K153" s="1" t="s">
        <v>39</v>
      </c>
      <c r="L153">
        <v>180</v>
      </c>
      <c r="M153">
        <v>58.5</v>
      </c>
      <c r="N153">
        <v>34</v>
      </c>
      <c r="O153">
        <v>23</v>
      </c>
      <c r="P153">
        <v>4.5749999999999999E-2</v>
      </c>
      <c r="Q153">
        <v>7.28</v>
      </c>
      <c r="R153">
        <v>21.55</v>
      </c>
      <c r="S153">
        <v>4</v>
      </c>
      <c r="T153">
        <v>5</v>
      </c>
      <c r="U153">
        <v>20</v>
      </c>
      <c r="V153">
        <v>130</v>
      </c>
      <c r="W153">
        <v>170.6</v>
      </c>
      <c r="X153">
        <v>0.91500000000000004</v>
      </c>
      <c r="Y153">
        <v>4.2222222222222223</v>
      </c>
      <c r="Z153">
        <v>0.19316666666666665</v>
      </c>
      <c r="AA153">
        <v>0.21111111111111111</v>
      </c>
      <c r="AB153">
        <v>16378</v>
      </c>
      <c r="AC153">
        <v>1</v>
      </c>
      <c r="AD153" s="1" t="s">
        <v>44</v>
      </c>
      <c r="AE153">
        <v>0</v>
      </c>
      <c r="AF153">
        <v>1</v>
      </c>
      <c r="AG153">
        <v>3.486842105263158</v>
      </c>
    </row>
    <row r="154" spans="1:33">
      <c r="A154" s="1" t="s">
        <v>198</v>
      </c>
      <c r="B154" s="1" t="s">
        <v>2325</v>
      </c>
      <c r="C154" s="2">
        <v>46587</v>
      </c>
      <c r="D154" s="1" t="s">
        <v>34</v>
      </c>
      <c r="E154">
        <v>33</v>
      </c>
      <c r="F154" s="2">
        <v>46081</v>
      </c>
      <c r="G154" s="1" t="s">
        <v>199</v>
      </c>
      <c r="H154" s="1" t="s">
        <v>70</v>
      </c>
      <c r="I154" s="1" t="s">
        <v>37</v>
      </c>
      <c r="J154" s="1" t="s">
        <v>38</v>
      </c>
      <c r="K154" s="1" t="s">
        <v>39</v>
      </c>
      <c r="L154">
        <v>60</v>
      </c>
      <c r="M154">
        <v>30.2</v>
      </c>
      <c r="N154">
        <v>38</v>
      </c>
      <c r="O154">
        <v>27.2</v>
      </c>
      <c r="P154">
        <v>3.1210000000000002E-2</v>
      </c>
      <c r="Q154">
        <v>5.58</v>
      </c>
      <c r="R154">
        <v>17.98</v>
      </c>
      <c r="S154">
        <v>9</v>
      </c>
      <c r="T154">
        <v>4</v>
      </c>
      <c r="U154">
        <v>36</v>
      </c>
      <c r="V154">
        <v>123.8</v>
      </c>
      <c r="W154">
        <v>225.88</v>
      </c>
      <c r="X154">
        <v>1.1235599999999999</v>
      </c>
      <c r="Y154">
        <v>0.55000000000000004</v>
      </c>
      <c r="Z154">
        <v>1.7165500000000004E-2</v>
      </c>
      <c r="AA154">
        <v>1.5277777777777779E-2</v>
      </c>
      <c r="AB154">
        <v>593.34</v>
      </c>
      <c r="AC154">
        <v>1</v>
      </c>
      <c r="AD154" s="1" t="s">
        <v>44</v>
      </c>
      <c r="AE154">
        <v>0</v>
      </c>
      <c r="AF154">
        <v>1</v>
      </c>
      <c r="AG154">
        <v>16.644736842105264</v>
      </c>
    </row>
    <row r="155" spans="1:33">
      <c r="A155" s="1" t="s">
        <v>198</v>
      </c>
      <c r="B155" s="1" t="s">
        <v>2326</v>
      </c>
      <c r="C155" s="2">
        <v>46215</v>
      </c>
      <c r="D155" s="1" t="s">
        <v>34</v>
      </c>
      <c r="E155">
        <v>7</v>
      </c>
      <c r="F155" s="2">
        <v>46081</v>
      </c>
      <c r="G155" s="1" t="s">
        <v>199</v>
      </c>
      <c r="H155" s="1" t="s">
        <v>70</v>
      </c>
      <c r="I155" s="1" t="s">
        <v>37</v>
      </c>
      <c r="J155" s="1" t="s">
        <v>38</v>
      </c>
      <c r="K155" s="1" t="s">
        <v>39</v>
      </c>
      <c r="L155">
        <v>60</v>
      </c>
      <c r="M155">
        <v>30.2</v>
      </c>
      <c r="N155">
        <v>38</v>
      </c>
      <c r="O155">
        <v>27.2</v>
      </c>
      <c r="P155">
        <v>3.1210000000000002E-2</v>
      </c>
      <c r="Q155">
        <v>5.58</v>
      </c>
      <c r="R155">
        <v>17.98</v>
      </c>
      <c r="S155">
        <v>9</v>
      </c>
      <c r="T155">
        <v>4</v>
      </c>
      <c r="U155">
        <v>36</v>
      </c>
      <c r="V155">
        <v>123.8</v>
      </c>
      <c r="W155">
        <v>225.88</v>
      </c>
      <c r="X155">
        <v>1.1235599999999999</v>
      </c>
      <c r="Y155">
        <v>0.11666666666666667</v>
      </c>
      <c r="Z155">
        <v>3.6411666666666671E-3</v>
      </c>
      <c r="AA155">
        <v>3.2407407407407406E-3</v>
      </c>
      <c r="AB155">
        <v>125.86</v>
      </c>
      <c r="AC155">
        <v>1</v>
      </c>
      <c r="AD155" s="1" t="s">
        <v>44</v>
      </c>
      <c r="AE155">
        <v>0</v>
      </c>
      <c r="AF155">
        <v>1</v>
      </c>
      <c r="AG155">
        <v>4.4078947368421053</v>
      </c>
    </row>
    <row r="156" spans="1:33">
      <c r="A156" s="1" t="s">
        <v>200</v>
      </c>
      <c r="B156" s="1" t="s">
        <v>2327</v>
      </c>
      <c r="C156" s="2">
        <v>47050</v>
      </c>
      <c r="D156" s="1" t="s">
        <v>34</v>
      </c>
      <c r="E156">
        <v>1521</v>
      </c>
      <c r="F156" s="2">
        <v>46081</v>
      </c>
      <c r="G156" s="1" t="s">
        <v>201</v>
      </c>
      <c r="H156" s="1" t="s">
        <v>52</v>
      </c>
      <c r="I156" s="1" t="s">
        <v>37</v>
      </c>
      <c r="J156" s="1" t="s">
        <v>38</v>
      </c>
      <c r="K156" s="1" t="s">
        <v>39</v>
      </c>
      <c r="L156">
        <v>60</v>
      </c>
      <c r="M156">
        <v>56.7</v>
      </c>
      <c r="N156">
        <v>34.6</v>
      </c>
      <c r="O156">
        <v>22.8</v>
      </c>
      <c r="P156">
        <v>4.4729999999999999E-2</v>
      </c>
      <c r="Q156">
        <v>10.73</v>
      </c>
      <c r="R156">
        <v>24.34</v>
      </c>
      <c r="S156">
        <v>4</v>
      </c>
      <c r="T156">
        <v>3</v>
      </c>
      <c r="U156">
        <v>12</v>
      </c>
      <c r="V156">
        <v>83.4</v>
      </c>
      <c r="W156">
        <v>153.76</v>
      </c>
      <c r="X156">
        <v>0.53676000000000001</v>
      </c>
      <c r="Y156">
        <v>25.35</v>
      </c>
      <c r="Z156">
        <v>1.1339055</v>
      </c>
      <c r="AA156">
        <v>2.1125000000000003</v>
      </c>
      <c r="AB156">
        <v>37021.14</v>
      </c>
      <c r="AC156">
        <v>3</v>
      </c>
      <c r="AD156" s="1" t="s">
        <v>40</v>
      </c>
      <c r="AE156">
        <v>3</v>
      </c>
      <c r="AF156">
        <v>0</v>
      </c>
      <c r="AG156">
        <v>31.875</v>
      </c>
    </row>
    <row r="157" spans="1:33">
      <c r="A157" s="1" t="s">
        <v>200</v>
      </c>
      <c r="B157" s="1" t="s">
        <v>2328</v>
      </c>
      <c r="C157" s="2">
        <v>46500</v>
      </c>
      <c r="D157" s="1" t="s">
        <v>34</v>
      </c>
      <c r="E157">
        <v>1488</v>
      </c>
      <c r="F157" s="2">
        <v>46081</v>
      </c>
      <c r="G157" s="1" t="s">
        <v>201</v>
      </c>
      <c r="H157" s="1" t="s">
        <v>52</v>
      </c>
      <c r="I157" s="1" t="s">
        <v>37</v>
      </c>
      <c r="J157" s="1" t="s">
        <v>38</v>
      </c>
      <c r="K157" s="1" t="s">
        <v>39</v>
      </c>
      <c r="L157">
        <v>60</v>
      </c>
      <c r="M157">
        <v>56.7</v>
      </c>
      <c r="N157">
        <v>34.6</v>
      </c>
      <c r="O157">
        <v>22.8</v>
      </c>
      <c r="P157">
        <v>4.4729999999999999E-2</v>
      </c>
      <c r="Q157">
        <v>10.73</v>
      </c>
      <c r="R157">
        <v>24.34</v>
      </c>
      <c r="S157">
        <v>4</v>
      </c>
      <c r="T157">
        <v>3</v>
      </c>
      <c r="U157">
        <v>12</v>
      </c>
      <c r="V157">
        <v>83.4</v>
      </c>
      <c r="W157">
        <v>153.76</v>
      </c>
      <c r="X157">
        <v>0.53676000000000001</v>
      </c>
      <c r="Y157">
        <v>24.8</v>
      </c>
      <c r="Z157">
        <v>1.1093040000000001</v>
      </c>
      <c r="AA157">
        <v>2.0666666666666669</v>
      </c>
      <c r="AB157">
        <v>36217.919999999998</v>
      </c>
      <c r="AC157">
        <v>3</v>
      </c>
      <c r="AD157" s="1" t="s">
        <v>40</v>
      </c>
      <c r="AE157">
        <v>3</v>
      </c>
      <c r="AF157">
        <v>0</v>
      </c>
      <c r="AG157">
        <v>13.782894736842106</v>
      </c>
    </row>
    <row r="158" spans="1:33">
      <c r="A158" s="1" t="s">
        <v>200</v>
      </c>
      <c r="B158" s="1" t="s">
        <v>2329</v>
      </c>
      <c r="C158" s="2">
        <v>46531</v>
      </c>
      <c r="D158" s="1" t="s">
        <v>34</v>
      </c>
      <c r="E158">
        <v>2844</v>
      </c>
      <c r="F158" s="2">
        <v>46081</v>
      </c>
      <c r="G158" s="1" t="s">
        <v>201</v>
      </c>
      <c r="H158" s="1" t="s">
        <v>52</v>
      </c>
      <c r="I158" s="1" t="s">
        <v>37</v>
      </c>
      <c r="J158" s="1" t="s">
        <v>38</v>
      </c>
      <c r="K158" s="1" t="s">
        <v>39</v>
      </c>
      <c r="L158">
        <v>60</v>
      </c>
      <c r="M158">
        <v>56.7</v>
      </c>
      <c r="N158">
        <v>34.6</v>
      </c>
      <c r="O158">
        <v>22.8</v>
      </c>
      <c r="P158">
        <v>4.4729999999999999E-2</v>
      </c>
      <c r="Q158">
        <v>10.73</v>
      </c>
      <c r="R158">
        <v>24.34</v>
      </c>
      <c r="S158">
        <v>4</v>
      </c>
      <c r="T158">
        <v>3</v>
      </c>
      <c r="U158">
        <v>12</v>
      </c>
      <c r="V158">
        <v>83.4</v>
      </c>
      <c r="W158">
        <v>153.76</v>
      </c>
      <c r="X158">
        <v>0.53676000000000001</v>
      </c>
      <c r="Y158">
        <v>47.4</v>
      </c>
      <c r="Z158">
        <v>2.1202019999999999</v>
      </c>
      <c r="AA158">
        <v>3.9499999999999997</v>
      </c>
      <c r="AB158">
        <v>69222.960000000006</v>
      </c>
      <c r="AC158">
        <v>4</v>
      </c>
      <c r="AD158" s="1" t="s">
        <v>40</v>
      </c>
      <c r="AE158">
        <v>4</v>
      </c>
      <c r="AF158">
        <v>0</v>
      </c>
      <c r="AG158">
        <v>14.80263157894737</v>
      </c>
    </row>
    <row r="159" spans="1:33">
      <c r="A159" s="1" t="s">
        <v>200</v>
      </c>
      <c r="B159" s="1" t="s">
        <v>2330</v>
      </c>
      <c r="C159" s="2">
        <v>46668</v>
      </c>
      <c r="D159" s="1" t="s">
        <v>153</v>
      </c>
      <c r="E159">
        <v>175</v>
      </c>
      <c r="F159" s="2">
        <v>46081</v>
      </c>
      <c r="G159" s="1" t="s">
        <v>201</v>
      </c>
      <c r="H159" s="1" t="s">
        <v>52</v>
      </c>
      <c r="I159" s="1" t="s">
        <v>37</v>
      </c>
      <c r="J159" s="1" t="s">
        <v>38</v>
      </c>
      <c r="K159" s="1" t="s">
        <v>39</v>
      </c>
      <c r="L159">
        <v>60</v>
      </c>
      <c r="M159">
        <v>56.7</v>
      </c>
      <c r="N159">
        <v>34.6</v>
      </c>
      <c r="O159">
        <v>22.8</v>
      </c>
      <c r="P159">
        <v>4.4729999999999999E-2</v>
      </c>
      <c r="Q159">
        <v>10.73</v>
      </c>
      <c r="R159">
        <v>24.34</v>
      </c>
      <c r="S159">
        <v>4</v>
      </c>
      <c r="T159">
        <v>3</v>
      </c>
      <c r="U159">
        <v>12</v>
      </c>
      <c r="V159">
        <v>83.4</v>
      </c>
      <c r="W159">
        <v>153.76</v>
      </c>
      <c r="X159">
        <v>0.53676000000000001</v>
      </c>
      <c r="Y159">
        <v>2.9166666666666665</v>
      </c>
      <c r="Z159">
        <v>0.13046249999999998</v>
      </c>
      <c r="AA159">
        <v>0.24305555555555555</v>
      </c>
      <c r="AB159">
        <v>4259.5</v>
      </c>
      <c r="AC159">
        <v>1</v>
      </c>
      <c r="AD159" s="1" t="s">
        <v>74</v>
      </c>
      <c r="AE159">
        <v>0</v>
      </c>
      <c r="AF159">
        <v>0</v>
      </c>
      <c r="AG159">
        <v>19.309210526315791</v>
      </c>
    </row>
    <row r="160" spans="1:33">
      <c r="A160" s="1" t="s">
        <v>202</v>
      </c>
      <c r="B160" s="1" t="s">
        <v>2331</v>
      </c>
      <c r="C160" s="2">
        <v>46937</v>
      </c>
      <c r="D160" s="1" t="s">
        <v>34</v>
      </c>
      <c r="E160">
        <v>638</v>
      </c>
      <c r="F160" s="2">
        <v>46081</v>
      </c>
      <c r="G160" s="1" t="s">
        <v>203</v>
      </c>
      <c r="H160" s="1" t="s">
        <v>70</v>
      </c>
      <c r="I160" s="1" t="s">
        <v>37</v>
      </c>
      <c r="J160" s="1" t="s">
        <v>38</v>
      </c>
      <c r="K160" s="1" t="s">
        <v>39</v>
      </c>
      <c r="L160">
        <v>60</v>
      </c>
      <c r="M160">
        <v>42.9</v>
      </c>
      <c r="N160">
        <v>31</v>
      </c>
      <c r="O160">
        <v>22.4</v>
      </c>
      <c r="P160">
        <v>2.9790000000000001E-2</v>
      </c>
      <c r="Q160">
        <v>6</v>
      </c>
      <c r="R160">
        <v>10.8</v>
      </c>
      <c r="S160">
        <v>6</v>
      </c>
      <c r="T160">
        <v>4</v>
      </c>
      <c r="U160">
        <v>24</v>
      </c>
      <c r="V160">
        <v>104.6</v>
      </c>
      <c r="W160">
        <v>169</v>
      </c>
      <c r="X160">
        <v>0.71496000000000004</v>
      </c>
      <c r="Y160">
        <v>10.633333333333333</v>
      </c>
      <c r="Z160">
        <v>0.31676699999999997</v>
      </c>
      <c r="AA160">
        <v>0.44305555555555554</v>
      </c>
      <c r="AB160">
        <v>6890.4000000000015</v>
      </c>
      <c r="AC160">
        <v>1</v>
      </c>
      <c r="AD160" s="1" t="s">
        <v>40</v>
      </c>
      <c r="AE160">
        <v>1</v>
      </c>
      <c r="AF160">
        <v>0</v>
      </c>
      <c r="AG160">
        <v>28.157894736842106</v>
      </c>
    </row>
    <row r="161" spans="1:33">
      <c r="A161" s="1" t="s">
        <v>202</v>
      </c>
      <c r="B161" s="1" t="s">
        <v>2332</v>
      </c>
      <c r="C161" s="2">
        <v>46832</v>
      </c>
      <c r="D161" s="1" t="s">
        <v>34</v>
      </c>
      <c r="E161">
        <v>2087</v>
      </c>
      <c r="F161" s="2">
        <v>46081</v>
      </c>
      <c r="G161" s="1" t="s">
        <v>203</v>
      </c>
      <c r="H161" s="1" t="s">
        <v>70</v>
      </c>
      <c r="I161" s="1" t="s">
        <v>37</v>
      </c>
      <c r="J161" s="1" t="s">
        <v>38</v>
      </c>
      <c r="K161" s="1" t="s">
        <v>39</v>
      </c>
      <c r="L161">
        <v>60</v>
      </c>
      <c r="M161">
        <v>42.9</v>
      </c>
      <c r="N161">
        <v>31</v>
      </c>
      <c r="O161">
        <v>22.4</v>
      </c>
      <c r="P161">
        <v>2.9790000000000001E-2</v>
      </c>
      <c r="Q161">
        <v>6</v>
      </c>
      <c r="R161">
        <v>10.8</v>
      </c>
      <c r="S161">
        <v>6</v>
      </c>
      <c r="T161">
        <v>4</v>
      </c>
      <c r="U161">
        <v>24</v>
      </c>
      <c r="V161">
        <v>104.6</v>
      </c>
      <c r="W161">
        <v>169</v>
      </c>
      <c r="X161">
        <v>0.71496000000000004</v>
      </c>
      <c r="Y161">
        <v>34.783333333333331</v>
      </c>
      <c r="Z161">
        <v>1.0361955</v>
      </c>
      <c r="AA161">
        <v>1.4493055555555554</v>
      </c>
      <c r="AB161">
        <v>22539.600000000002</v>
      </c>
      <c r="AC161">
        <v>2</v>
      </c>
      <c r="AD161" s="1" t="s">
        <v>40</v>
      </c>
      <c r="AE161">
        <v>2</v>
      </c>
      <c r="AF161">
        <v>0</v>
      </c>
      <c r="AG161">
        <v>24.703947368421055</v>
      </c>
    </row>
    <row r="162" spans="1:33">
      <c r="A162" s="1" t="s">
        <v>204</v>
      </c>
      <c r="B162" s="1" t="s">
        <v>2333</v>
      </c>
      <c r="C162" s="2">
        <v>46363</v>
      </c>
      <c r="D162" s="1" t="s">
        <v>34</v>
      </c>
      <c r="E162">
        <v>132</v>
      </c>
      <c r="F162" s="2">
        <v>46081</v>
      </c>
      <c r="G162" s="1" t="s">
        <v>205</v>
      </c>
      <c r="H162" s="1" t="s">
        <v>70</v>
      </c>
      <c r="I162" s="1" t="s">
        <v>37</v>
      </c>
      <c r="J162" s="1" t="s">
        <v>38</v>
      </c>
      <c r="K162" s="1" t="s">
        <v>39</v>
      </c>
      <c r="L162">
        <v>180</v>
      </c>
      <c r="M162">
        <v>49.1</v>
      </c>
      <c r="N162">
        <v>37.6</v>
      </c>
      <c r="O162">
        <v>17.3</v>
      </c>
      <c r="P162">
        <v>3.1940000000000003E-2</v>
      </c>
      <c r="Q162">
        <v>5.4</v>
      </c>
      <c r="R162">
        <v>19.850000000000001</v>
      </c>
      <c r="S162">
        <v>4</v>
      </c>
      <c r="T162">
        <v>8</v>
      </c>
      <c r="U162">
        <v>32</v>
      </c>
      <c r="V162">
        <v>153.4</v>
      </c>
      <c r="W162">
        <v>197.8</v>
      </c>
      <c r="X162">
        <v>1.0220800000000001</v>
      </c>
      <c r="Y162">
        <v>0.73333333333333328</v>
      </c>
      <c r="Z162">
        <v>2.3422666666666668E-2</v>
      </c>
      <c r="AA162">
        <v>2.2916666666666665E-2</v>
      </c>
      <c r="AB162">
        <v>2620.2000000000003</v>
      </c>
      <c r="AC162">
        <v>1</v>
      </c>
      <c r="AD162" s="1" t="s">
        <v>44</v>
      </c>
      <c r="AE162">
        <v>0</v>
      </c>
      <c r="AF162">
        <v>1</v>
      </c>
      <c r="AG162">
        <v>9.276315789473685</v>
      </c>
    </row>
    <row r="163" spans="1:33">
      <c r="A163" s="1" t="s">
        <v>206</v>
      </c>
      <c r="B163" s="1" t="s">
        <v>2334</v>
      </c>
      <c r="C163" s="2">
        <v>46359</v>
      </c>
      <c r="D163" s="1" t="s">
        <v>34</v>
      </c>
      <c r="E163">
        <v>298</v>
      </c>
      <c r="F163" s="2">
        <v>46081</v>
      </c>
      <c r="G163" s="1" t="s">
        <v>207</v>
      </c>
      <c r="H163" s="1" t="s">
        <v>36</v>
      </c>
      <c r="I163" s="1" t="s">
        <v>37</v>
      </c>
      <c r="J163" s="1" t="s">
        <v>38</v>
      </c>
      <c r="K163" s="1" t="s">
        <v>39</v>
      </c>
      <c r="L163">
        <v>120</v>
      </c>
      <c r="M163">
        <v>34.5</v>
      </c>
      <c r="N163">
        <v>26.7</v>
      </c>
      <c r="O163">
        <v>26.1</v>
      </c>
      <c r="P163">
        <v>2.4039999999999999E-2</v>
      </c>
      <c r="Q163">
        <v>3.94</v>
      </c>
      <c r="R163">
        <v>15.32</v>
      </c>
      <c r="S163">
        <v>9</v>
      </c>
      <c r="T163">
        <v>5</v>
      </c>
      <c r="U163">
        <v>45</v>
      </c>
      <c r="V163">
        <v>145.5</v>
      </c>
      <c r="W163">
        <v>202.3</v>
      </c>
      <c r="X163">
        <v>1.0818000000000001</v>
      </c>
      <c r="Y163">
        <v>2.4833333333333334</v>
      </c>
      <c r="Z163">
        <v>5.9699333333333333E-2</v>
      </c>
      <c r="AA163">
        <v>5.5185185185185184E-2</v>
      </c>
      <c r="AB163">
        <v>4565.3599999999997</v>
      </c>
      <c r="AC163">
        <v>1</v>
      </c>
      <c r="AD163" s="1" t="s">
        <v>44</v>
      </c>
      <c r="AE163">
        <v>0</v>
      </c>
      <c r="AF163">
        <v>1</v>
      </c>
      <c r="AG163">
        <v>9.1447368421052637</v>
      </c>
    </row>
    <row r="164" spans="1:33">
      <c r="A164" s="1" t="s">
        <v>206</v>
      </c>
      <c r="B164" s="1" t="s">
        <v>2335</v>
      </c>
      <c r="C164" s="2">
        <v>46322</v>
      </c>
      <c r="D164" s="1" t="s">
        <v>34</v>
      </c>
      <c r="E164">
        <v>449</v>
      </c>
      <c r="F164" s="2">
        <v>46081</v>
      </c>
      <c r="G164" s="1" t="s">
        <v>207</v>
      </c>
      <c r="H164" s="1" t="s">
        <v>36</v>
      </c>
      <c r="I164" s="1" t="s">
        <v>37</v>
      </c>
      <c r="J164" s="1" t="s">
        <v>38</v>
      </c>
      <c r="K164" s="1" t="s">
        <v>39</v>
      </c>
      <c r="L164">
        <v>120</v>
      </c>
      <c r="M164">
        <v>34.5</v>
      </c>
      <c r="N164">
        <v>26.7</v>
      </c>
      <c r="O164">
        <v>26.1</v>
      </c>
      <c r="P164">
        <v>2.4039999999999999E-2</v>
      </c>
      <c r="Q164">
        <v>3.94</v>
      </c>
      <c r="R164">
        <v>15.32</v>
      </c>
      <c r="S164">
        <v>9</v>
      </c>
      <c r="T164">
        <v>5</v>
      </c>
      <c r="U164">
        <v>45</v>
      </c>
      <c r="V164">
        <v>145.5</v>
      </c>
      <c r="W164">
        <v>202.3</v>
      </c>
      <c r="X164">
        <v>1.0818000000000001</v>
      </c>
      <c r="Y164">
        <v>3.7416666666666667</v>
      </c>
      <c r="Z164">
        <v>8.9949666666666664E-2</v>
      </c>
      <c r="AA164">
        <v>8.3148148148148152E-2</v>
      </c>
      <c r="AB164">
        <v>6878.68</v>
      </c>
      <c r="AC164">
        <v>1</v>
      </c>
      <c r="AD164" s="1" t="s">
        <v>44</v>
      </c>
      <c r="AE164">
        <v>0</v>
      </c>
      <c r="AF164">
        <v>1</v>
      </c>
      <c r="AG164">
        <v>7.927631578947369</v>
      </c>
    </row>
    <row r="165" spans="1:33">
      <c r="A165" s="1" t="s">
        <v>206</v>
      </c>
      <c r="B165" s="1" t="s">
        <v>2336</v>
      </c>
      <c r="C165" s="2">
        <v>46982</v>
      </c>
      <c r="D165" s="1" t="s">
        <v>34</v>
      </c>
      <c r="E165">
        <v>932</v>
      </c>
      <c r="F165" s="2">
        <v>46081</v>
      </c>
      <c r="G165" s="1" t="s">
        <v>207</v>
      </c>
      <c r="H165" s="1" t="s">
        <v>36</v>
      </c>
      <c r="I165" s="1" t="s">
        <v>37</v>
      </c>
      <c r="J165" s="1" t="s">
        <v>38</v>
      </c>
      <c r="K165" s="1" t="s">
        <v>39</v>
      </c>
      <c r="L165">
        <v>120</v>
      </c>
      <c r="M165">
        <v>34.5</v>
      </c>
      <c r="N165">
        <v>26.7</v>
      </c>
      <c r="O165">
        <v>26.1</v>
      </c>
      <c r="P165">
        <v>2.4039999999999999E-2</v>
      </c>
      <c r="Q165">
        <v>3.94</v>
      </c>
      <c r="R165">
        <v>15.32</v>
      </c>
      <c r="S165">
        <v>9</v>
      </c>
      <c r="T165">
        <v>5</v>
      </c>
      <c r="U165">
        <v>45</v>
      </c>
      <c r="V165">
        <v>145.5</v>
      </c>
      <c r="W165">
        <v>202.3</v>
      </c>
      <c r="X165">
        <v>1.0818000000000001</v>
      </c>
      <c r="Y165">
        <v>7.7666666666666666</v>
      </c>
      <c r="Z165">
        <v>0.18671066666666666</v>
      </c>
      <c r="AA165">
        <v>0.1725925925925926</v>
      </c>
      <c r="AB165">
        <v>14278.24</v>
      </c>
      <c r="AC165">
        <v>1</v>
      </c>
      <c r="AD165" s="1" t="s">
        <v>44</v>
      </c>
      <c r="AE165">
        <v>0</v>
      </c>
      <c r="AF165">
        <v>1</v>
      </c>
      <c r="AG165">
        <v>29.638157894736842</v>
      </c>
    </row>
    <row r="166" spans="1:33">
      <c r="A166" s="1" t="s">
        <v>206</v>
      </c>
      <c r="B166" s="1" t="s">
        <v>2337</v>
      </c>
      <c r="C166" s="2">
        <v>46018</v>
      </c>
      <c r="D166" s="1" t="s">
        <v>73</v>
      </c>
      <c r="E166">
        <v>134</v>
      </c>
      <c r="F166" s="2">
        <v>46081</v>
      </c>
      <c r="G166" s="1" t="s">
        <v>207</v>
      </c>
      <c r="H166" s="1" t="s">
        <v>36</v>
      </c>
      <c r="I166" s="1" t="s">
        <v>37</v>
      </c>
      <c r="J166" s="1" t="s">
        <v>38</v>
      </c>
      <c r="K166" s="1" t="s">
        <v>39</v>
      </c>
      <c r="L166">
        <v>120</v>
      </c>
      <c r="M166">
        <v>34.5</v>
      </c>
      <c r="N166">
        <v>26.7</v>
      </c>
      <c r="O166">
        <v>26.1</v>
      </c>
      <c r="P166">
        <v>2.4039999999999999E-2</v>
      </c>
      <c r="Q166">
        <v>3.94</v>
      </c>
      <c r="R166">
        <v>15.32</v>
      </c>
      <c r="S166">
        <v>9</v>
      </c>
      <c r="T166">
        <v>5</v>
      </c>
      <c r="U166">
        <v>45</v>
      </c>
      <c r="V166">
        <v>145.5</v>
      </c>
      <c r="W166">
        <v>202.3</v>
      </c>
      <c r="X166">
        <v>1.0818000000000001</v>
      </c>
      <c r="Y166">
        <v>1.1166666666666667</v>
      </c>
      <c r="Z166">
        <v>2.6844666666666666E-2</v>
      </c>
      <c r="AA166">
        <v>2.4814814814814814E-2</v>
      </c>
      <c r="AB166">
        <v>2052.88</v>
      </c>
      <c r="AC166">
        <v>1</v>
      </c>
      <c r="AD166" s="1" t="s">
        <v>74</v>
      </c>
      <c r="AE166">
        <v>0</v>
      </c>
      <c r="AF166">
        <v>0</v>
      </c>
      <c r="AG166">
        <v>-2.0723684210526319</v>
      </c>
    </row>
    <row r="167" spans="1:33">
      <c r="A167" s="1" t="s">
        <v>208</v>
      </c>
      <c r="B167" s="1" t="s">
        <v>2338</v>
      </c>
      <c r="C167" s="2">
        <v>47081</v>
      </c>
      <c r="D167" s="1" t="s">
        <v>34</v>
      </c>
      <c r="E167">
        <v>1754</v>
      </c>
      <c r="F167" s="2">
        <v>46081</v>
      </c>
      <c r="G167" s="1" t="s">
        <v>209</v>
      </c>
      <c r="H167" s="1" t="s">
        <v>43</v>
      </c>
      <c r="I167" s="1" t="s">
        <v>37</v>
      </c>
      <c r="J167" s="1" t="s">
        <v>38</v>
      </c>
      <c r="K167" s="1" t="s">
        <v>39</v>
      </c>
      <c r="L167">
        <v>180</v>
      </c>
      <c r="M167">
        <v>45.4</v>
      </c>
      <c r="N167">
        <v>25.3</v>
      </c>
      <c r="O167">
        <v>30.3</v>
      </c>
      <c r="P167">
        <v>3.4799999999999998E-2</v>
      </c>
      <c r="Q167">
        <v>7.61</v>
      </c>
      <c r="R167">
        <v>17.649999999999999</v>
      </c>
      <c r="S167">
        <v>8</v>
      </c>
      <c r="T167">
        <v>3</v>
      </c>
      <c r="U167">
        <v>24</v>
      </c>
      <c r="V167">
        <v>105.9</v>
      </c>
      <c r="W167">
        <v>207.64</v>
      </c>
      <c r="X167">
        <v>0.83519999999999994</v>
      </c>
      <c r="Y167">
        <v>9.7444444444444436</v>
      </c>
      <c r="Z167">
        <v>0.33910666666666661</v>
      </c>
      <c r="AA167">
        <v>0.4060185185185185</v>
      </c>
      <c r="AB167">
        <v>30958.1</v>
      </c>
      <c r="AC167">
        <v>1</v>
      </c>
      <c r="AD167" s="1" t="s">
        <v>40</v>
      </c>
      <c r="AE167">
        <v>1</v>
      </c>
      <c r="AF167">
        <v>0</v>
      </c>
      <c r="AG167">
        <v>32.894736842105267</v>
      </c>
    </row>
    <row r="168" spans="1:33">
      <c r="A168" s="1" t="s">
        <v>208</v>
      </c>
      <c r="B168" s="1" t="s">
        <v>2339</v>
      </c>
      <c r="C168" s="2">
        <v>46707</v>
      </c>
      <c r="D168" s="1" t="s">
        <v>34</v>
      </c>
      <c r="E168">
        <v>2250</v>
      </c>
      <c r="F168" s="2">
        <v>46081</v>
      </c>
      <c r="G168" s="1" t="s">
        <v>209</v>
      </c>
      <c r="H168" s="1" t="s">
        <v>43</v>
      </c>
      <c r="I168" s="1" t="s">
        <v>37</v>
      </c>
      <c r="J168" s="1" t="s">
        <v>38</v>
      </c>
      <c r="K168" s="1" t="s">
        <v>39</v>
      </c>
      <c r="L168">
        <v>180</v>
      </c>
      <c r="M168">
        <v>45.4</v>
      </c>
      <c r="N168">
        <v>25.3</v>
      </c>
      <c r="O168">
        <v>30.3</v>
      </c>
      <c r="P168">
        <v>3.4799999999999998E-2</v>
      </c>
      <c r="Q168">
        <v>7.61</v>
      </c>
      <c r="R168">
        <v>17.649999999999999</v>
      </c>
      <c r="S168">
        <v>8</v>
      </c>
      <c r="T168">
        <v>3</v>
      </c>
      <c r="U168">
        <v>24</v>
      </c>
      <c r="V168">
        <v>105.9</v>
      </c>
      <c r="W168">
        <v>207.64</v>
      </c>
      <c r="X168">
        <v>0.83519999999999994</v>
      </c>
      <c r="Y168">
        <v>12.5</v>
      </c>
      <c r="Z168">
        <v>0.43499999999999994</v>
      </c>
      <c r="AA168">
        <v>0.52083333333333337</v>
      </c>
      <c r="AB168">
        <v>39712.5</v>
      </c>
      <c r="AC168">
        <v>1</v>
      </c>
      <c r="AD168" s="1" t="s">
        <v>40</v>
      </c>
      <c r="AE168">
        <v>1</v>
      </c>
      <c r="AF168">
        <v>0</v>
      </c>
      <c r="AG168">
        <v>20.592105263157897</v>
      </c>
    </row>
    <row r="169" spans="1:33">
      <c r="A169" s="1" t="s">
        <v>210</v>
      </c>
      <c r="B169" s="1" t="s">
        <v>2340</v>
      </c>
      <c r="C169" s="2">
        <v>46543</v>
      </c>
      <c r="D169" s="1" t="s">
        <v>34</v>
      </c>
      <c r="E169">
        <v>45381</v>
      </c>
      <c r="F169" s="2">
        <v>46081</v>
      </c>
      <c r="G169" s="1" t="s">
        <v>211</v>
      </c>
      <c r="H169" s="1" t="s">
        <v>43</v>
      </c>
      <c r="I169" s="1" t="s">
        <v>37</v>
      </c>
      <c r="J169" s="1" t="s">
        <v>38</v>
      </c>
      <c r="K169" s="1" t="s">
        <v>39</v>
      </c>
      <c r="L169">
        <v>240</v>
      </c>
      <c r="M169">
        <v>55.9</v>
      </c>
      <c r="N169">
        <v>40.6</v>
      </c>
      <c r="O169">
        <v>19.2</v>
      </c>
      <c r="P169">
        <v>4.3580000000000001E-2</v>
      </c>
      <c r="Q169">
        <v>11.23</v>
      </c>
      <c r="R169">
        <v>14.6</v>
      </c>
      <c r="S169">
        <v>4</v>
      </c>
      <c r="T169">
        <v>6</v>
      </c>
      <c r="U169">
        <v>24</v>
      </c>
      <c r="V169">
        <v>130.19999999999999</v>
      </c>
      <c r="W169">
        <v>294.52</v>
      </c>
      <c r="X169">
        <v>1.04592</v>
      </c>
      <c r="Y169">
        <v>189.08750000000001</v>
      </c>
      <c r="Z169">
        <v>8.2404332500000006</v>
      </c>
      <c r="AA169">
        <v>7.8786458333333336</v>
      </c>
      <c r="AB169">
        <v>662562.6</v>
      </c>
      <c r="AC169">
        <v>8</v>
      </c>
      <c r="AD169" s="1" t="s">
        <v>40</v>
      </c>
      <c r="AE169">
        <v>8</v>
      </c>
      <c r="AF169">
        <v>0</v>
      </c>
      <c r="AG169">
        <v>15.197368421052632</v>
      </c>
    </row>
    <row r="170" spans="1:33">
      <c r="A170" s="1" t="s">
        <v>212</v>
      </c>
      <c r="B170" s="1" t="s">
        <v>2341</v>
      </c>
      <c r="C170" s="2">
        <v>46643</v>
      </c>
      <c r="D170" s="1" t="s">
        <v>34</v>
      </c>
      <c r="E170">
        <v>4545</v>
      </c>
      <c r="F170" s="2">
        <v>46081</v>
      </c>
      <c r="G170" s="1" t="s">
        <v>213</v>
      </c>
      <c r="H170" s="1" t="s">
        <v>52</v>
      </c>
      <c r="I170" s="1" t="s">
        <v>37</v>
      </c>
      <c r="J170" s="1" t="s">
        <v>38</v>
      </c>
      <c r="K170" s="1" t="s">
        <v>39</v>
      </c>
      <c r="L170">
        <v>100</v>
      </c>
      <c r="M170">
        <v>43.5</v>
      </c>
      <c r="N170">
        <v>37.1</v>
      </c>
      <c r="O170">
        <v>22.6</v>
      </c>
      <c r="P170">
        <v>3.6470000000000002E-2</v>
      </c>
      <c r="Q170">
        <v>9.83</v>
      </c>
      <c r="R170">
        <v>24.8</v>
      </c>
      <c r="S170">
        <v>6</v>
      </c>
      <c r="T170">
        <v>4</v>
      </c>
      <c r="U170">
        <v>24</v>
      </c>
      <c r="V170">
        <v>105.4</v>
      </c>
      <c r="W170">
        <v>260.92</v>
      </c>
      <c r="X170">
        <v>0.87528000000000006</v>
      </c>
      <c r="Y170">
        <v>45.45</v>
      </c>
      <c r="Z170">
        <v>1.6575615000000001</v>
      </c>
      <c r="AA170">
        <v>1.89375</v>
      </c>
      <c r="AB170">
        <v>112716</v>
      </c>
      <c r="AC170">
        <v>2</v>
      </c>
      <c r="AD170" s="1" t="s">
        <v>40</v>
      </c>
      <c r="AE170">
        <v>2</v>
      </c>
      <c r="AF170">
        <v>0</v>
      </c>
      <c r="AG170">
        <v>18.486842105263158</v>
      </c>
    </row>
    <row r="171" spans="1:33">
      <c r="A171" s="1" t="s">
        <v>212</v>
      </c>
      <c r="B171" s="1" t="s">
        <v>2342</v>
      </c>
      <c r="C171" s="2">
        <v>46172</v>
      </c>
      <c r="D171" s="1" t="s">
        <v>34</v>
      </c>
      <c r="E171">
        <v>6594</v>
      </c>
      <c r="F171" s="2">
        <v>46081</v>
      </c>
      <c r="G171" s="1" t="s">
        <v>213</v>
      </c>
      <c r="H171" s="1" t="s">
        <v>52</v>
      </c>
      <c r="I171" s="1" t="s">
        <v>37</v>
      </c>
      <c r="J171" s="1" t="s">
        <v>38</v>
      </c>
      <c r="K171" s="1" t="s">
        <v>39</v>
      </c>
      <c r="L171">
        <v>100</v>
      </c>
      <c r="M171">
        <v>43.5</v>
      </c>
      <c r="N171">
        <v>37.1</v>
      </c>
      <c r="O171">
        <v>22.6</v>
      </c>
      <c r="P171">
        <v>3.6470000000000002E-2</v>
      </c>
      <c r="Q171">
        <v>9.83</v>
      </c>
      <c r="R171">
        <v>24.8</v>
      </c>
      <c r="S171">
        <v>6</v>
      </c>
      <c r="T171">
        <v>4</v>
      </c>
      <c r="U171">
        <v>24</v>
      </c>
      <c r="V171">
        <v>105.4</v>
      </c>
      <c r="W171">
        <v>260.92</v>
      </c>
      <c r="X171">
        <v>0.87528000000000006</v>
      </c>
      <c r="Y171">
        <v>65.94</v>
      </c>
      <c r="Z171">
        <v>2.4048318000000002</v>
      </c>
      <c r="AA171">
        <v>2.7475000000000001</v>
      </c>
      <c r="AB171">
        <v>163531.20000000001</v>
      </c>
      <c r="AC171">
        <v>3</v>
      </c>
      <c r="AD171" s="1" t="s">
        <v>40</v>
      </c>
      <c r="AE171">
        <v>3</v>
      </c>
      <c r="AF171">
        <v>0</v>
      </c>
      <c r="AG171">
        <v>2.9934210526315792</v>
      </c>
    </row>
    <row r="172" spans="1:33">
      <c r="A172" s="1" t="s">
        <v>212</v>
      </c>
      <c r="B172" s="1" t="s">
        <v>2343</v>
      </c>
      <c r="C172" s="2">
        <v>46671</v>
      </c>
      <c r="D172" s="1" t="s">
        <v>34</v>
      </c>
      <c r="E172">
        <v>955</v>
      </c>
      <c r="F172" s="2">
        <v>46081</v>
      </c>
      <c r="G172" s="1" t="s">
        <v>213</v>
      </c>
      <c r="H172" s="1" t="s">
        <v>52</v>
      </c>
      <c r="I172" s="1" t="s">
        <v>37</v>
      </c>
      <c r="J172" s="1" t="s">
        <v>38</v>
      </c>
      <c r="K172" s="1" t="s">
        <v>39</v>
      </c>
      <c r="L172">
        <v>100</v>
      </c>
      <c r="M172">
        <v>43.5</v>
      </c>
      <c r="N172">
        <v>37.1</v>
      </c>
      <c r="O172">
        <v>22.6</v>
      </c>
      <c r="P172">
        <v>3.6470000000000002E-2</v>
      </c>
      <c r="Q172">
        <v>9.83</v>
      </c>
      <c r="R172">
        <v>24.8</v>
      </c>
      <c r="S172">
        <v>6</v>
      </c>
      <c r="T172">
        <v>4</v>
      </c>
      <c r="U172">
        <v>24</v>
      </c>
      <c r="V172">
        <v>105.4</v>
      </c>
      <c r="W172">
        <v>260.92</v>
      </c>
      <c r="X172">
        <v>0.87528000000000006</v>
      </c>
      <c r="Y172">
        <v>9.5500000000000007</v>
      </c>
      <c r="Z172">
        <v>0.34828850000000006</v>
      </c>
      <c r="AA172">
        <v>0.3979166666666667</v>
      </c>
      <c r="AB172">
        <v>23684</v>
      </c>
      <c r="AC172">
        <v>1</v>
      </c>
      <c r="AD172" s="1" t="s">
        <v>40</v>
      </c>
      <c r="AE172">
        <v>1</v>
      </c>
      <c r="AF172">
        <v>0</v>
      </c>
      <c r="AG172">
        <v>19.407894736842106</v>
      </c>
    </row>
    <row r="173" spans="1:33">
      <c r="A173" s="1" t="s">
        <v>214</v>
      </c>
      <c r="B173" s="1" t="s">
        <v>2344</v>
      </c>
      <c r="C173" s="2">
        <v>46467</v>
      </c>
      <c r="D173" s="1" t="s">
        <v>34</v>
      </c>
      <c r="E173">
        <v>6005</v>
      </c>
      <c r="F173" s="2">
        <v>46081</v>
      </c>
      <c r="G173" s="1" t="s">
        <v>215</v>
      </c>
      <c r="H173" s="1" t="s">
        <v>70</v>
      </c>
      <c r="I173" s="1" t="s">
        <v>37</v>
      </c>
      <c r="J173" s="1" t="s">
        <v>38</v>
      </c>
      <c r="K173" s="1" t="s">
        <v>39</v>
      </c>
      <c r="L173">
        <v>240</v>
      </c>
      <c r="M173">
        <v>50.6</v>
      </c>
      <c r="N173">
        <v>38</v>
      </c>
      <c r="O173">
        <v>30.3</v>
      </c>
      <c r="P173">
        <v>5.8259999999999999E-2</v>
      </c>
      <c r="Q173">
        <v>11.97</v>
      </c>
      <c r="R173">
        <v>3.97</v>
      </c>
      <c r="S173">
        <v>4</v>
      </c>
      <c r="T173">
        <v>3</v>
      </c>
      <c r="U173">
        <v>12</v>
      </c>
      <c r="V173">
        <v>105.9</v>
      </c>
      <c r="W173">
        <v>168.64</v>
      </c>
      <c r="X173">
        <v>0.69911999999999996</v>
      </c>
      <c r="Y173">
        <v>25.020833333333332</v>
      </c>
      <c r="Z173">
        <v>1.4577137499999999</v>
      </c>
      <c r="AA173">
        <v>2.0850694444444442</v>
      </c>
      <c r="AB173">
        <v>23839.850000000002</v>
      </c>
      <c r="AC173">
        <v>3</v>
      </c>
      <c r="AD173" s="1" t="s">
        <v>40</v>
      </c>
      <c r="AE173">
        <v>3</v>
      </c>
      <c r="AF173">
        <v>0</v>
      </c>
      <c r="AG173">
        <v>12.697368421052632</v>
      </c>
    </row>
    <row r="174" spans="1:33">
      <c r="A174" s="1" t="s">
        <v>214</v>
      </c>
      <c r="B174" s="1" t="s">
        <v>2345</v>
      </c>
      <c r="C174" s="2">
        <v>46304</v>
      </c>
      <c r="D174" s="1" t="s">
        <v>34</v>
      </c>
      <c r="E174">
        <v>2499</v>
      </c>
      <c r="F174" s="2">
        <v>46081</v>
      </c>
      <c r="G174" s="1" t="s">
        <v>215</v>
      </c>
      <c r="H174" s="1" t="s">
        <v>70</v>
      </c>
      <c r="I174" s="1" t="s">
        <v>37</v>
      </c>
      <c r="J174" s="1" t="s">
        <v>38</v>
      </c>
      <c r="K174" s="1" t="s">
        <v>39</v>
      </c>
      <c r="L174">
        <v>240</v>
      </c>
      <c r="M174">
        <v>50.6</v>
      </c>
      <c r="N174">
        <v>38</v>
      </c>
      <c r="O174">
        <v>30.3</v>
      </c>
      <c r="P174">
        <v>5.8259999999999999E-2</v>
      </c>
      <c r="Q174">
        <v>11.97</v>
      </c>
      <c r="R174">
        <v>3.97</v>
      </c>
      <c r="S174">
        <v>4</v>
      </c>
      <c r="T174">
        <v>3</v>
      </c>
      <c r="U174">
        <v>12</v>
      </c>
      <c r="V174">
        <v>105.9</v>
      </c>
      <c r="W174">
        <v>168.64</v>
      </c>
      <c r="X174">
        <v>0.69911999999999996</v>
      </c>
      <c r="Y174">
        <v>10.4125</v>
      </c>
      <c r="Z174">
        <v>0.60663224999999998</v>
      </c>
      <c r="AA174">
        <v>0.8677083333333333</v>
      </c>
      <c r="AB174">
        <v>9921.0300000000007</v>
      </c>
      <c r="AC174">
        <v>1</v>
      </c>
      <c r="AD174" s="1" t="s">
        <v>40</v>
      </c>
      <c r="AE174">
        <v>1</v>
      </c>
      <c r="AF174">
        <v>0</v>
      </c>
      <c r="AG174">
        <v>7.3355263157894743</v>
      </c>
    </row>
    <row r="175" spans="1:33">
      <c r="A175" s="1" t="s">
        <v>214</v>
      </c>
      <c r="B175" s="1" t="s">
        <v>2346</v>
      </c>
      <c r="C175" s="2">
        <v>47125</v>
      </c>
      <c r="D175" s="1" t="s">
        <v>34</v>
      </c>
      <c r="E175">
        <v>1223</v>
      </c>
      <c r="F175" s="2">
        <v>46081</v>
      </c>
      <c r="G175" s="1" t="s">
        <v>215</v>
      </c>
      <c r="H175" s="1" t="s">
        <v>70</v>
      </c>
      <c r="I175" s="1" t="s">
        <v>37</v>
      </c>
      <c r="J175" s="1" t="s">
        <v>38</v>
      </c>
      <c r="K175" s="1" t="s">
        <v>39</v>
      </c>
      <c r="L175">
        <v>240</v>
      </c>
      <c r="M175">
        <v>50.6</v>
      </c>
      <c r="N175">
        <v>38</v>
      </c>
      <c r="O175">
        <v>30.3</v>
      </c>
      <c r="P175">
        <v>5.8259999999999999E-2</v>
      </c>
      <c r="Q175">
        <v>11.97</v>
      </c>
      <c r="R175">
        <v>3.97</v>
      </c>
      <c r="S175">
        <v>4</v>
      </c>
      <c r="T175">
        <v>3</v>
      </c>
      <c r="U175">
        <v>12</v>
      </c>
      <c r="V175">
        <v>105.9</v>
      </c>
      <c r="W175">
        <v>168.64</v>
      </c>
      <c r="X175">
        <v>0.69911999999999996</v>
      </c>
      <c r="Y175">
        <v>5.0958333333333332</v>
      </c>
      <c r="Z175">
        <v>0.29688324999999999</v>
      </c>
      <c r="AA175">
        <v>0.42465277777777777</v>
      </c>
      <c r="AB175">
        <v>4855.3100000000004</v>
      </c>
      <c r="AC175">
        <v>1</v>
      </c>
      <c r="AD175" s="1" t="s">
        <v>40</v>
      </c>
      <c r="AE175">
        <v>1</v>
      </c>
      <c r="AF175">
        <v>0</v>
      </c>
      <c r="AG175">
        <v>34.342105263157897</v>
      </c>
    </row>
    <row r="176" spans="1:33">
      <c r="A176" s="1" t="s">
        <v>216</v>
      </c>
      <c r="B176" s="1" t="s">
        <v>2347</v>
      </c>
      <c r="C176" s="2">
        <v>47126</v>
      </c>
      <c r="D176" s="1" t="s">
        <v>34</v>
      </c>
      <c r="E176">
        <v>2402</v>
      </c>
      <c r="F176" s="2">
        <v>46081</v>
      </c>
      <c r="G176" s="1" t="s">
        <v>217</v>
      </c>
      <c r="H176" s="1" t="s">
        <v>48</v>
      </c>
      <c r="I176" s="1" t="s">
        <v>37</v>
      </c>
      <c r="J176" s="1" t="s">
        <v>38</v>
      </c>
      <c r="K176" s="1" t="s">
        <v>39</v>
      </c>
      <c r="L176">
        <v>120</v>
      </c>
      <c r="M176">
        <v>58.3</v>
      </c>
      <c r="N176">
        <v>26.6</v>
      </c>
      <c r="O176">
        <v>33.200000000000003</v>
      </c>
      <c r="P176">
        <v>5.1490000000000001E-2</v>
      </c>
      <c r="Q176">
        <v>8.74</v>
      </c>
      <c r="R176">
        <v>7.56</v>
      </c>
      <c r="S176">
        <v>6</v>
      </c>
      <c r="T176">
        <v>2</v>
      </c>
      <c r="U176">
        <v>12</v>
      </c>
      <c r="V176">
        <v>81.400000000000006</v>
      </c>
      <c r="W176">
        <v>129.88</v>
      </c>
      <c r="X176">
        <v>0.61787999999999998</v>
      </c>
      <c r="Y176">
        <v>20.016666666666666</v>
      </c>
      <c r="Z176">
        <v>1.0306581666666665</v>
      </c>
      <c r="AA176">
        <v>1.6680555555555554</v>
      </c>
      <c r="AB176">
        <v>18159.12</v>
      </c>
      <c r="AC176">
        <v>2</v>
      </c>
      <c r="AD176" s="1" t="s">
        <v>40</v>
      </c>
      <c r="AE176">
        <v>2</v>
      </c>
      <c r="AF176">
        <v>0</v>
      </c>
      <c r="AG176">
        <v>34.375</v>
      </c>
    </row>
    <row r="177" spans="1:33">
      <c r="A177" s="1" t="s">
        <v>218</v>
      </c>
      <c r="B177" s="1" t="s">
        <v>2348</v>
      </c>
      <c r="C177" s="2">
        <v>46296</v>
      </c>
      <c r="D177" s="1" t="s">
        <v>34</v>
      </c>
      <c r="E177">
        <v>209</v>
      </c>
      <c r="F177" s="2">
        <v>46081</v>
      </c>
      <c r="G177" s="1" t="s">
        <v>219</v>
      </c>
      <c r="H177" s="1" t="s">
        <v>43</v>
      </c>
      <c r="I177" s="1" t="s">
        <v>37</v>
      </c>
      <c r="J177" s="1" t="s">
        <v>38</v>
      </c>
      <c r="K177" s="1" t="s">
        <v>39</v>
      </c>
      <c r="L177">
        <v>100</v>
      </c>
      <c r="M177">
        <v>53.7</v>
      </c>
      <c r="N177">
        <v>32.799999999999997</v>
      </c>
      <c r="O177">
        <v>23.8</v>
      </c>
      <c r="P177">
        <v>4.1919999999999999E-2</v>
      </c>
      <c r="Q177">
        <v>10.01</v>
      </c>
      <c r="R177">
        <v>20.079999999999998</v>
      </c>
      <c r="S177">
        <v>6</v>
      </c>
      <c r="T177">
        <v>3</v>
      </c>
      <c r="U177">
        <v>18</v>
      </c>
      <c r="V177">
        <v>86.4</v>
      </c>
      <c r="W177">
        <v>205.18</v>
      </c>
      <c r="X177">
        <v>0.75456000000000001</v>
      </c>
      <c r="Y177">
        <v>2.09</v>
      </c>
      <c r="Z177">
        <v>8.7612799999999991E-2</v>
      </c>
      <c r="AA177">
        <v>0.11611111111111111</v>
      </c>
      <c r="AB177">
        <v>4196.7199999999993</v>
      </c>
      <c r="AC177">
        <v>1</v>
      </c>
      <c r="AD177" s="1" t="s">
        <v>44</v>
      </c>
      <c r="AE177">
        <v>0</v>
      </c>
      <c r="AF177">
        <v>1</v>
      </c>
      <c r="AG177">
        <v>7.0723684210526319</v>
      </c>
    </row>
    <row r="178" spans="1:33">
      <c r="A178" s="1" t="s">
        <v>218</v>
      </c>
      <c r="B178" s="1" t="s">
        <v>2349</v>
      </c>
      <c r="C178" s="2">
        <v>46270</v>
      </c>
      <c r="D178" s="1" t="s">
        <v>34</v>
      </c>
      <c r="E178">
        <v>198</v>
      </c>
      <c r="F178" s="2">
        <v>46081</v>
      </c>
      <c r="G178" s="1" t="s">
        <v>219</v>
      </c>
      <c r="H178" s="1" t="s">
        <v>43</v>
      </c>
      <c r="I178" s="1" t="s">
        <v>37</v>
      </c>
      <c r="J178" s="1" t="s">
        <v>38</v>
      </c>
      <c r="K178" s="1" t="s">
        <v>39</v>
      </c>
      <c r="L178">
        <v>100</v>
      </c>
      <c r="M178">
        <v>53.7</v>
      </c>
      <c r="N178">
        <v>32.799999999999997</v>
      </c>
      <c r="O178">
        <v>23.8</v>
      </c>
      <c r="P178">
        <v>4.1919999999999999E-2</v>
      </c>
      <c r="Q178">
        <v>10.01</v>
      </c>
      <c r="R178">
        <v>20.079999999999998</v>
      </c>
      <c r="S178">
        <v>6</v>
      </c>
      <c r="T178">
        <v>3</v>
      </c>
      <c r="U178">
        <v>18</v>
      </c>
      <c r="V178">
        <v>86.4</v>
      </c>
      <c r="W178">
        <v>205.18</v>
      </c>
      <c r="X178">
        <v>0.75456000000000001</v>
      </c>
      <c r="Y178">
        <v>1.98</v>
      </c>
      <c r="Z178">
        <v>8.3001599999999995E-2</v>
      </c>
      <c r="AA178">
        <v>0.11</v>
      </c>
      <c r="AB178">
        <v>3975.8399999999997</v>
      </c>
      <c r="AC178">
        <v>1</v>
      </c>
      <c r="AD178" s="1" t="s">
        <v>44</v>
      </c>
      <c r="AE178">
        <v>0</v>
      </c>
      <c r="AF178">
        <v>1</v>
      </c>
      <c r="AG178">
        <v>6.2171052631578947</v>
      </c>
    </row>
    <row r="179" spans="1:33">
      <c r="A179" s="1" t="s">
        <v>218</v>
      </c>
      <c r="B179" s="1" t="s">
        <v>2350</v>
      </c>
      <c r="C179" s="2">
        <v>46427</v>
      </c>
      <c r="D179" s="1" t="s">
        <v>34</v>
      </c>
      <c r="E179">
        <v>57</v>
      </c>
      <c r="F179" s="2">
        <v>46081</v>
      </c>
      <c r="G179" s="1" t="s">
        <v>219</v>
      </c>
      <c r="H179" s="1" t="s">
        <v>43</v>
      </c>
      <c r="I179" s="1" t="s">
        <v>37</v>
      </c>
      <c r="J179" s="1" t="s">
        <v>38</v>
      </c>
      <c r="K179" s="1" t="s">
        <v>39</v>
      </c>
      <c r="L179">
        <v>100</v>
      </c>
      <c r="M179">
        <v>53.7</v>
      </c>
      <c r="N179">
        <v>32.799999999999997</v>
      </c>
      <c r="O179">
        <v>23.8</v>
      </c>
      <c r="P179">
        <v>4.1919999999999999E-2</v>
      </c>
      <c r="Q179">
        <v>10.01</v>
      </c>
      <c r="R179">
        <v>20.079999999999998</v>
      </c>
      <c r="S179">
        <v>6</v>
      </c>
      <c r="T179">
        <v>3</v>
      </c>
      <c r="U179">
        <v>18</v>
      </c>
      <c r="V179">
        <v>86.4</v>
      </c>
      <c r="W179">
        <v>205.18</v>
      </c>
      <c r="X179">
        <v>0.75456000000000001</v>
      </c>
      <c r="Y179">
        <v>0.56999999999999995</v>
      </c>
      <c r="Z179">
        <v>2.3894399999999996E-2</v>
      </c>
      <c r="AA179">
        <v>3.1666666666666662E-2</v>
      </c>
      <c r="AB179">
        <v>1144.56</v>
      </c>
      <c r="AC179">
        <v>1</v>
      </c>
      <c r="AD179" s="1" t="s">
        <v>44</v>
      </c>
      <c r="AE179">
        <v>0</v>
      </c>
      <c r="AF179">
        <v>1</v>
      </c>
      <c r="AG179">
        <v>11.381578947368421</v>
      </c>
    </row>
    <row r="180" spans="1:33">
      <c r="A180" s="1" t="s">
        <v>218</v>
      </c>
      <c r="B180" s="1" t="s">
        <v>2351</v>
      </c>
      <c r="C180" s="2">
        <v>46638</v>
      </c>
      <c r="D180" s="1" t="s">
        <v>34</v>
      </c>
      <c r="E180">
        <v>308</v>
      </c>
      <c r="F180" s="2">
        <v>46081</v>
      </c>
      <c r="G180" s="1" t="s">
        <v>219</v>
      </c>
      <c r="H180" s="1" t="s">
        <v>43</v>
      </c>
      <c r="I180" s="1" t="s">
        <v>37</v>
      </c>
      <c r="J180" s="1" t="s">
        <v>38</v>
      </c>
      <c r="K180" s="1" t="s">
        <v>39</v>
      </c>
      <c r="L180">
        <v>100</v>
      </c>
      <c r="M180">
        <v>53.7</v>
      </c>
      <c r="N180">
        <v>32.799999999999997</v>
      </c>
      <c r="O180">
        <v>23.8</v>
      </c>
      <c r="P180">
        <v>4.1919999999999999E-2</v>
      </c>
      <c r="Q180">
        <v>10.01</v>
      </c>
      <c r="R180">
        <v>20.079999999999998</v>
      </c>
      <c r="S180">
        <v>6</v>
      </c>
      <c r="T180">
        <v>3</v>
      </c>
      <c r="U180">
        <v>18</v>
      </c>
      <c r="V180">
        <v>86.4</v>
      </c>
      <c r="W180">
        <v>205.18</v>
      </c>
      <c r="X180">
        <v>0.75456000000000001</v>
      </c>
      <c r="Y180">
        <v>3.08</v>
      </c>
      <c r="Z180">
        <v>0.1291136</v>
      </c>
      <c r="AA180">
        <v>0.1711111111111111</v>
      </c>
      <c r="AB180">
        <v>6184.6399999999994</v>
      </c>
      <c r="AC180">
        <v>1</v>
      </c>
      <c r="AD180" s="1" t="s">
        <v>44</v>
      </c>
      <c r="AE180">
        <v>0</v>
      </c>
      <c r="AF180">
        <v>1</v>
      </c>
      <c r="AG180">
        <v>18.322368421052634</v>
      </c>
    </row>
    <row r="181" spans="1:33">
      <c r="A181" s="1" t="s">
        <v>220</v>
      </c>
      <c r="B181" s="1" t="s">
        <v>2352</v>
      </c>
      <c r="C181" s="2">
        <v>46329</v>
      </c>
      <c r="D181" s="1" t="s">
        <v>34</v>
      </c>
      <c r="E181">
        <v>306</v>
      </c>
      <c r="F181" s="2">
        <v>46081</v>
      </c>
      <c r="G181" s="1" t="s">
        <v>221</v>
      </c>
      <c r="H181" s="1" t="s">
        <v>52</v>
      </c>
      <c r="I181" s="1" t="s">
        <v>37</v>
      </c>
      <c r="J181" s="1" t="s">
        <v>38</v>
      </c>
      <c r="K181" s="1" t="s">
        <v>39</v>
      </c>
      <c r="L181">
        <v>240</v>
      </c>
      <c r="M181">
        <v>41</v>
      </c>
      <c r="N181">
        <v>34.700000000000003</v>
      </c>
      <c r="O181">
        <v>33.299999999999997</v>
      </c>
      <c r="P181">
        <v>4.7379999999999999E-2</v>
      </c>
      <c r="Q181">
        <v>11.95</v>
      </c>
      <c r="R181">
        <v>3.72</v>
      </c>
      <c r="S181">
        <v>6</v>
      </c>
      <c r="T181">
        <v>3</v>
      </c>
      <c r="U181">
        <v>18</v>
      </c>
      <c r="V181">
        <v>114.9</v>
      </c>
      <c r="W181">
        <v>240.1</v>
      </c>
      <c r="X181">
        <v>0.85283999999999993</v>
      </c>
      <c r="Y181">
        <v>1.2749999999999999</v>
      </c>
      <c r="Z181">
        <v>6.0409499999999991E-2</v>
      </c>
      <c r="AA181">
        <v>7.0833333333333331E-2</v>
      </c>
      <c r="AB181">
        <v>1138.3200000000002</v>
      </c>
      <c r="AC181">
        <v>1</v>
      </c>
      <c r="AD181" s="1" t="s">
        <v>44</v>
      </c>
      <c r="AE181">
        <v>0</v>
      </c>
      <c r="AF181">
        <v>1</v>
      </c>
      <c r="AG181">
        <v>8.1578947368421062</v>
      </c>
    </row>
    <row r="182" spans="1:33">
      <c r="A182" s="1" t="s">
        <v>220</v>
      </c>
      <c r="B182" s="1" t="s">
        <v>2353</v>
      </c>
      <c r="C182" s="2">
        <v>46705</v>
      </c>
      <c r="D182" s="1" t="s">
        <v>34</v>
      </c>
      <c r="E182">
        <v>257</v>
      </c>
      <c r="F182" s="2">
        <v>46081</v>
      </c>
      <c r="G182" s="1" t="s">
        <v>221</v>
      </c>
      <c r="H182" s="1" t="s">
        <v>52</v>
      </c>
      <c r="I182" s="1" t="s">
        <v>37</v>
      </c>
      <c r="J182" s="1" t="s">
        <v>38</v>
      </c>
      <c r="K182" s="1" t="s">
        <v>39</v>
      </c>
      <c r="L182">
        <v>240</v>
      </c>
      <c r="M182">
        <v>41</v>
      </c>
      <c r="N182">
        <v>34.700000000000003</v>
      </c>
      <c r="O182">
        <v>33.299999999999997</v>
      </c>
      <c r="P182">
        <v>4.7379999999999999E-2</v>
      </c>
      <c r="Q182">
        <v>11.95</v>
      </c>
      <c r="R182">
        <v>3.72</v>
      </c>
      <c r="S182">
        <v>6</v>
      </c>
      <c r="T182">
        <v>3</v>
      </c>
      <c r="U182">
        <v>18</v>
      </c>
      <c r="V182">
        <v>114.9</v>
      </c>
      <c r="W182">
        <v>240.1</v>
      </c>
      <c r="X182">
        <v>0.85283999999999993</v>
      </c>
      <c r="Y182">
        <v>1.0708333333333333</v>
      </c>
      <c r="Z182">
        <v>5.0736083333333327E-2</v>
      </c>
      <c r="AA182">
        <v>5.949074074074074E-2</v>
      </c>
      <c r="AB182">
        <v>956.04000000000008</v>
      </c>
      <c r="AC182">
        <v>1</v>
      </c>
      <c r="AD182" s="1" t="s">
        <v>44</v>
      </c>
      <c r="AE182">
        <v>0</v>
      </c>
      <c r="AF182">
        <v>1</v>
      </c>
      <c r="AG182">
        <v>20.526315789473685</v>
      </c>
    </row>
    <row r="183" spans="1:33">
      <c r="A183" s="1" t="s">
        <v>220</v>
      </c>
      <c r="B183" s="1" t="s">
        <v>2354</v>
      </c>
      <c r="C183" s="2">
        <v>46251</v>
      </c>
      <c r="D183" s="1" t="s">
        <v>34</v>
      </c>
      <c r="E183">
        <v>334</v>
      </c>
      <c r="F183" s="2">
        <v>46081</v>
      </c>
      <c r="G183" s="1" t="s">
        <v>221</v>
      </c>
      <c r="H183" s="1" t="s">
        <v>52</v>
      </c>
      <c r="I183" s="1" t="s">
        <v>37</v>
      </c>
      <c r="J183" s="1" t="s">
        <v>38</v>
      </c>
      <c r="K183" s="1" t="s">
        <v>39</v>
      </c>
      <c r="L183">
        <v>240</v>
      </c>
      <c r="M183">
        <v>41</v>
      </c>
      <c r="N183">
        <v>34.700000000000003</v>
      </c>
      <c r="O183">
        <v>33.299999999999997</v>
      </c>
      <c r="P183">
        <v>4.7379999999999999E-2</v>
      </c>
      <c r="Q183">
        <v>11.95</v>
      </c>
      <c r="R183">
        <v>3.72</v>
      </c>
      <c r="S183">
        <v>6</v>
      </c>
      <c r="T183">
        <v>3</v>
      </c>
      <c r="U183">
        <v>18</v>
      </c>
      <c r="V183">
        <v>114.9</v>
      </c>
      <c r="W183">
        <v>240.1</v>
      </c>
      <c r="X183">
        <v>0.85283999999999993</v>
      </c>
      <c r="Y183">
        <v>1.3916666666666666</v>
      </c>
      <c r="Z183">
        <v>6.5937166666666658E-2</v>
      </c>
      <c r="AA183">
        <v>7.7314814814814808E-2</v>
      </c>
      <c r="AB183">
        <v>1242.48</v>
      </c>
      <c r="AC183">
        <v>1</v>
      </c>
      <c r="AD183" s="1" t="s">
        <v>44</v>
      </c>
      <c r="AE183">
        <v>0</v>
      </c>
      <c r="AF183">
        <v>1</v>
      </c>
      <c r="AG183">
        <v>5.5921052631578947</v>
      </c>
    </row>
    <row r="184" spans="1:33">
      <c r="A184" s="1" t="s">
        <v>222</v>
      </c>
      <c r="B184" s="1" t="s">
        <v>2355</v>
      </c>
      <c r="C184" s="2">
        <v>47091</v>
      </c>
      <c r="D184" s="1" t="s">
        <v>34</v>
      </c>
      <c r="E184">
        <v>111</v>
      </c>
      <c r="F184" s="2">
        <v>46081</v>
      </c>
      <c r="G184" s="1" t="s">
        <v>223</v>
      </c>
      <c r="H184" s="1" t="s">
        <v>48</v>
      </c>
      <c r="I184" s="1" t="s">
        <v>37</v>
      </c>
      <c r="J184" s="1" t="s">
        <v>38</v>
      </c>
      <c r="K184" s="1" t="s">
        <v>39</v>
      </c>
      <c r="L184">
        <v>100</v>
      </c>
      <c r="M184">
        <v>40.299999999999997</v>
      </c>
      <c r="N184">
        <v>36.299999999999997</v>
      </c>
      <c r="O184">
        <v>23.8</v>
      </c>
      <c r="P184">
        <v>3.4819999999999997E-2</v>
      </c>
      <c r="Q184">
        <v>9.98</v>
      </c>
      <c r="R184">
        <v>6.76</v>
      </c>
      <c r="S184">
        <v>6</v>
      </c>
      <c r="T184">
        <v>3</v>
      </c>
      <c r="U184">
        <v>18</v>
      </c>
      <c r="V184">
        <v>86.4</v>
      </c>
      <c r="W184">
        <v>204.64</v>
      </c>
      <c r="X184">
        <v>0.62675999999999998</v>
      </c>
      <c r="Y184">
        <v>1.1100000000000001</v>
      </c>
      <c r="Z184">
        <v>3.8650200000000003E-2</v>
      </c>
      <c r="AA184">
        <v>6.1666666666666675E-2</v>
      </c>
      <c r="AB184">
        <v>750.36</v>
      </c>
      <c r="AC184">
        <v>1</v>
      </c>
      <c r="AD184" s="1" t="s">
        <v>44</v>
      </c>
      <c r="AE184">
        <v>0</v>
      </c>
      <c r="AF184">
        <v>1</v>
      </c>
      <c r="AG184">
        <v>33.223684210526315</v>
      </c>
    </row>
    <row r="185" spans="1:33">
      <c r="A185" s="1" t="s">
        <v>224</v>
      </c>
      <c r="B185" s="1" t="s">
        <v>2356</v>
      </c>
      <c r="C185" s="2">
        <v>46665</v>
      </c>
      <c r="D185" s="1" t="s">
        <v>34</v>
      </c>
      <c r="E185">
        <v>596</v>
      </c>
      <c r="F185" s="2">
        <v>46081</v>
      </c>
      <c r="G185" s="1" t="s">
        <v>225</v>
      </c>
      <c r="H185" s="1" t="s">
        <v>48</v>
      </c>
      <c r="I185" s="1" t="s">
        <v>37</v>
      </c>
      <c r="J185" s="1" t="s">
        <v>38</v>
      </c>
      <c r="K185" s="1" t="s">
        <v>39</v>
      </c>
      <c r="L185">
        <v>100</v>
      </c>
      <c r="M185">
        <v>51.5</v>
      </c>
      <c r="N185">
        <v>34.9</v>
      </c>
      <c r="O185">
        <v>29.7</v>
      </c>
      <c r="P185">
        <v>5.3379999999999997E-2</v>
      </c>
      <c r="Q185">
        <v>13.17</v>
      </c>
      <c r="R185">
        <v>24.15</v>
      </c>
      <c r="S185">
        <v>4</v>
      </c>
      <c r="T185">
        <v>3</v>
      </c>
      <c r="U185">
        <v>12</v>
      </c>
      <c r="V185">
        <v>104.1</v>
      </c>
      <c r="W185">
        <v>183.04</v>
      </c>
      <c r="X185">
        <v>0.64056000000000002</v>
      </c>
      <c r="Y185">
        <v>5.96</v>
      </c>
      <c r="Z185">
        <v>0.31814480000000001</v>
      </c>
      <c r="AA185">
        <v>0.49666666666666665</v>
      </c>
      <c r="AB185">
        <v>14393.4</v>
      </c>
      <c r="AC185">
        <v>1</v>
      </c>
      <c r="AD185" s="1" t="s">
        <v>40</v>
      </c>
      <c r="AE185">
        <v>1</v>
      </c>
      <c r="AF185">
        <v>0</v>
      </c>
      <c r="AG185">
        <v>19.210526315789476</v>
      </c>
    </row>
    <row r="186" spans="1:33">
      <c r="A186" s="1" t="s">
        <v>224</v>
      </c>
      <c r="B186" s="1" t="s">
        <v>2357</v>
      </c>
      <c r="C186" s="2">
        <v>46647</v>
      </c>
      <c r="D186" s="1" t="s">
        <v>34</v>
      </c>
      <c r="E186">
        <v>1014</v>
      </c>
      <c r="F186" s="2">
        <v>46081</v>
      </c>
      <c r="G186" s="1" t="s">
        <v>225</v>
      </c>
      <c r="H186" s="1" t="s">
        <v>48</v>
      </c>
      <c r="I186" s="1" t="s">
        <v>37</v>
      </c>
      <c r="J186" s="1" t="s">
        <v>38</v>
      </c>
      <c r="K186" s="1" t="s">
        <v>39</v>
      </c>
      <c r="L186">
        <v>100</v>
      </c>
      <c r="M186">
        <v>51.5</v>
      </c>
      <c r="N186">
        <v>34.9</v>
      </c>
      <c r="O186">
        <v>29.7</v>
      </c>
      <c r="P186">
        <v>5.3379999999999997E-2</v>
      </c>
      <c r="Q186">
        <v>13.17</v>
      </c>
      <c r="R186">
        <v>24.15</v>
      </c>
      <c r="S186">
        <v>4</v>
      </c>
      <c r="T186">
        <v>3</v>
      </c>
      <c r="U186">
        <v>12</v>
      </c>
      <c r="V186">
        <v>104.1</v>
      </c>
      <c r="W186">
        <v>183.04</v>
      </c>
      <c r="X186">
        <v>0.64056000000000002</v>
      </c>
      <c r="Y186">
        <v>10.14</v>
      </c>
      <c r="Z186">
        <v>0.54127320000000001</v>
      </c>
      <c r="AA186">
        <v>0.84500000000000008</v>
      </c>
      <c r="AB186">
        <v>24488.1</v>
      </c>
      <c r="AC186">
        <v>1</v>
      </c>
      <c r="AD186" s="1" t="s">
        <v>40</v>
      </c>
      <c r="AE186">
        <v>1</v>
      </c>
      <c r="AF186">
        <v>0</v>
      </c>
      <c r="AG186">
        <v>18.618421052631579</v>
      </c>
    </row>
    <row r="187" spans="1:33">
      <c r="A187" s="1" t="s">
        <v>224</v>
      </c>
      <c r="B187" s="1" t="s">
        <v>2358</v>
      </c>
      <c r="C187" s="2">
        <v>45805</v>
      </c>
      <c r="D187" s="1" t="s">
        <v>73</v>
      </c>
      <c r="E187">
        <v>128</v>
      </c>
      <c r="F187" s="2">
        <v>46081</v>
      </c>
      <c r="G187" s="1" t="s">
        <v>225</v>
      </c>
      <c r="H187" s="1" t="s">
        <v>48</v>
      </c>
      <c r="I187" s="1" t="s">
        <v>37</v>
      </c>
      <c r="J187" s="1" t="s">
        <v>38</v>
      </c>
      <c r="K187" s="1" t="s">
        <v>39</v>
      </c>
      <c r="L187">
        <v>100</v>
      </c>
      <c r="M187">
        <v>51.5</v>
      </c>
      <c r="N187">
        <v>34.9</v>
      </c>
      <c r="O187">
        <v>29.7</v>
      </c>
      <c r="P187">
        <v>5.3379999999999997E-2</v>
      </c>
      <c r="Q187">
        <v>13.17</v>
      </c>
      <c r="R187">
        <v>24.15</v>
      </c>
      <c r="S187">
        <v>4</v>
      </c>
      <c r="T187">
        <v>3</v>
      </c>
      <c r="U187">
        <v>12</v>
      </c>
      <c r="V187">
        <v>104.1</v>
      </c>
      <c r="W187">
        <v>183.04</v>
      </c>
      <c r="X187">
        <v>0.64056000000000002</v>
      </c>
      <c r="Y187">
        <v>1.28</v>
      </c>
      <c r="Z187">
        <v>6.8326399999999995E-2</v>
      </c>
      <c r="AA187">
        <v>0.10666666666666667</v>
      </c>
      <c r="AB187">
        <v>3091.2</v>
      </c>
      <c r="AC187">
        <v>1</v>
      </c>
      <c r="AD187" s="1" t="s">
        <v>74</v>
      </c>
      <c r="AE187">
        <v>0</v>
      </c>
      <c r="AF187">
        <v>0</v>
      </c>
      <c r="AG187">
        <v>-9.0789473684210531</v>
      </c>
    </row>
    <row r="188" spans="1:33">
      <c r="A188" s="1" t="s">
        <v>226</v>
      </c>
      <c r="B188" s="1" t="s">
        <v>2359</v>
      </c>
      <c r="C188" s="2">
        <v>46289</v>
      </c>
      <c r="D188" s="1" t="s">
        <v>34</v>
      </c>
      <c r="E188">
        <v>2155</v>
      </c>
      <c r="F188" s="2">
        <v>46081</v>
      </c>
      <c r="G188" s="1" t="s">
        <v>227</v>
      </c>
      <c r="H188" s="1" t="s">
        <v>43</v>
      </c>
      <c r="I188" s="1" t="s">
        <v>37</v>
      </c>
      <c r="J188" s="1" t="s">
        <v>38</v>
      </c>
      <c r="K188" s="1" t="s">
        <v>39</v>
      </c>
      <c r="L188">
        <v>180</v>
      </c>
      <c r="M188">
        <v>50.7</v>
      </c>
      <c r="N188">
        <v>25.3</v>
      </c>
      <c r="O188">
        <v>15.6</v>
      </c>
      <c r="P188">
        <v>2.001E-2</v>
      </c>
      <c r="Q188">
        <v>5.86</v>
      </c>
      <c r="R188">
        <v>8.11</v>
      </c>
      <c r="S188">
        <v>6</v>
      </c>
      <c r="T188">
        <v>4</v>
      </c>
      <c r="U188">
        <v>24</v>
      </c>
      <c r="V188">
        <v>77.400000000000006</v>
      </c>
      <c r="W188">
        <v>165.64</v>
      </c>
      <c r="X188">
        <v>0.48024</v>
      </c>
      <c r="Y188">
        <v>11.972222222222221</v>
      </c>
      <c r="Z188">
        <v>0.23956416666666666</v>
      </c>
      <c r="AA188">
        <v>0.49884259259259256</v>
      </c>
      <c r="AB188">
        <v>17477.05</v>
      </c>
      <c r="AC188">
        <v>1</v>
      </c>
      <c r="AD188" s="1" t="s">
        <v>44</v>
      </c>
      <c r="AE188">
        <v>0</v>
      </c>
      <c r="AF188">
        <v>1</v>
      </c>
      <c r="AG188">
        <v>6.8421052631578947</v>
      </c>
    </row>
    <row r="189" spans="1:33">
      <c r="A189" s="1" t="s">
        <v>228</v>
      </c>
      <c r="B189" s="1" t="s">
        <v>2360</v>
      </c>
      <c r="C189" s="2">
        <v>46870</v>
      </c>
      <c r="D189" s="1" t="s">
        <v>34</v>
      </c>
      <c r="E189">
        <v>30221</v>
      </c>
      <c r="F189" s="2">
        <v>46081</v>
      </c>
      <c r="G189" s="1" t="s">
        <v>229</v>
      </c>
      <c r="H189" s="1" t="s">
        <v>70</v>
      </c>
      <c r="I189" s="1" t="s">
        <v>37</v>
      </c>
      <c r="J189" s="1" t="s">
        <v>38</v>
      </c>
      <c r="K189" s="1" t="s">
        <v>39</v>
      </c>
      <c r="L189">
        <v>60</v>
      </c>
      <c r="M189">
        <v>43.8</v>
      </c>
      <c r="N189">
        <v>27.8</v>
      </c>
      <c r="O189">
        <v>21.1</v>
      </c>
      <c r="P189">
        <v>2.5690000000000001E-2</v>
      </c>
      <c r="Q189">
        <v>4.2</v>
      </c>
      <c r="R189">
        <v>19.2</v>
      </c>
      <c r="S189">
        <v>8</v>
      </c>
      <c r="T189">
        <v>6</v>
      </c>
      <c r="U189">
        <v>48</v>
      </c>
      <c r="V189">
        <v>141.60000000000002</v>
      </c>
      <c r="W189">
        <v>226.6</v>
      </c>
      <c r="X189">
        <v>1.23312</v>
      </c>
      <c r="Y189">
        <v>503.68333333333334</v>
      </c>
      <c r="Z189">
        <v>12.939624833333333</v>
      </c>
      <c r="AA189">
        <v>10.493402777777778</v>
      </c>
      <c r="AB189">
        <v>580243.19999999995</v>
      </c>
      <c r="AC189">
        <v>11</v>
      </c>
      <c r="AD189" s="1" t="s">
        <v>40</v>
      </c>
      <c r="AE189">
        <v>11</v>
      </c>
      <c r="AF189">
        <v>0</v>
      </c>
      <c r="AG189">
        <v>25.953947368421055</v>
      </c>
    </row>
    <row r="190" spans="1:33">
      <c r="A190" s="1" t="s">
        <v>230</v>
      </c>
      <c r="B190" s="1" t="s">
        <v>2361</v>
      </c>
      <c r="C190" s="2">
        <v>46850</v>
      </c>
      <c r="D190" s="1" t="s">
        <v>34</v>
      </c>
      <c r="E190">
        <v>14179</v>
      </c>
      <c r="F190" s="2">
        <v>46081</v>
      </c>
      <c r="G190" s="1" t="s">
        <v>231</v>
      </c>
      <c r="H190" s="1" t="s">
        <v>36</v>
      </c>
      <c r="I190" s="1" t="s">
        <v>37</v>
      </c>
      <c r="J190" s="1" t="s">
        <v>38</v>
      </c>
      <c r="K190" s="1" t="s">
        <v>39</v>
      </c>
      <c r="L190">
        <v>240</v>
      </c>
      <c r="M190">
        <v>59.1</v>
      </c>
      <c r="N190">
        <v>29.7</v>
      </c>
      <c r="O190">
        <v>19.399999999999999</v>
      </c>
      <c r="P190">
        <v>3.4049999999999997E-2</v>
      </c>
      <c r="Q190">
        <v>5.35</v>
      </c>
      <c r="R190">
        <v>24.57</v>
      </c>
      <c r="S190">
        <v>6</v>
      </c>
      <c r="T190">
        <v>5</v>
      </c>
      <c r="U190">
        <v>30</v>
      </c>
      <c r="V190">
        <v>112</v>
      </c>
      <c r="W190">
        <v>185.5</v>
      </c>
      <c r="X190">
        <v>1.0215000000000001</v>
      </c>
      <c r="Y190">
        <v>59.079166666666666</v>
      </c>
      <c r="Z190">
        <v>2.0116456249999999</v>
      </c>
      <c r="AA190">
        <v>1.9693055555555554</v>
      </c>
      <c r="AB190">
        <v>348378.03</v>
      </c>
      <c r="AC190">
        <v>2</v>
      </c>
      <c r="AD190" s="1" t="s">
        <v>40</v>
      </c>
      <c r="AE190">
        <v>2</v>
      </c>
      <c r="AF190">
        <v>0</v>
      </c>
      <c r="AG190">
        <v>25.296052631578949</v>
      </c>
    </row>
    <row r="191" spans="1:33">
      <c r="A191" s="1" t="s">
        <v>232</v>
      </c>
      <c r="B191" s="1" t="s">
        <v>2362</v>
      </c>
      <c r="C191" s="2">
        <v>46847</v>
      </c>
      <c r="D191" s="1" t="s">
        <v>34</v>
      </c>
      <c r="E191">
        <v>49146</v>
      </c>
      <c r="F191" s="2">
        <v>46081</v>
      </c>
      <c r="G191" s="1" t="s">
        <v>233</v>
      </c>
      <c r="H191" s="1" t="s">
        <v>52</v>
      </c>
      <c r="I191" s="1" t="s">
        <v>37</v>
      </c>
      <c r="J191" s="1" t="s">
        <v>38</v>
      </c>
      <c r="K191" s="1" t="s">
        <v>39</v>
      </c>
      <c r="L191">
        <v>60</v>
      </c>
      <c r="M191">
        <v>51.7</v>
      </c>
      <c r="N191">
        <v>35.299999999999997</v>
      </c>
      <c r="O191">
        <v>18.2</v>
      </c>
      <c r="P191">
        <v>3.322E-2</v>
      </c>
      <c r="Q191">
        <v>6.62</v>
      </c>
      <c r="R191">
        <v>20.170000000000002</v>
      </c>
      <c r="S191">
        <v>4</v>
      </c>
      <c r="T191">
        <v>6</v>
      </c>
      <c r="U191">
        <v>24</v>
      </c>
      <c r="V191">
        <v>124.2</v>
      </c>
      <c r="W191">
        <v>183.88</v>
      </c>
      <c r="X191">
        <v>0.79727999999999999</v>
      </c>
      <c r="Y191">
        <v>819.1</v>
      </c>
      <c r="Z191">
        <v>27.210502000000002</v>
      </c>
      <c r="AA191">
        <v>34.12916666666667</v>
      </c>
      <c r="AB191">
        <v>991274.82000000007</v>
      </c>
      <c r="AC191">
        <v>35</v>
      </c>
      <c r="AD191" s="1" t="s">
        <v>40</v>
      </c>
      <c r="AE191">
        <v>35</v>
      </c>
      <c r="AF191">
        <v>0</v>
      </c>
      <c r="AG191">
        <v>25.197368421052634</v>
      </c>
    </row>
    <row r="192" spans="1:33">
      <c r="A192" s="1" t="s">
        <v>234</v>
      </c>
      <c r="B192" s="1" t="s">
        <v>2363</v>
      </c>
      <c r="C192" s="2">
        <v>46458</v>
      </c>
      <c r="D192" s="1" t="s">
        <v>34</v>
      </c>
      <c r="E192">
        <v>1638</v>
      </c>
      <c r="F192" s="2">
        <v>46081</v>
      </c>
      <c r="G192" s="1" t="s">
        <v>235</v>
      </c>
      <c r="H192" s="1" t="s">
        <v>48</v>
      </c>
      <c r="I192" s="1" t="s">
        <v>37</v>
      </c>
      <c r="J192" s="1" t="s">
        <v>38</v>
      </c>
      <c r="K192" s="1" t="s">
        <v>39</v>
      </c>
      <c r="L192">
        <v>180</v>
      </c>
      <c r="M192">
        <v>54.5</v>
      </c>
      <c r="N192">
        <v>25.4</v>
      </c>
      <c r="O192">
        <v>26</v>
      </c>
      <c r="P192">
        <v>3.5990000000000001E-2</v>
      </c>
      <c r="Q192">
        <v>7.02</v>
      </c>
      <c r="R192">
        <v>17.14</v>
      </c>
      <c r="S192">
        <v>6</v>
      </c>
      <c r="T192">
        <v>2</v>
      </c>
      <c r="U192">
        <v>12</v>
      </c>
      <c r="V192">
        <v>67</v>
      </c>
      <c r="W192">
        <v>109.24</v>
      </c>
      <c r="X192">
        <v>0.43187999999999999</v>
      </c>
      <c r="Y192">
        <v>9.1</v>
      </c>
      <c r="Z192">
        <v>0.32750899999999999</v>
      </c>
      <c r="AA192">
        <v>0.7583333333333333</v>
      </c>
      <c r="AB192">
        <v>28075.32</v>
      </c>
      <c r="AC192">
        <v>1</v>
      </c>
      <c r="AD192" s="1" t="s">
        <v>40</v>
      </c>
      <c r="AE192">
        <v>1</v>
      </c>
      <c r="AF192">
        <v>0</v>
      </c>
      <c r="AG192">
        <v>12.401315789473685</v>
      </c>
    </row>
    <row r="193" spans="1:33">
      <c r="A193" s="1" t="s">
        <v>236</v>
      </c>
      <c r="B193" s="1" t="s">
        <v>2364</v>
      </c>
      <c r="C193" s="2">
        <v>46839</v>
      </c>
      <c r="D193" s="1" t="s">
        <v>34</v>
      </c>
      <c r="E193">
        <v>35</v>
      </c>
      <c r="F193" s="2">
        <v>46081</v>
      </c>
      <c r="G193" s="1" t="s">
        <v>237</v>
      </c>
      <c r="H193" s="1" t="s">
        <v>43</v>
      </c>
      <c r="I193" s="1" t="s">
        <v>37</v>
      </c>
      <c r="J193" s="1" t="s">
        <v>38</v>
      </c>
      <c r="K193" s="1" t="s">
        <v>39</v>
      </c>
      <c r="L193">
        <v>100</v>
      </c>
      <c r="M193">
        <v>57.1</v>
      </c>
      <c r="N193">
        <v>37.799999999999997</v>
      </c>
      <c r="O193">
        <v>26.2</v>
      </c>
      <c r="P193">
        <v>5.6550000000000003E-2</v>
      </c>
      <c r="Q193">
        <v>15.26</v>
      </c>
      <c r="R193">
        <v>5.13</v>
      </c>
      <c r="S193">
        <v>4</v>
      </c>
      <c r="T193">
        <v>5</v>
      </c>
      <c r="U193">
        <v>20</v>
      </c>
      <c r="V193">
        <v>146</v>
      </c>
      <c r="W193">
        <v>330.2</v>
      </c>
      <c r="X193">
        <v>1.131</v>
      </c>
      <c r="Y193">
        <v>0.35</v>
      </c>
      <c r="Z193">
        <v>1.9792500000000001E-2</v>
      </c>
      <c r="AA193">
        <v>1.7499999999999998E-2</v>
      </c>
      <c r="AB193">
        <v>179.54999999999998</v>
      </c>
      <c r="AC193">
        <v>1</v>
      </c>
      <c r="AD193" s="1" t="s">
        <v>44</v>
      </c>
      <c r="AE193">
        <v>0</v>
      </c>
      <c r="AF193">
        <v>1</v>
      </c>
      <c r="AG193">
        <v>24.934210526315791</v>
      </c>
    </row>
    <row r="194" spans="1:33">
      <c r="A194" s="1" t="s">
        <v>236</v>
      </c>
      <c r="B194" s="1" t="s">
        <v>2365</v>
      </c>
      <c r="C194" s="2">
        <v>46835</v>
      </c>
      <c r="D194" s="1" t="s">
        <v>34</v>
      </c>
      <c r="E194">
        <v>1951</v>
      </c>
      <c r="F194" s="2">
        <v>46081</v>
      </c>
      <c r="G194" s="1" t="s">
        <v>237</v>
      </c>
      <c r="H194" s="1" t="s">
        <v>43</v>
      </c>
      <c r="I194" s="1" t="s">
        <v>37</v>
      </c>
      <c r="J194" s="1" t="s">
        <v>38</v>
      </c>
      <c r="K194" s="1" t="s">
        <v>39</v>
      </c>
      <c r="L194">
        <v>100</v>
      </c>
      <c r="M194">
        <v>57.1</v>
      </c>
      <c r="N194">
        <v>37.799999999999997</v>
      </c>
      <c r="O194">
        <v>26.2</v>
      </c>
      <c r="P194">
        <v>5.6550000000000003E-2</v>
      </c>
      <c r="Q194">
        <v>15.26</v>
      </c>
      <c r="R194">
        <v>5.13</v>
      </c>
      <c r="S194">
        <v>4</v>
      </c>
      <c r="T194">
        <v>5</v>
      </c>
      <c r="U194">
        <v>20</v>
      </c>
      <c r="V194">
        <v>146</v>
      </c>
      <c r="W194">
        <v>330.2</v>
      </c>
      <c r="X194">
        <v>1.131</v>
      </c>
      <c r="Y194">
        <v>19.510000000000002</v>
      </c>
      <c r="Z194">
        <v>1.1032905000000002</v>
      </c>
      <c r="AA194">
        <v>0.97550000000000003</v>
      </c>
      <c r="AB194">
        <v>10008.629999999999</v>
      </c>
      <c r="AC194">
        <v>1</v>
      </c>
      <c r="AD194" s="1" t="s">
        <v>40</v>
      </c>
      <c r="AE194">
        <v>1</v>
      </c>
      <c r="AF194">
        <v>0</v>
      </c>
      <c r="AG194">
        <v>24.80263157894737</v>
      </c>
    </row>
    <row r="195" spans="1:33">
      <c r="A195" s="1" t="s">
        <v>236</v>
      </c>
      <c r="B195" s="1" t="s">
        <v>2366</v>
      </c>
      <c r="C195" s="2">
        <v>45895</v>
      </c>
      <c r="D195" s="1" t="s">
        <v>73</v>
      </c>
      <c r="E195">
        <v>158</v>
      </c>
      <c r="F195" s="2">
        <v>46081</v>
      </c>
      <c r="G195" s="1" t="s">
        <v>237</v>
      </c>
      <c r="H195" s="1" t="s">
        <v>43</v>
      </c>
      <c r="I195" s="1" t="s">
        <v>37</v>
      </c>
      <c r="J195" s="1" t="s">
        <v>38</v>
      </c>
      <c r="K195" s="1" t="s">
        <v>39</v>
      </c>
      <c r="L195">
        <v>100</v>
      </c>
      <c r="M195">
        <v>57.1</v>
      </c>
      <c r="N195">
        <v>37.799999999999997</v>
      </c>
      <c r="O195">
        <v>26.2</v>
      </c>
      <c r="P195">
        <v>5.6550000000000003E-2</v>
      </c>
      <c r="Q195">
        <v>15.26</v>
      </c>
      <c r="R195">
        <v>5.13</v>
      </c>
      <c r="S195">
        <v>4</v>
      </c>
      <c r="T195">
        <v>5</v>
      </c>
      <c r="U195">
        <v>20</v>
      </c>
      <c r="V195">
        <v>146</v>
      </c>
      <c r="W195">
        <v>330.2</v>
      </c>
      <c r="X195">
        <v>1.131</v>
      </c>
      <c r="Y195">
        <v>1.58</v>
      </c>
      <c r="Z195">
        <v>8.9349000000000012E-2</v>
      </c>
      <c r="AA195">
        <v>7.9000000000000001E-2</v>
      </c>
      <c r="AB195">
        <v>810.54</v>
      </c>
      <c r="AC195">
        <v>1</v>
      </c>
      <c r="AD195" s="1" t="s">
        <v>74</v>
      </c>
      <c r="AE195">
        <v>0</v>
      </c>
      <c r="AF195">
        <v>0</v>
      </c>
      <c r="AG195">
        <v>-6.1184210526315796</v>
      </c>
    </row>
    <row r="196" spans="1:33">
      <c r="A196" s="1" t="s">
        <v>238</v>
      </c>
      <c r="B196" s="1" t="s">
        <v>2367</v>
      </c>
      <c r="C196" s="2">
        <v>46825</v>
      </c>
      <c r="D196" s="1" t="s">
        <v>34</v>
      </c>
      <c r="E196">
        <v>1359</v>
      </c>
      <c r="F196" s="2">
        <v>46081</v>
      </c>
      <c r="G196" s="1" t="s">
        <v>239</v>
      </c>
      <c r="H196" s="1" t="s">
        <v>48</v>
      </c>
      <c r="I196" s="1" t="s">
        <v>37</v>
      </c>
      <c r="J196" s="1" t="s">
        <v>38</v>
      </c>
      <c r="K196" s="1" t="s">
        <v>39</v>
      </c>
      <c r="L196">
        <v>240</v>
      </c>
      <c r="M196">
        <v>58.2</v>
      </c>
      <c r="N196">
        <v>43.9</v>
      </c>
      <c r="O196">
        <v>27.8</v>
      </c>
      <c r="P196">
        <v>7.1029999999999996E-2</v>
      </c>
      <c r="Q196">
        <v>18.510000000000002</v>
      </c>
      <c r="R196">
        <v>5.26</v>
      </c>
      <c r="S196">
        <v>4</v>
      </c>
      <c r="T196">
        <v>4</v>
      </c>
      <c r="U196">
        <v>16</v>
      </c>
      <c r="V196">
        <v>126.2</v>
      </c>
      <c r="W196">
        <v>321.16000000000003</v>
      </c>
      <c r="X196">
        <v>1.1364799999999999</v>
      </c>
      <c r="Y196">
        <v>5.6624999999999996</v>
      </c>
      <c r="Z196">
        <v>0.40220737499999998</v>
      </c>
      <c r="AA196">
        <v>0.35390624999999998</v>
      </c>
      <c r="AB196">
        <v>7148.34</v>
      </c>
      <c r="AC196">
        <v>1</v>
      </c>
      <c r="AD196" s="1" t="s">
        <v>40</v>
      </c>
      <c r="AE196">
        <v>1</v>
      </c>
      <c r="AF196">
        <v>0</v>
      </c>
      <c r="AG196">
        <v>24.473684210526319</v>
      </c>
    </row>
    <row r="197" spans="1:33">
      <c r="A197" s="1" t="s">
        <v>238</v>
      </c>
      <c r="B197" s="1" t="s">
        <v>2368</v>
      </c>
      <c r="C197" s="2">
        <v>46398</v>
      </c>
      <c r="D197" s="1" t="s">
        <v>34</v>
      </c>
      <c r="E197">
        <v>750</v>
      </c>
      <c r="F197" s="2">
        <v>46081</v>
      </c>
      <c r="G197" s="1" t="s">
        <v>239</v>
      </c>
      <c r="H197" s="1" t="s">
        <v>48</v>
      </c>
      <c r="I197" s="1" t="s">
        <v>37</v>
      </c>
      <c r="J197" s="1" t="s">
        <v>38</v>
      </c>
      <c r="K197" s="1" t="s">
        <v>39</v>
      </c>
      <c r="L197">
        <v>240</v>
      </c>
      <c r="M197">
        <v>58.2</v>
      </c>
      <c r="N197">
        <v>43.9</v>
      </c>
      <c r="O197">
        <v>27.8</v>
      </c>
      <c r="P197">
        <v>7.1029999999999996E-2</v>
      </c>
      <c r="Q197">
        <v>18.510000000000002</v>
      </c>
      <c r="R197">
        <v>5.26</v>
      </c>
      <c r="S197">
        <v>4</v>
      </c>
      <c r="T197">
        <v>4</v>
      </c>
      <c r="U197">
        <v>16</v>
      </c>
      <c r="V197">
        <v>126.2</v>
      </c>
      <c r="W197">
        <v>321.16000000000003</v>
      </c>
      <c r="X197">
        <v>1.1364799999999999</v>
      </c>
      <c r="Y197">
        <v>3.125</v>
      </c>
      <c r="Z197">
        <v>0.22196874999999999</v>
      </c>
      <c r="AA197">
        <v>0.1953125</v>
      </c>
      <c r="AB197">
        <v>3945</v>
      </c>
      <c r="AC197">
        <v>1</v>
      </c>
      <c r="AD197" s="1" t="s">
        <v>44</v>
      </c>
      <c r="AE197">
        <v>0</v>
      </c>
      <c r="AF197">
        <v>1</v>
      </c>
      <c r="AG197">
        <v>10.427631578947368</v>
      </c>
    </row>
    <row r="198" spans="1:33">
      <c r="A198" s="1" t="s">
        <v>238</v>
      </c>
      <c r="B198" s="1" t="s">
        <v>2369</v>
      </c>
      <c r="C198" s="2">
        <v>46190</v>
      </c>
      <c r="D198" s="1" t="s">
        <v>34</v>
      </c>
      <c r="E198">
        <v>18</v>
      </c>
      <c r="F198" s="2">
        <v>46081</v>
      </c>
      <c r="G198" s="1" t="s">
        <v>239</v>
      </c>
      <c r="H198" s="1" t="s">
        <v>48</v>
      </c>
      <c r="I198" s="1" t="s">
        <v>37</v>
      </c>
      <c r="J198" s="1" t="s">
        <v>38</v>
      </c>
      <c r="K198" s="1" t="s">
        <v>39</v>
      </c>
      <c r="L198">
        <v>240</v>
      </c>
      <c r="M198">
        <v>58.2</v>
      </c>
      <c r="N198">
        <v>43.9</v>
      </c>
      <c r="O198">
        <v>27.8</v>
      </c>
      <c r="P198">
        <v>7.1029999999999996E-2</v>
      </c>
      <c r="Q198">
        <v>18.510000000000002</v>
      </c>
      <c r="R198">
        <v>5.26</v>
      </c>
      <c r="S198">
        <v>4</v>
      </c>
      <c r="T198">
        <v>4</v>
      </c>
      <c r="U198">
        <v>16</v>
      </c>
      <c r="V198">
        <v>126.2</v>
      </c>
      <c r="W198">
        <v>321.16000000000003</v>
      </c>
      <c r="X198">
        <v>1.1364799999999999</v>
      </c>
      <c r="Y198">
        <v>7.4999999999999997E-2</v>
      </c>
      <c r="Z198">
        <v>5.3272499999999995E-3</v>
      </c>
      <c r="AA198">
        <v>4.6874999999999998E-3</v>
      </c>
      <c r="AB198">
        <v>94.679999999999993</v>
      </c>
      <c r="AC198">
        <v>1</v>
      </c>
      <c r="AD198" s="1" t="s">
        <v>44</v>
      </c>
      <c r="AE198">
        <v>0</v>
      </c>
      <c r="AF198">
        <v>1</v>
      </c>
      <c r="AG198">
        <v>3.5855263157894739</v>
      </c>
    </row>
    <row r="199" spans="1:33">
      <c r="A199" s="1" t="s">
        <v>240</v>
      </c>
      <c r="B199" s="1" t="s">
        <v>2370</v>
      </c>
      <c r="C199" s="2">
        <v>46840</v>
      </c>
      <c r="D199" s="1" t="s">
        <v>34</v>
      </c>
      <c r="E199">
        <v>2600</v>
      </c>
      <c r="F199" s="2">
        <v>46081</v>
      </c>
      <c r="G199" s="1" t="s">
        <v>241</v>
      </c>
      <c r="H199" s="1" t="s">
        <v>43</v>
      </c>
      <c r="I199" s="1" t="s">
        <v>37</v>
      </c>
      <c r="J199" s="1" t="s">
        <v>38</v>
      </c>
      <c r="K199" s="1" t="s">
        <v>39</v>
      </c>
      <c r="L199">
        <v>180</v>
      </c>
      <c r="M199">
        <v>48.3</v>
      </c>
      <c r="N199">
        <v>41.3</v>
      </c>
      <c r="O199">
        <v>19.600000000000001</v>
      </c>
      <c r="P199">
        <v>3.9100000000000003E-2</v>
      </c>
      <c r="Q199">
        <v>10.58</v>
      </c>
      <c r="R199">
        <v>4.22</v>
      </c>
      <c r="S199">
        <v>4</v>
      </c>
      <c r="T199">
        <v>6</v>
      </c>
      <c r="U199">
        <v>24</v>
      </c>
      <c r="V199">
        <v>132.60000000000002</v>
      </c>
      <c r="W199">
        <v>278.92</v>
      </c>
      <c r="X199">
        <v>0.93840000000000001</v>
      </c>
      <c r="Y199">
        <v>14.444444444444445</v>
      </c>
      <c r="Z199">
        <v>0.56477777777777782</v>
      </c>
      <c r="AA199">
        <v>0.60185185185185186</v>
      </c>
      <c r="AB199">
        <v>10972</v>
      </c>
      <c r="AC199">
        <v>1</v>
      </c>
      <c r="AD199" s="1" t="s">
        <v>40</v>
      </c>
      <c r="AE199">
        <v>1</v>
      </c>
      <c r="AF199">
        <v>0</v>
      </c>
      <c r="AG199">
        <v>24.967105263157897</v>
      </c>
    </row>
    <row r="200" spans="1:33">
      <c r="A200" s="1" t="s">
        <v>242</v>
      </c>
      <c r="B200" s="1" t="s">
        <v>1266</v>
      </c>
      <c r="C200" s="2">
        <v>46294</v>
      </c>
      <c r="D200" s="1" t="s">
        <v>34</v>
      </c>
      <c r="E200">
        <v>4937</v>
      </c>
      <c r="F200" s="2">
        <v>46081</v>
      </c>
      <c r="G200" s="1" t="s">
        <v>243</v>
      </c>
      <c r="H200" s="1" t="s">
        <v>43</v>
      </c>
      <c r="I200" s="1" t="s">
        <v>37</v>
      </c>
      <c r="J200" s="1" t="s">
        <v>38</v>
      </c>
      <c r="K200" s="1" t="s">
        <v>39</v>
      </c>
      <c r="L200">
        <v>180</v>
      </c>
      <c r="M200">
        <v>51.1</v>
      </c>
      <c r="N200">
        <v>36.5</v>
      </c>
      <c r="O200">
        <v>29.2</v>
      </c>
      <c r="P200">
        <v>5.4460000000000001E-2</v>
      </c>
      <c r="Q200">
        <v>14.9</v>
      </c>
      <c r="R200">
        <v>2.21</v>
      </c>
      <c r="S200">
        <v>4</v>
      </c>
      <c r="T200">
        <v>3</v>
      </c>
      <c r="U200">
        <v>12</v>
      </c>
      <c r="V200">
        <v>102.6</v>
      </c>
      <c r="W200">
        <v>203.8</v>
      </c>
      <c r="X200">
        <v>0.65351999999999999</v>
      </c>
      <c r="Y200">
        <v>27.427777777777777</v>
      </c>
      <c r="Z200">
        <v>1.4937167777777778</v>
      </c>
      <c r="AA200">
        <v>2.2856481481481481</v>
      </c>
      <c r="AB200">
        <v>10910.77</v>
      </c>
      <c r="AC200">
        <v>3</v>
      </c>
      <c r="AD200" s="1" t="s">
        <v>40</v>
      </c>
      <c r="AE200">
        <v>3</v>
      </c>
      <c r="AF200">
        <v>0</v>
      </c>
      <c r="AG200">
        <v>7.0065789473684212</v>
      </c>
    </row>
    <row r="201" spans="1:33">
      <c r="A201" s="1" t="s">
        <v>242</v>
      </c>
      <c r="B201" s="1" t="s">
        <v>1267</v>
      </c>
      <c r="C201" s="2">
        <v>46225</v>
      </c>
      <c r="D201" s="1" t="s">
        <v>34</v>
      </c>
      <c r="E201">
        <v>519</v>
      </c>
      <c r="F201" s="2">
        <v>46081</v>
      </c>
      <c r="G201" s="1" t="s">
        <v>243</v>
      </c>
      <c r="H201" s="1" t="s">
        <v>43</v>
      </c>
      <c r="I201" s="1" t="s">
        <v>37</v>
      </c>
      <c r="J201" s="1" t="s">
        <v>38</v>
      </c>
      <c r="K201" s="1" t="s">
        <v>39</v>
      </c>
      <c r="L201">
        <v>180</v>
      </c>
      <c r="M201">
        <v>51.1</v>
      </c>
      <c r="N201">
        <v>36.5</v>
      </c>
      <c r="O201">
        <v>29.2</v>
      </c>
      <c r="P201">
        <v>5.4460000000000001E-2</v>
      </c>
      <c r="Q201">
        <v>14.9</v>
      </c>
      <c r="R201">
        <v>2.21</v>
      </c>
      <c r="S201">
        <v>4</v>
      </c>
      <c r="T201">
        <v>3</v>
      </c>
      <c r="U201">
        <v>12</v>
      </c>
      <c r="V201">
        <v>102.6</v>
      </c>
      <c r="W201">
        <v>203.8</v>
      </c>
      <c r="X201">
        <v>0.65351999999999999</v>
      </c>
      <c r="Y201">
        <v>2.8833333333333333</v>
      </c>
      <c r="Z201">
        <v>0.15702633333333332</v>
      </c>
      <c r="AA201">
        <v>0.24027777777777778</v>
      </c>
      <c r="AB201">
        <v>1146.99</v>
      </c>
      <c r="AC201">
        <v>1</v>
      </c>
      <c r="AD201" s="1" t="s">
        <v>44</v>
      </c>
      <c r="AE201">
        <v>0</v>
      </c>
      <c r="AF201">
        <v>1</v>
      </c>
      <c r="AG201">
        <v>4.7368421052631584</v>
      </c>
    </row>
    <row r="202" spans="1:33">
      <c r="A202" s="1" t="s">
        <v>242</v>
      </c>
      <c r="B202" s="1" t="s">
        <v>1268</v>
      </c>
      <c r="C202" s="2">
        <v>47004</v>
      </c>
      <c r="D202" s="1" t="s">
        <v>34</v>
      </c>
      <c r="E202">
        <v>3010</v>
      </c>
      <c r="F202" s="2">
        <v>46081</v>
      </c>
      <c r="G202" s="1" t="s">
        <v>243</v>
      </c>
      <c r="H202" s="1" t="s">
        <v>43</v>
      </c>
      <c r="I202" s="1" t="s">
        <v>37</v>
      </c>
      <c r="J202" s="1" t="s">
        <v>38</v>
      </c>
      <c r="K202" s="1" t="s">
        <v>39</v>
      </c>
      <c r="L202">
        <v>180</v>
      </c>
      <c r="M202">
        <v>51.1</v>
      </c>
      <c r="N202">
        <v>36.5</v>
      </c>
      <c r="O202">
        <v>29.2</v>
      </c>
      <c r="P202">
        <v>5.4460000000000001E-2</v>
      </c>
      <c r="Q202">
        <v>14.9</v>
      </c>
      <c r="R202">
        <v>2.21</v>
      </c>
      <c r="S202">
        <v>4</v>
      </c>
      <c r="T202">
        <v>3</v>
      </c>
      <c r="U202">
        <v>12</v>
      </c>
      <c r="V202">
        <v>102.6</v>
      </c>
      <c r="W202">
        <v>203.8</v>
      </c>
      <c r="X202">
        <v>0.65351999999999999</v>
      </c>
      <c r="Y202">
        <v>16.722222222222221</v>
      </c>
      <c r="Z202">
        <v>0.91069222222222224</v>
      </c>
      <c r="AA202">
        <v>1.3935185185185184</v>
      </c>
      <c r="AB202">
        <v>6652.0999999999995</v>
      </c>
      <c r="AC202">
        <v>2</v>
      </c>
      <c r="AD202" s="1" t="s">
        <v>40</v>
      </c>
      <c r="AE202">
        <v>2</v>
      </c>
      <c r="AF202">
        <v>0</v>
      </c>
      <c r="AG202">
        <v>30.361842105263161</v>
      </c>
    </row>
    <row r="203" spans="1:33">
      <c r="A203" s="1" t="s">
        <v>244</v>
      </c>
      <c r="B203" s="1" t="s">
        <v>1269</v>
      </c>
      <c r="C203" s="2">
        <v>46967</v>
      </c>
      <c r="D203" s="1" t="s">
        <v>34</v>
      </c>
      <c r="E203">
        <v>10778</v>
      </c>
      <c r="F203" s="2">
        <v>46081</v>
      </c>
      <c r="G203" s="1" t="s">
        <v>245</v>
      </c>
      <c r="H203" s="1" t="s">
        <v>52</v>
      </c>
      <c r="I203" s="1" t="s">
        <v>37</v>
      </c>
      <c r="J203" s="1" t="s">
        <v>38</v>
      </c>
      <c r="K203" s="1" t="s">
        <v>39</v>
      </c>
      <c r="L203">
        <v>60</v>
      </c>
      <c r="M203">
        <v>51.6</v>
      </c>
      <c r="N203">
        <v>31.1</v>
      </c>
      <c r="O203">
        <v>22.6</v>
      </c>
      <c r="P203">
        <v>3.6269999999999997E-2</v>
      </c>
      <c r="Q203">
        <v>8.34</v>
      </c>
      <c r="R203">
        <v>16.170000000000002</v>
      </c>
      <c r="S203">
        <v>6</v>
      </c>
      <c r="T203">
        <v>5</v>
      </c>
      <c r="U203">
        <v>30</v>
      </c>
      <c r="V203">
        <v>128</v>
      </c>
      <c r="W203">
        <v>275.2</v>
      </c>
      <c r="X203">
        <v>1.0880999999999998</v>
      </c>
      <c r="Y203">
        <v>179.63333333333333</v>
      </c>
      <c r="Z203">
        <v>6.5153009999999991</v>
      </c>
      <c r="AA203">
        <v>5.9877777777777776</v>
      </c>
      <c r="AB203">
        <v>174280.26</v>
      </c>
      <c r="AC203">
        <v>6</v>
      </c>
      <c r="AD203" s="1" t="s">
        <v>40</v>
      </c>
      <c r="AE203">
        <v>6</v>
      </c>
      <c r="AF203">
        <v>0</v>
      </c>
      <c r="AG203">
        <v>29.144736842105264</v>
      </c>
    </row>
    <row r="204" spans="1:33">
      <c r="A204" s="1" t="s">
        <v>244</v>
      </c>
      <c r="B204" s="1" t="s">
        <v>1270</v>
      </c>
      <c r="C204" s="2">
        <v>47103</v>
      </c>
      <c r="D204" s="1" t="s">
        <v>34</v>
      </c>
      <c r="E204">
        <v>4735</v>
      </c>
      <c r="F204" s="2">
        <v>46081</v>
      </c>
      <c r="G204" s="1" t="s">
        <v>245</v>
      </c>
      <c r="H204" s="1" t="s">
        <v>52</v>
      </c>
      <c r="I204" s="1" t="s">
        <v>37</v>
      </c>
      <c r="J204" s="1" t="s">
        <v>38</v>
      </c>
      <c r="K204" s="1" t="s">
        <v>39</v>
      </c>
      <c r="L204">
        <v>60</v>
      </c>
      <c r="M204">
        <v>51.6</v>
      </c>
      <c r="N204">
        <v>31.1</v>
      </c>
      <c r="O204">
        <v>22.6</v>
      </c>
      <c r="P204">
        <v>3.6269999999999997E-2</v>
      </c>
      <c r="Q204">
        <v>8.34</v>
      </c>
      <c r="R204">
        <v>16.170000000000002</v>
      </c>
      <c r="S204">
        <v>6</v>
      </c>
      <c r="T204">
        <v>5</v>
      </c>
      <c r="U204">
        <v>30</v>
      </c>
      <c r="V204">
        <v>128</v>
      </c>
      <c r="W204">
        <v>275.2</v>
      </c>
      <c r="X204">
        <v>1.0880999999999998</v>
      </c>
      <c r="Y204">
        <v>78.916666666666671</v>
      </c>
      <c r="Z204">
        <v>2.8623075</v>
      </c>
      <c r="AA204">
        <v>2.6305555555555555</v>
      </c>
      <c r="AB204">
        <v>76564.950000000012</v>
      </c>
      <c r="AC204">
        <v>3</v>
      </c>
      <c r="AD204" s="1" t="s">
        <v>40</v>
      </c>
      <c r="AE204">
        <v>3</v>
      </c>
      <c r="AF204">
        <v>0</v>
      </c>
      <c r="AG204">
        <v>33.618421052631582</v>
      </c>
    </row>
    <row r="205" spans="1:33">
      <c r="A205" s="1" t="s">
        <v>244</v>
      </c>
      <c r="B205" s="1" t="s">
        <v>1271</v>
      </c>
      <c r="C205" s="2">
        <v>46731</v>
      </c>
      <c r="D205" s="1" t="s">
        <v>49</v>
      </c>
      <c r="E205">
        <v>775</v>
      </c>
      <c r="F205" s="2">
        <v>46081</v>
      </c>
      <c r="G205" s="1" t="s">
        <v>245</v>
      </c>
      <c r="H205" s="1" t="s">
        <v>52</v>
      </c>
      <c r="I205" s="1" t="s">
        <v>37</v>
      </c>
      <c r="J205" s="1" t="s">
        <v>38</v>
      </c>
      <c r="K205" s="1" t="s">
        <v>39</v>
      </c>
      <c r="L205">
        <v>60</v>
      </c>
      <c r="M205">
        <v>51.6</v>
      </c>
      <c r="N205">
        <v>31.1</v>
      </c>
      <c r="O205">
        <v>22.6</v>
      </c>
      <c r="P205">
        <v>3.6269999999999997E-2</v>
      </c>
      <c r="Q205">
        <v>8.34</v>
      </c>
      <c r="R205">
        <v>16.170000000000002</v>
      </c>
      <c r="S205">
        <v>6</v>
      </c>
      <c r="T205">
        <v>5</v>
      </c>
      <c r="U205">
        <v>30</v>
      </c>
      <c r="V205">
        <v>128</v>
      </c>
      <c r="W205">
        <v>275.2</v>
      </c>
      <c r="X205">
        <v>1.0880999999999998</v>
      </c>
      <c r="Y205">
        <v>12.916666666666666</v>
      </c>
      <c r="Z205">
        <v>0.46848749999999995</v>
      </c>
      <c r="AA205">
        <v>0.43055555555555552</v>
      </c>
      <c r="AB205">
        <v>12531.750000000002</v>
      </c>
      <c r="AC205">
        <v>1</v>
      </c>
      <c r="AD205" s="1" t="s">
        <v>40</v>
      </c>
      <c r="AE205">
        <v>1</v>
      </c>
      <c r="AF205">
        <v>0</v>
      </c>
      <c r="AG205">
        <v>21.381578947368421</v>
      </c>
    </row>
    <row r="206" spans="1:33">
      <c r="A206" s="1" t="s">
        <v>246</v>
      </c>
      <c r="B206" s="1" t="s">
        <v>1272</v>
      </c>
      <c r="C206" s="2">
        <v>46831</v>
      </c>
      <c r="D206" s="1" t="s">
        <v>34</v>
      </c>
      <c r="E206">
        <v>514</v>
      </c>
      <c r="F206" s="2">
        <v>46081</v>
      </c>
      <c r="G206" s="1" t="s">
        <v>247</v>
      </c>
      <c r="H206" s="1" t="s">
        <v>48</v>
      </c>
      <c r="I206" s="1" t="s">
        <v>37</v>
      </c>
      <c r="J206" s="1" t="s">
        <v>38</v>
      </c>
      <c r="K206" s="1" t="s">
        <v>39</v>
      </c>
      <c r="L206">
        <v>60</v>
      </c>
      <c r="M206">
        <v>30.3</v>
      </c>
      <c r="N206">
        <v>38.799999999999997</v>
      </c>
      <c r="O206">
        <v>34</v>
      </c>
      <c r="P206">
        <v>3.9969999999999999E-2</v>
      </c>
      <c r="Q206">
        <v>9.27</v>
      </c>
      <c r="R206">
        <v>7.64</v>
      </c>
      <c r="S206">
        <v>9</v>
      </c>
      <c r="T206">
        <v>3</v>
      </c>
      <c r="U206">
        <v>27</v>
      </c>
      <c r="V206">
        <v>117</v>
      </c>
      <c r="W206">
        <v>275.29000000000002</v>
      </c>
      <c r="X206">
        <v>1.0791900000000001</v>
      </c>
      <c r="Y206">
        <v>8.5666666666666664</v>
      </c>
      <c r="Z206">
        <v>0.34240966666666667</v>
      </c>
      <c r="AA206">
        <v>0.31728395061728393</v>
      </c>
      <c r="AB206">
        <v>3926.96</v>
      </c>
      <c r="AC206">
        <v>1</v>
      </c>
      <c r="AD206" s="1" t="s">
        <v>40</v>
      </c>
      <c r="AE206">
        <v>1</v>
      </c>
      <c r="AF206">
        <v>0</v>
      </c>
      <c r="AG206">
        <v>24.671052631578949</v>
      </c>
    </row>
    <row r="207" spans="1:33">
      <c r="A207" s="1" t="s">
        <v>248</v>
      </c>
      <c r="B207" s="1" t="s">
        <v>1273</v>
      </c>
      <c r="C207" s="2">
        <v>46470</v>
      </c>
      <c r="D207" s="1" t="s">
        <v>34</v>
      </c>
      <c r="E207">
        <v>690</v>
      </c>
      <c r="F207" s="2">
        <v>46081</v>
      </c>
      <c r="G207" s="1" t="s">
        <v>249</v>
      </c>
      <c r="H207" s="1" t="s">
        <v>67</v>
      </c>
      <c r="I207" s="1" t="s">
        <v>37</v>
      </c>
      <c r="J207" s="1" t="s">
        <v>38</v>
      </c>
      <c r="K207" s="1" t="s">
        <v>39</v>
      </c>
      <c r="L207">
        <v>100</v>
      </c>
      <c r="M207">
        <v>36.200000000000003</v>
      </c>
      <c r="N207">
        <v>37.700000000000003</v>
      </c>
      <c r="O207">
        <v>15.6</v>
      </c>
      <c r="P207">
        <v>2.129E-2</v>
      </c>
      <c r="Q207">
        <v>4.05</v>
      </c>
      <c r="R207">
        <v>15.9</v>
      </c>
      <c r="S207">
        <v>6</v>
      </c>
      <c r="T207">
        <v>7</v>
      </c>
      <c r="U207">
        <v>42</v>
      </c>
      <c r="V207">
        <v>124.2</v>
      </c>
      <c r="W207">
        <v>195.1</v>
      </c>
      <c r="X207">
        <v>0.89417999999999997</v>
      </c>
      <c r="Y207">
        <v>6.9</v>
      </c>
      <c r="Z207">
        <v>0.146901</v>
      </c>
      <c r="AA207">
        <v>0.16428571428571428</v>
      </c>
      <c r="AB207">
        <v>10971</v>
      </c>
      <c r="AC207">
        <v>1</v>
      </c>
      <c r="AD207" s="1" t="s">
        <v>44</v>
      </c>
      <c r="AE207">
        <v>0</v>
      </c>
      <c r="AF207">
        <v>1</v>
      </c>
      <c r="AG207">
        <v>12.796052631578949</v>
      </c>
    </row>
    <row r="208" spans="1:33">
      <c r="A208" s="1" t="s">
        <v>248</v>
      </c>
      <c r="B208" s="1" t="s">
        <v>1274</v>
      </c>
      <c r="C208" s="2">
        <v>46321</v>
      </c>
      <c r="D208" s="1" t="s">
        <v>34</v>
      </c>
      <c r="E208">
        <v>23</v>
      </c>
      <c r="F208" s="2">
        <v>46081</v>
      </c>
      <c r="G208" s="1" t="s">
        <v>249</v>
      </c>
      <c r="H208" s="1" t="s">
        <v>67</v>
      </c>
      <c r="I208" s="1" t="s">
        <v>37</v>
      </c>
      <c r="J208" s="1" t="s">
        <v>38</v>
      </c>
      <c r="K208" s="1" t="s">
        <v>39</v>
      </c>
      <c r="L208">
        <v>100</v>
      </c>
      <c r="M208">
        <v>36.200000000000003</v>
      </c>
      <c r="N208">
        <v>37.700000000000003</v>
      </c>
      <c r="O208">
        <v>15.6</v>
      </c>
      <c r="P208">
        <v>2.129E-2</v>
      </c>
      <c r="Q208">
        <v>4.05</v>
      </c>
      <c r="R208">
        <v>15.9</v>
      </c>
      <c r="S208">
        <v>6</v>
      </c>
      <c r="T208">
        <v>7</v>
      </c>
      <c r="U208">
        <v>42</v>
      </c>
      <c r="V208">
        <v>124.2</v>
      </c>
      <c r="W208">
        <v>195.1</v>
      </c>
      <c r="X208">
        <v>0.89417999999999997</v>
      </c>
      <c r="Y208">
        <v>0.23</v>
      </c>
      <c r="Z208">
        <v>4.8967000000000004E-3</v>
      </c>
      <c r="AA208">
        <v>5.4761904761904765E-3</v>
      </c>
      <c r="AB208">
        <v>365.7</v>
      </c>
      <c r="AC208">
        <v>1</v>
      </c>
      <c r="AD208" s="1" t="s">
        <v>44</v>
      </c>
      <c r="AE208">
        <v>0</v>
      </c>
      <c r="AF208">
        <v>1</v>
      </c>
      <c r="AG208">
        <v>7.8947368421052637</v>
      </c>
    </row>
    <row r="209" spans="1:33">
      <c r="A209" s="1" t="s">
        <v>248</v>
      </c>
      <c r="B209" s="1" t="s">
        <v>1275</v>
      </c>
      <c r="C209" s="2">
        <v>46326</v>
      </c>
      <c r="D209" s="1" t="s">
        <v>34</v>
      </c>
      <c r="E209">
        <v>167</v>
      </c>
      <c r="F209" s="2">
        <v>46081</v>
      </c>
      <c r="G209" s="1" t="s">
        <v>249</v>
      </c>
      <c r="H209" s="1" t="s">
        <v>67</v>
      </c>
      <c r="I209" s="1" t="s">
        <v>37</v>
      </c>
      <c r="J209" s="1" t="s">
        <v>38</v>
      </c>
      <c r="K209" s="1" t="s">
        <v>39</v>
      </c>
      <c r="L209">
        <v>100</v>
      </c>
      <c r="M209">
        <v>36.200000000000003</v>
      </c>
      <c r="N209">
        <v>37.700000000000003</v>
      </c>
      <c r="O209">
        <v>15.6</v>
      </c>
      <c r="P209">
        <v>2.129E-2</v>
      </c>
      <c r="Q209">
        <v>4.05</v>
      </c>
      <c r="R209">
        <v>15.9</v>
      </c>
      <c r="S209">
        <v>6</v>
      </c>
      <c r="T209">
        <v>7</v>
      </c>
      <c r="U209">
        <v>42</v>
      </c>
      <c r="V209">
        <v>124.2</v>
      </c>
      <c r="W209">
        <v>195.1</v>
      </c>
      <c r="X209">
        <v>0.89417999999999997</v>
      </c>
      <c r="Y209">
        <v>1.67</v>
      </c>
      <c r="Z209">
        <v>3.5554299999999997E-2</v>
      </c>
      <c r="AA209">
        <v>3.9761904761904762E-2</v>
      </c>
      <c r="AB209">
        <v>2655.3</v>
      </c>
      <c r="AC209">
        <v>1</v>
      </c>
      <c r="AD209" s="1" t="s">
        <v>44</v>
      </c>
      <c r="AE209">
        <v>0</v>
      </c>
      <c r="AF209">
        <v>1</v>
      </c>
      <c r="AG209">
        <v>8.0592105263157894</v>
      </c>
    </row>
    <row r="210" spans="1:33">
      <c r="A210" s="1" t="s">
        <v>250</v>
      </c>
      <c r="B210" s="1" t="s">
        <v>1276</v>
      </c>
      <c r="C210" s="2">
        <v>46636</v>
      </c>
      <c r="D210" s="1" t="s">
        <v>34</v>
      </c>
      <c r="E210">
        <v>1545</v>
      </c>
      <c r="F210" s="2">
        <v>46081</v>
      </c>
      <c r="G210" s="1" t="s">
        <v>251</v>
      </c>
      <c r="H210" s="1" t="s">
        <v>36</v>
      </c>
      <c r="I210" s="1" t="s">
        <v>37</v>
      </c>
      <c r="J210" s="1" t="s">
        <v>38</v>
      </c>
      <c r="K210" s="1" t="s">
        <v>39</v>
      </c>
      <c r="L210">
        <v>180</v>
      </c>
      <c r="M210">
        <v>31.6</v>
      </c>
      <c r="N210">
        <v>38.299999999999997</v>
      </c>
      <c r="O210">
        <v>31.9</v>
      </c>
      <c r="P210">
        <v>3.8609999999999998E-2</v>
      </c>
      <c r="Q210">
        <v>9.6</v>
      </c>
      <c r="R210">
        <v>8.56</v>
      </c>
      <c r="S210">
        <v>9</v>
      </c>
      <c r="T210">
        <v>4</v>
      </c>
      <c r="U210">
        <v>36</v>
      </c>
      <c r="V210">
        <v>142.6</v>
      </c>
      <c r="W210">
        <v>370.6</v>
      </c>
      <c r="X210">
        <v>1.3899600000000001</v>
      </c>
      <c r="Y210">
        <v>8.5833333333333339</v>
      </c>
      <c r="Z210">
        <v>0.33140249999999999</v>
      </c>
      <c r="AA210">
        <v>0.23842592592592593</v>
      </c>
      <c r="AB210">
        <v>13225.2</v>
      </c>
      <c r="AC210">
        <v>1</v>
      </c>
      <c r="AD210" s="1" t="s">
        <v>40</v>
      </c>
      <c r="AE210">
        <v>1</v>
      </c>
      <c r="AF210">
        <v>0</v>
      </c>
      <c r="AG210">
        <v>18.256578947368421</v>
      </c>
    </row>
    <row r="211" spans="1:33">
      <c r="A211" s="1" t="s">
        <v>250</v>
      </c>
      <c r="B211" s="1" t="s">
        <v>1277</v>
      </c>
      <c r="C211" s="2">
        <v>46717</v>
      </c>
      <c r="D211" s="1" t="s">
        <v>34</v>
      </c>
      <c r="E211">
        <v>1169</v>
      </c>
      <c r="F211" s="2">
        <v>46081</v>
      </c>
      <c r="G211" s="1" t="s">
        <v>251</v>
      </c>
      <c r="H211" s="1" t="s">
        <v>36</v>
      </c>
      <c r="I211" s="1" t="s">
        <v>37</v>
      </c>
      <c r="J211" s="1" t="s">
        <v>38</v>
      </c>
      <c r="K211" s="1" t="s">
        <v>39</v>
      </c>
      <c r="L211">
        <v>180</v>
      </c>
      <c r="M211">
        <v>31.6</v>
      </c>
      <c r="N211">
        <v>38.299999999999997</v>
      </c>
      <c r="O211">
        <v>31.9</v>
      </c>
      <c r="P211">
        <v>3.8609999999999998E-2</v>
      </c>
      <c r="Q211">
        <v>9.6</v>
      </c>
      <c r="R211">
        <v>8.56</v>
      </c>
      <c r="S211">
        <v>9</v>
      </c>
      <c r="T211">
        <v>4</v>
      </c>
      <c r="U211">
        <v>36</v>
      </c>
      <c r="V211">
        <v>142.6</v>
      </c>
      <c r="W211">
        <v>370.6</v>
      </c>
      <c r="X211">
        <v>1.3899600000000001</v>
      </c>
      <c r="Y211">
        <v>6.4944444444444445</v>
      </c>
      <c r="Z211">
        <v>0.25075049999999999</v>
      </c>
      <c r="AA211">
        <v>0.18040123456790125</v>
      </c>
      <c r="AB211">
        <v>10006.640000000001</v>
      </c>
      <c r="AC211">
        <v>1</v>
      </c>
      <c r="AD211" s="1" t="s">
        <v>40</v>
      </c>
      <c r="AE211">
        <v>1</v>
      </c>
      <c r="AF211">
        <v>0</v>
      </c>
      <c r="AG211">
        <v>20.921052631578949</v>
      </c>
    </row>
    <row r="212" spans="1:33">
      <c r="A212" s="1" t="s">
        <v>250</v>
      </c>
      <c r="B212" s="1" t="s">
        <v>1278</v>
      </c>
      <c r="C212" s="2">
        <v>46993</v>
      </c>
      <c r="D212" s="1" t="s">
        <v>34</v>
      </c>
      <c r="E212">
        <v>2454</v>
      </c>
      <c r="F212" s="2">
        <v>46081</v>
      </c>
      <c r="G212" s="1" t="s">
        <v>251</v>
      </c>
      <c r="H212" s="1" t="s">
        <v>36</v>
      </c>
      <c r="I212" s="1" t="s">
        <v>37</v>
      </c>
      <c r="J212" s="1" t="s">
        <v>38</v>
      </c>
      <c r="K212" s="1" t="s">
        <v>39</v>
      </c>
      <c r="L212">
        <v>180</v>
      </c>
      <c r="M212">
        <v>31.6</v>
      </c>
      <c r="N212">
        <v>38.299999999999997</v>
      </c>
      <c r="O212">
        <v>31.9</v>
      </c>
      <c r="P212">
        <v>3.8609999999999998E-2</v>
      </c>
      <c r="Q212">
        <v>9.6</v>
      </c>
      <c r="R212">
        <v>8.56</v>
      </c>
      <c r="S212">
        <v>9</v>
      </c>
      <c r="T212">
        <v>4</v>
      </c>
      <c r="U212">
        <v>36</v>
      </c>
      <c r="V212">
        <v>142.6</v>
      </c>
      <c r="W212">
        <v>370.6</v>
      </c>
      <c r="X212">
        <v>1.3899600000000001</v>
      </c>
      <c r="Y212">
        <v>13.633333333333333</v>
      </c>
      <c r="Z212">
        <v>0.52638299999999993</v>
      </c>
      <c r="AA212">
        <v>0.37870370370370371</v>
      </c>
      <c r="AB212">
        <v>21006.240000000002</v>
      </c>
      <c r="AC212">
        <v>1</v>
      </c>
      <c r="AD212" s="1" t="s">
        <v>40</v>
      </c>
      <c r="AE212">
        <v>1</v>
      </c>
      <c r="AF212">
        <v>0</v>
      </c>
      <c r="AG212">
        <v>30</v>
      </c>
    </row>
    <row r="213" spans="1:33">
      <c r="A213" s="1" t="s">
        <v>252</v>
      </c>
      <c r="B213" s="1" t="s">
        <v>1279</v>
      </c>
      <c r="C213" s="2">
        <v>47152</v>
      </c>
      <c r="D213" s="1" t="s">
        <v>34</v>
      </c>
      <c r="E213">
        <v>23309</v>
      </c>
      <c r="F213" s="2">
        <v>46081</v>
      </c>
      <c r="G213" s="1" t="s">
        <v>253</v>
      </c>
      <c r="H213" s="1" t="s">
        <v>36</v>
      </c>
      <c r="I213" s="1" t="s">
        <v>37</v>
      </c>
      <c r="J213" s="1" t="s">
        <v>38</v>
      </c>
      <c r="K213" s="1" t="s">
        <v>39</v>
      </c>
      <c r="L213">
        <v>60</v>
      </c>
      <c r="M213">
        <v>57.9</v>
      </c>
      <c r="N213">
        <v>36.4</v>
      </c>
      <c r="O213">
        <v>26.3</v>
      </c>
      <c r="P213">
        <v>5.543E-2</v>
      </c>
      <c r="Q213">
        <v>12.15</v>
      </c>
      <c r="R213">
        <v>14.92</v>
      </c>
      <c r="S213">
        <v>4</v>
      </c>
      <c r="T213">
        <v>3</v>
      </c>
      <c r="U213">
        <v>12</v>
      </c>
      <c r="V213">
        <v>93.9</v>
      </c>
      <c r="W213">
        <v>170.8</v>
      </c>
      <c r="X213">
        <v>0.66515999999999997</v>
      </c>
      <c r="Y213">
        <v>388.48333333333335</v>
      </c>
      <c r="Z213">
        <v>21.533631166666666</v>
      </c>
      <c r="AA213">
        <v>32.37361111111111</v>
      </c>
      <c r="AB213">
        <v>347770.27999999997</v>
      </c>
      <c r="AC213">
        <v>33</v>
      </c>
      <c r="AD213" s="1" t="s">
        <v>40</v>
      </c>
      <c r="AE213">
        <v>33</v>
      </c>
      <c r="AF213">
        <v>0</v>
      </c>
      <c r="AG213">
        <v>35.23026315789474</v>
      </c>
    </row>
    <row r="214" spans="1:33">
      <c r="A214" s="1" t="s">
        <v>252</v>
      </c>
      <c r="B214" s="1" t="s">
        <v>1280</v>
      </c>
      <c r="C214" s="2">
        <v>46692</v>
      </c>
      <c r="D214" s="1" t="s">
        <v>34</v>
      </c>
      <c r="E214">
        <v>683</v>
      </c>
      <c r="F214" s="2">
        <v>46081</v>
      </c>
      <c r="G214" s="1" t="s">
        <v>253</v>
      </c>
      <c r="H214" s="1" t="s">
        <v>36</v>
      </c>
      <c r="I214" s="1" t="s">
        <v>37</v>
      </c>
      <c r="J214" s="1" t="s">
        <v>38</v>
      </c>
      <c r="K214" s="1" t="s">
        <v>39</v>
      </c>
      <c r="L214">
        <v>60</v>
      </c>
      <c r="M214">
        <v>57.9</v>
      </c>
      <c r="N214">
        <v>36.4</v>
      </c>
      <c r="O214">
        <v>26.3</v>
      </c>
      <c r="P214">
        <v>5.543E-2</v>
      </c>
      <c r="Q214">
        <v>12.15</v>
      </c>
      <c r="R214">
        <v>14.92</v>
      </c>
      <c r="S214">
        <v>4</v>
      </c>
      <c r="T214">
        <v>3</v>
      </c>
      <c r="U214">
        <v>12</v>
      </c>
      <c r="V214">
        <v>93.9</v>
      </c>
      <c r="W214">
        <v>170.8</v>
      </c>
      <c r="X214">
        <v>0.66515999999999997</v>
      </c>
      <c r="Y214">
        <v>11.383333333333333</v>
      </c>
      <c r="Z214">
        <v>0.63097816666666662</v>
      </c>
      <c r="AA214">
        <v>0.94861111111111107</v>
      </c>
      <c r="AB214">
        <v>10190.36</v>
      </c>
      <c r="AC214">
        <v>1</v>
      </c>
      <c r="AD214" s="1" t="s">
        <v>40</v>
      </c>
      <c r="AE214">
        <v>1</v>
      </c>
      <c r="AF214">
        <v>0</v>
      </c>
      <c r="AG214">
        <v>20.098684210526315</v>
      </c>
    </row>
    <row r="215" spans="1:33">
      <c r="A215" s="1" t="s">
        <v>254</v>
      </c>
      <c r="B215" s="1" t="s">
        <v>1281</v>
      </c>
      <c r="C215" s="2">
        <v>46621</v>
      </c>
      <c r="D215" s="1" t="s">
        <v>34</v>
      </c>
      <c r="E215">
        <v>793</v>
      </c>
      <c r="F215" s="2">
        <v>46081</v>
      </c>
      <c r="G215" s="1" t="s">
        <v>255</v>
      </c>
      <c r="H215" s="1" t="s">
        <v>43</v>
      </c>
      <c r="I215" s="1" t="s">
        <v>37</v>
      </c>
      <c r="J215" s="1" t="s">
        <v>38</v>
      </c>
      <c r="K215" s="1" t="s">
        <v>39</v>
      </c>
      <c r="L215">
        <v>100</v>
      </c>
      <c r="M215">
        <v>32.299999999999997</v>
      </c>
      <c r="N215">
        <v>43.5</v>
      </c>
      <c r="O215">
        <v>32.9</v>
      </c>
      <c r="P215">
        <v>4.623E-2</v>
      </c>
      <c r="Q215">
        <v>11</v>
      </c>
      <c r="R215">
        <v>9.35</v>
      </c>
      <c r="S215">
        <v>6</v>
      </c>
      <c r="T215">
        <v>3</v>
      </c>
      <c r="U215">
        <v>18</v>
      </c>
      <c r="V215">
        <v>113.7</v>
      </c>
      <c r="W215">
        <v>223</v>
      </c>
      <c r="X215">
        <v>0.83213999999999999</v>
      </c>
      <c r="Y215">
        <v>7.93</v>
      </c>
      <c r="Z215">
        <v>0.36660389999999998</v>
      </c>
      <c r="AA215">
        <v>0.44055555555555553</v>
      </c>
      <c r="AB215">
        <v>7414.5499999999993</v>
      </c>
      <c r="AC215">
        <v>1</v>
      </c>
      <c r="AD215" s="1" t="s">
        <v>40</v>
      </c>
      <c r="AE215">
        <v>1</v>
      </c>
      <c r="AF215">
        <v>0</v>
      </c>
      <c r="AG215">
        <v>17.763157894736842</v>
      </c>
    </row>
    <row r="216" spans="1:33">
      <c r="A216" s="1" t="s">
        <v>254</v>
      </c>
      <c r="B216" s="1" t="s">
        <v>1282</v>
      </c>
      <c r="C216" s="2">
        <v>47004</v>
      </c>
      <c r="D216" s="1" t="s">
        <v>34</v>
      </c>
      <c r="E216">
        <v>754</v>
      </c>
      <c r="F216" s="2">
        <v>46081</v>
      </c>
      <c r="G216" s="1" t="s">
        <v>255</v>
      </c>
      <c r="H216" s="1" t="s">
        <v>43</v>
      </c>
      <c r="I216" s="1" t="s">
        <v>37</v>
      </c>
      <c r="J216" s="1" t="s">
        <v>38</v>
      </c>
      <c r="K216" s="1" t="s">
        <v>39</v>
      </c>
      <c r="L216">
        <v>100</v>
      </c>
      <c r="M216">
        <v>32.299999999999997</v>
      </c>
      <c r="N216">
        <v>43.5</v>
      </c>
      <c r="O216">
        <v>32.9</v>
      </c>
      <c r="P216">
        <v>4.623E-2</v>
      </c>
      <c r="Q216">
        <v>11</v>
      </c>
      <c r="R216">
        <v>9.35</v>
      </c>
      <c r="S216">
        <v>6</v>
      </c>
      <c r="T216">
        <v>3</v>
      </c>
      <c r="U216">
        <v>18</v>
      </c>
      <c r="V216">
        <v>113.7</v>
      </c>
      <c r="W216">
        <v>223</v>
      </c>
      <c r="X216">
        <v>0.83213999999999999</v>
      </c>
      <c r="Y216">
        <v>7.54</v>
      </c>
      <c r="Z216">
        <v>0.3485742</v>
      </c>
      <c r="AA216">
        <v>0.41888888888888887</v>
      </c>
      <c r="AB216">
        <v>7049.9</v>
      </c>
      <c r="AC216">
        <v>1</v>
      </c>
      <c r="AD216" s="1" t="s">
        <v>40</v>
      </c>
      <c r="AE216">
        <v>1</v>
      </c>
      <c r="AF216">
        <v>0</v>
      </c>
      <c r="AG216">
        <v>30.361842105263161</v>
      </c>
    </row>
    <row r="217" spans="1:33">
      <c r="A217" s="1" t="s">
        <v>256</v>
      </c>
      <c r="B217" s="1" t="s">
        <v>1283</v>
      </c>
      <c r="C217" s="2">
        <v>46740</v>
      </c>
      <c r="D217" s="1" t="s">
        <v>34</v>
      </c>
      <c r="E217">
        <v>820</v>
      </c>
      <c r="F217" s="2">
        <v>46081</v>
      </c>
      <c r="G217" s="1" t="s">
        <v>257</v>
      </c>
      <c r="H217" s="1" t="s">
        <v>43</v>
      </c>
      <c r="I217" s="1" t="s">
        <v>37</v>
      </c>
      <c r="J217" s="1" t="s">
        <v>38</v>
      </c>
      <c r="K217" s="1" t="s">
        <v>39</v>
      </c>
      <c r="L217">
        <v>240</v>
      </c>
      <c r="M217">
        <v>40.6</v>
      </c>
      <c r="N217">
        <v>38.299999999999997</v>
      </c>
      <c r="O217">
        <v>28.8</v>
      </c>
      <c r="P217">
        <v>4.478E-2</v>
      </c>
      <c r="Q217">
        <v>12.33</v>
      </c>
      <c r="R217">
        <v>21.17</v>
      </c>
      <c r="S217">
        <v>6</v>
      </c>
      <c r="T217">
        <v>3</v>
      </c>
      <c r="U217">
        <v>18</v>
      </c>
      <c r="V217">
        <v>101.4</v>
      </c>
      <c r="W217">
        <v>246.94</v>
      </c>
      <c r="X217">
        <v>0.80603999999999998</v>
      </c>
      <c r="Y217">
        <v>3.4166666666666665</v>
      </c>
      <c r="Z217">
        <v>0.15299833333333332</v>
      </c>
      <c r="AA217">
        <v>0.1898148148148148</v>
      </c>
      <c r="AB217">
        <v>17359.400000000001</v>
      </c>
      <c r="AC217">
        <v>1</v>
      </c>
      <c r="AD217" s="1" t="s">
        <v>44</v>
      </c>
      <c r="AE217">
        <v>0</v>
      </c>
      <c r="AF217">
        <v>1</v>
      </c>
      <c r="AG217">
        <v>21.67763157894737</v>
      </c>
    </row>
    <row r="218" spans="1:33">
      <c r="A218" s="1" t="s">
        <v>256</v>
      </c>
      <c r="B218" s="1" t="s">
        <v>1284</v>
      </c>
      <c r="C218" s="2">
        <v>46326</v>
      </c>
      <c r="D218" s="1" t="s">
        <v>34</v>
      </c>
      <c r="E218">
        <v>8916</v>
      </c>
      <c r="F218" s="2">
        <v>46081</v>
      </c>
      <c r="G218" s="1" t="s">
        <v>257</v>
      </c>
      <c r="H218" s="1" t="s">
        <v>43</v>
      </c>
      <c r="I218" s="1" t="s">
        <v>37</v>
      </c>
      <c r="J218" s="1" t="s">
        <v>38</v>
      </c>
      <c r="K218" s="1" t="s">
        <v>39</v>
      </c>
      <c r="L218">
        <v>240</v>
      </c>
      <c r="M218">
        <v>40.6</v>
      </c>
      <c r="N218">
        <v>38.299999999999997</v>
      </c>
      <c r="O218">
        <v>28.8</v>
      </c>
      <c r="P218">
        <v>4.478E-2</v>
      </c>
      <c r="Q218">
        <v>12.33</v>
      </c>
      <c r="R218">
        <v>21.17</v>
      </c>
      <c r="S218">
        <v>6</v>
      </c>
      <c r="T218">
        <v>3</v>
      </c>
      <c r="U218">
        <v>18</v>
      </c>
      <c r="V218">
        <v>101.4</v>
      </c>
      <c r="W218">
        <v>246.94</v>
      </c>
      <c r="X218">
        <v>0.80603999999999998</v>
      </c>
      <c r="Y218">
        <v>37.15</v>
      </c>
      <c r="Z218">
        <v>1.6635769999999999</v>
      </c>
      <c r="AA218">
        <v>2.0638888888888887</v>
      </c>
      <c r="AB218">
        <v>188751.72</v>
      </c>
      <c r="AC218">
        <v>3</v>
      </c>
      <c r="AD218" s="1" t="s">
        <v>40</v>
      </c>
      <c r="AE218">
        <v>3</v>
      </c>
      <c r="AF218">
        <v>0</v>
      </c>
      <c r="AG218">
        <v>8.0592105263157894</v>
      </c>
    </row>
    <row r="219" spans="1:33">
      <c r="A219" s="1" t="s">
        <v>258</v>
      </c>
      <c r="B219" s="1" t="s">
        <v>1285</v>
      </c>
      <c r="C219" s="2">
        <v>46455</v>
      </c>
      <c r="D219" s="1" t="s">
        <v>34</v>
      </c>
      <c r="E219">
        <v>1849</v>
      </c>
      <c r="F219" s="2">
        <v>46081</v>
      </c>
      <c r="G219" s="1" t="s">
        <v>259</v>
      </c>
      <c r="H219" s="1" t="s">
        <v>52</v>
      </c>
      <c r="I219" s="1" t="s">
        <v>37</v>
      </c>
      <c r="J219" s="1" t="s">
        <v>38</v>
      </c>
      <c r="K219" s="1" t="s">
        <v>39</v>
      </c>
      <c r="L219">
        <v>120</v>
      </c>
      <c r="M219">
        <v>51</v>
      </c>
      <c r="N219">
        <v>41.2</v>
      </c>
      <c r="O219">
        <v>28.7</v>
      </c>
      <c r="P219">
        <v>6.0299999999999999E-2</v>
      </c>
      <c r="Q219">
        <v>9.91</v>
      </c>
      <c r="R219">
        <v>15.65</v>
      </c>
      <c r="S219">
        <v>2</v>
      </c>
      <c r="T219">
        <v>3</v>
      </c>
      <c r="U219">
        <v>6</v>
      </c>
      <c r="V219">
        <v>101.1</v>
      </c>
      <c r="W219">
        <v>84.460000000000008</v>
      </c>
      <c r="X219">
        <v>0.36180000000000001</v>
      </c>
      <c r="Y219">
        <v>15.408333333333333</v>
      </c>
      <c r="Z219">
        <v>0.92912249999999996</v>
      </c>
      <c r="AA219">
        <v>2.5680555555555555</v>
      </c>
      <c r="AB219">
        <v>28936.850000000002</v>
      </c>
      <c r="AC219">
        <v>3</v>
      </c>
      <c r="AD219" s="1" t="s">
        <v>40</v>
      </c>
      <c r="AE219">
        <v>3</v>
      </c>
      <c r="AF219">
        <v>0</v>
      </c>
      <c r="AG219">
        <v>12.302631578947368</v>
      </c>
    </row>
    <row r="220" spans="1:33">
      <c r="A220" s="1" t="s">
        <v>260</v>
      </c>
      <c r="B220" s="1" t="s">
        <v>1286</v>
      </c>
      <c r="C220" s="2">
        <v>46956</v>
      </c>
      <c r="D220" s="1" t="s">
        <v>34</v>
      </c>
      <c r="E220">
        <v>2289</v>
      </c>
      <c r="F220" s="2">
        <v>46081</v>
      </c>
      <c r="G220" s="1" t="s">
        <v>261</v>
      </c>
      <c r="H220" s="1" t="s">
        <v>36</v>
      </c>
      <c r="I220" s="1" t="s">
        <v>37</v>
      </c>
      <c r="J220" s="1" t="s">
        <v>38</v>
      </c>
      <c r="K220" s="1" t="s">
        <v>39</v>
      </c>
      <c r="L220">
        <v>60</v>
      </c>
      <c r="M220">
        <v>30.4</v>
      </c>
      <c r="N220">
        <v>41.8</v>
      </c>
      <c r="O220">
        <v>18.8</v>
      </c>
      <c r="P220">
        <v>2.3890000000000002E-2</v>
      </c>
      <c r="Q220">
        <v>3.97</v>
      </c>
      <c r="R220">
        <v>10.51</v>
      </c>
      <c r="S220">
        <v>6</v>
      </c>
      <c r="T220">
        <v>5</v>
      </c>
      <c r="U220">
        <v>30</v>
      </c>
      <c r="V220">
        <v>109</v>
      </c>
      <c r="W220">
        <v>144.10000000000002</v>
      </c>
      <c r="X220">
        <v>0.7167</v>
      </c>
      <c r="Y220">
        <v>38.15</v>
      </c>
      <c r="Z220">
        <v>0.91140350000000003</v>
      </c>
      <c r="AA220">
        <v>1.2716666666666667</v>
      </c>
      <c r="AB220">
        <v>24057.39</v>
      </c>
      <c r="AC220">
        <v>2</v>
      </c>
      <c r="AD220" s="1" t="s">
        <v>40</v>
      </c>
      <c r="AE220">
        <v>2</v>
      </c>
      <c r="AF220">
        <v>0</v>
      </c>
      <c r="AG220">
        <v>28.782894736842106</v>
      </c>
    </row>
    <row r="221" spans="1:33">
      <c r="A221" s="1" t="s">
        <v>262</v>
      </c>
      <c r="B221" s="1" t="s">
        <v>1287</v>
      </c>
      <c r="C221" s="2">
        <v>46498</v>
      </c>
      <c r="D221" s="1" t="s">
        <v>34</v>
      </c>
      <c r="E221">
        <v>2321</v>
      </c>
      <c r="F221" s="2">
        <v>46081</v>
      </c>
      <c r="G221" s="1" t="s">
        <v>263</v>
      </c>
      <c r="H221" s="1" t="s">
        <v>67</v>
      </c>
      <c r="I221" s="1" t="s">
        <v>37</v>
      </c>
      <c r="J221" s="1" t="s">
        <v>38</v>
      </c>
      <c r="K221" s="1" t="s">
        <v>39</v>
      </c>
      <c r="L221">
        <v>120</v>
      </c>
      <c r="M221">
        <v>30.3</v>
      </c>
      <c r="N221">
        <v>29</v>
      </c>
      <c r="O221">
        <v>17.899999999999999</v>
      </c>
      <c r="P221">
        <v>1.5730000000000001E-2</v>
      </c>
      <c r="Q221">
        <v>2.4900000000000002</v>
      </c>
      <c r="R221">
        <v>3.36</v>
      </c>
      <c r="S221">
        <v>12</v>
      </c>
      <c r="T221">
        <v>6</v>
      </c>
      <c r="U221">
        <v>72</v>
      </c>
      <c r="V221">
        <v>122.4</v>
      </c>
      <c r="W221">
        <v>204.28000000000003</v>
      </c>
      <c r="X221">
        <v>1.13256</v>
      </c>
      <c r="Y221">
        <v>19.341666666666665</v>
      </c>
      <c r="Z221">
        <v>0.30424441666666668</v>
      </c>
      <c r="AA221">
        <v>0.26863425925925921</v>
      </c>
      <c r="AB221">
        <v>7798.5599999999995</v>
      </c>
      <c r="AC221">
        <v>1</v>
      </c>
      <c r="AD221" s="1" t="s">
        <v>40</v>
      </c>
      <c r="AE221">
        <v>1</v>
      </c>
      <c r="AF221">
        <v>0</v>
      </c>
      <c r="AG221">
        <v>13.717105263157896</v>
      </c>
    </row>
    <row r="222" spans="1:33">
      <c r="A222" s="1" t="s">
        <v>262</v>
      </c>
      <c r="B222" s="1" t="s">
        <v>1288</v>
      </c>
      <c r="C222" s="2">
        <v>46440</v>
      </c>
      <c r="D222" s="1" t="s">
        <v>34</v>
      </c>
      <c r="E222">
        <v>757</v>
      </c>
      <c r="F222" s="2">
        <v>46081</v>
      </c>
      <c r="G222" s="1" t="s">
        <v>263</v>
      </c>
      <c r="H222" s="1" t="s">
        <v>67</v>
      </c>
      <c r="I222" s="1" t="s">
        <v>37</v>
      </c>
      <c r="J222" s="1" t="s">
        <v>38</v>
      </c>
      <c r="K222" s="1" t="s">
        <v>39</v>
      </c>
      <c r="L222">
        <v>120</v>
      </c>
      <c r="M222">
        <v>30.3</v>
      </c>
      <c r="N222">
        <v>29</v>
      </c>
      <c r="O222">
        <v>17.899999999999999</v>
      </c>
      <c r="P222">
        <v>1.5730000000000001E-2</v>
      </c>
      <c r="Q222">
        <v>2.4900000000000002</v>
      </c>
      <c r="R222">
        <v>3.36</v>
      </c>
      <c r="S222">
        <v>12</v>
      </c>
      <c r="T222">
        <v>6</v>
      </c>
      <c r="U222">
        <v>72</v>
      </c>
      <c r="V222">
        <v>122.4</v>
      </c>
      <c r="W222">
        <v>204.28000000000003</v>
      </c>
      <c r="X222">
        <v>1.13256</v>
      </c>
      <c r="Y222">
        <v>6.3083333333333336</v>
      </c>
      <c r="Z222">
        <v>9.9230083333333344E-2</v>
      </c>
      <c r="AA222">
        <v>8.7615740740740744E-2</v>
      </c>
      <c r="AB222">
        <v>2543.52</v>
      </c>
      <c r="AC222">
        <v>1</v>
      </c>
      <c r="AD222" s="1" t="s">
        <v>44</v>
      </c>
      <c r="AE222">
        <v>0</v>
      </c>
      <c r="AF222">
        <v>1</v>
      </c>
      <c r="AG222">
        <v>11.809210526315789</v>
      </c>
    </row>
    <row r="223" spans="1:33">
      <c r="A223" s="1" t="s">
        <v>262</v>
      </c>
      <c r="B223" s="1" t="s">
        <v>1289</v>
      </c>
      <c r="C223" s="2">
        <v>45847</v>
      </c>
      <c r="D223" s="1" t="s">
        <v>73</v>
      </c>
      <c r="E223">
        <v>246</v>
      </c>
      <c r="F223" s="2">
        <v>46081</v>
      </c>
      <c r="G223" s="1" t="s">
        <v>263</v>
      </c>
      <c r="H223" s="1" t="s">
        <v>67</v>
      </c>
      <c r="I223" s="1" t="s">
        <v>37</v>
      </c>
      <c r="J223" s="1" t="s">
        <v>38</v>
      </c>
      <c r="K223" s="1" t="s">
        <v>39</v>
      </c>
      <c r="L223">
        <v>120</v>
      </c>
      <c r="M223">
        <v>30.3</v>
      </c>
      <c r="N223">
        <v>29</v>
      </c>
      <c r="O223">
        <v>17.899999999999999</v>
      </c>
      <c r="P223">
        <v>1.5730000000000001E-2</v>
      </c>
      <c r="Q223">
        <v>2.4900000000000002</v>
      </c>
      <c r="R223">
        <v>3.36</v>
      </c>
      <c r="S223">
        <v>12</v>
      </c>
      <c r="T223">
        <v>6</v>
      </c>
      <c r="U223">
        <v>72</v>
      </c>
      <c r="V223">
        <v>122.4</v>
      </c>
      <c r="W223">
        <v>204.28000000000003</v>
      </c>
      <c r="X223">
        <v>1.13256</v>
      </c>
      <c r="Y223">
        <v>2.0499999999999998</v>
      </c>
      <c r="Z223">
        <v>3.2246499999999997E-2</v>
      </c>
      <c r="AA223">
        <v>2.8472222222222218E-2</v>
      </c>
      <c r="AB223">
        <v>826.56</v>
      </c>
      <c r="AC223">
        <v>1</v>
      </c>
      <c r="AD223" s="1" t="s">
        <v>74</v>
      </c>
      <c r="AE223">
        <v>0</v>
      </c>
      <c r="AF223">
        <v>0</v>
      </c>
      <c r="AG223">
        <v>-7.6973684210526319</v>
      </c>
    </row>
    <row r="224" spans="1:33">
      <c r="A224" s="1" t="s">
        <v>264</v>
      </c>
      <c r="B224" s="1" t="s">
        <v>1290</v>
      </c>
      <c r="C224" s="2">
        <v>46561</v>
      </c>
      <c r="D224" s="1" t="s">
        <v>34</v>
      </c>
      <c r="E224">
        <v>2146</v>
      </c>
      <c r="F224" s="2">
        <v>46081</v>
      </c>
      <c r="G224" s="1" t="s">
        <v>265</v>
      </c>
      <c r="H224" s="1" t="s">
        <v>43</v>
      </c>
      <c r="I224" s="1" t="s">
        <v>37</v>
      </c>
      <c r="J224" s="1" t="s">
        <v>38</v>
      </c>
      <c r="K224" s="1" t="s">
        <v>39</v>
      </c>
      <c r="L224">
        <v>120</v>
      </c>
      <c r="M224">
        <v>48</v>
      </c>
      <c r="N224">
        <v>31.8</v>
      </c>
      <c r="O224">
        <v>20.9</v>
      </c>
      <c r="P224">
        <v>3.1899999999999998E-2</v>
      </c>
      <c r="Q224">
        <v>9.2899999999999991</v>
      </c>
      <c r="R224">
        <v>10.48</v>
      </c>
      <c r="S224">
        <v>6</v>
      </c>
      <c r="T224">
        <v>4</v>
      </c>
      <c r="U224">
        <v>24</v>
      </c>
      <c r="V224">
        <v>98.6</v>
      </c>
      <c r="W224">
        <v>247.96</v>
      </c>
      <c r="X224">
        <v>0.76559999999999995</v>
      </c>
      <c r="Y224">
        <v>17.883333333333333</v>
      </c>
      <c r="Z224">
        <v>0.57047833333333331</v>
      </c>
      <c r="AA224">
        <v>0.74513888888888891</v>
      </c>
      <c r="AB224">
        <v>22490.080000000002</v>
      </c>
      <c r="AC224">
        <v>1</v>
      </c>
      <c r="AD224" s="1" t="s">
        <v>40</v>
      </c>
      <c r="AE224">
        <v>1</v>
      </c>
      <c r="AF224">
        <v>0</v>
      </c>
      <c r="AG224">
        <v>15.789473684210527</v>
      </c>
    </row>
    <row r="225" spans="1:33">
      <c r="A225" s="1" t="s">
        <v>264</v>
      </c>
      <c r="B225" s="1" t="s">
        <v>1291</v>
      </c>
      <c r="C225" s="2">
        <v>46184</v>
      </c>
      <c r="D225" s="1" t="s">
        <v>34</v>
      </c>
      <c r="E225">
        <v>1986</v>
      </c>
      <c r="F225" s="2">
        <v>46081</v>
      </c>
      <c r="G225" s="1" t="s">
        <v>265</v>
      </c>
      <c r="H225" s="1" t="s">
        <v>43</v>
      </c>
      <c r="I225" s="1" t="s">
        <v>37</v>
      </c>
      <c r="J225" s="1" t="s">
        <v>38</v>
      </c>
      <c r="K225" s="1" t="s">
        <v>39</v>
      </c>
      <c r="L225">
        <v>120</v>
      </c>
      <c r="M225">
        <v>48</v>
      </c>
      <c r="N225">
        <v>31.8</v>
      </c>
      <c r="O225">
        <v>20.9</v>
      </c>
      <c r="P225">
        <v>3.1899999999999998E-2</v>
      </c>
      <c r="Q225">
        <v>9.2899999999999991</v>
      </c>
      <c r="R225">
        <v>10.48</v>
      </c>
      <c r="S225">
        <v>6</v>
      </c>
      <c r="T225">
        <v>4</v>
      </c>
      <c r="U225">
        <v>24</v>
      </c>
      <c r="V225">
        <v>98.6</v>
      </c>
      <c r="W225">
        <v>247.96</v>
      </c>
      <c r="X225">
        <v>0.76559999999999995</v>
      </c>
      <c r="Y225">
        <v>16.55</v>
      </c>
      <c r="Z225">
        <v>0.527945</v>
      </c>
      <c r="AA225">
        <v>0.68958333333333333</v>
      </c>
      <c r="AB225">
        <v>20813.280000000002</v>
      </c>
      <c r="AC225">
        <v>1</v>
      </c>
      <c r="AD225" s="1" t="s">
        <v>40</v>
      </c>
      <c r="AE225">
        <v>1</v>
      </c>
      <c r="AF225">
        <v>0</v>
      </c>
      <c r="AG225">
        <v>3.3881578947368425</v>
      </c>
    </row>
    <row r="226" spans="1:33">
      <c r="A226" s="1" t="s">
        <v>266</v>
      </c>
      <c r="B226" s="1" t="s">
        <v>1292</v>
      </c>
      <c r="C226" s="2">
        <v>46822</v>
      </c>
      <c r="D226" s="1" t="s">
        <v>34</v>
      </c>
      <c r="E226">
        <v>1042</v>
      </c>
      <c r="F226" s="2">
        <v>46081</v>
      </c>
      <c r="G226" s="1" t="s">
        <v>267</v>
      </c>
      <c r="H226" s="1" t="s">
        <v>48</v>
      </c>
      <c r="I226" s="1" t="s">
        <v>37</v>
      </c>
      <c r="J226" s="1" t="s">
        <v>38</v>
      </c>
      <c r="K226" s="1" t="s">
        <v>39</v>
      </c>
      <c r="L226">
        <v>180</v>
      </c>
      <c r="M226">
        <v>41.3</v>
      </c>
      <c r="N226">
        <v>30.8</v>
      </c>
      <c r="O226">
        <v>18.5</v>
      </c>
      <c r="P226">
        <v>2.3529999999999999E-2</v>
      </c>
      <c r="Q226">
        <v>6.42</v>
      </c>
      <c r="R226">
        <v>3.27</v>
      </c>
      <c r="S226">
        <v>6</v>
      </c>
      <c r="T226">
        <v>5</v>
      </c>
      <c r="U226">
        <v>30</v>
      </c>
      <c r="V226">
        <v>107.5</v>
      </c>
      <c r="W226">
        <v>217.6</v>
      </c>
      <c r="X226">
        <v>0.70589999999999997</v>
      </c>
      <c r="Y226">
        <v>5.7888888888888888</v>
      </c>
      <c r="Z226">
        <v>0.13621255555555556</v>
      </c>
      <c r="AA226">
        <v>0.19296296296296295</v>
      </c>
      <c r="AB226">
        <v>3407.34</v>
      </c>
      <c r="AC226">
        <v>1</v>
      </c>
      <c r="AD226" s="1" t="s">
        <v>44</v>
      </c>
      <c r="AE226">
        <v>0</v>
      </c>
      <c r="AF226">
        <v>1</v>
      </c>
      <c r="AG226">
        <v>24.375</v>
      </c>
    </row>
    <row r="227" spans="1:33">
      <c r="A227" s="1" t="s">
        <v>266</v>
      </c>
      <c r="B227" s="1" t="s">
        <v>1293</v>
      </c>
      <c r="C227" s="2">
        <v>46920</v>
      </c>
      <c r="D227" s="1" t="s">
        <v>34</v>
      </c>
      <c r="E227">
        <v>2382</v>
      </c>
      <c r="F227" s="2">
        <v>46081</v>
      </c>
      <c r="G227" s="1" t="s">
        <v>267</v>
      </c>
      <c r="H227" s="1" t="s">
        <v>48</v>
      </c>
      <c r="I227" s="1" t="s">
        <v>37</v>
      </c>
      <c r="J227" s="1" t="s">
        <v>38</v>
      </c>
      <c r="K227" s="1" t="s">
        <v>39</v>
      </c>
      <c r="L227">
        <v>180</v>
      </c>
      <c r="M227">
        <v>41.3</v>
      </c>
      <c r="N227">
        <v>30.8</v>
      </c>
      <c r="O227">
        <v>18.5</v>
      </c>
      <c r="P227">
        <v>2.3529999999999999E-2</v>
      </c>
      <c r="Q227">
        <v>6.42</v>
      </c>
      <c r="R227">
        <v>3.27</v>
      </c>
      <c r="S227">
        <v>6</v>
      </c>
      <c r="T227">
        <v>5</v>
      </c>
      <c r="U227">
        <v>30</v>
      </c>
      <c r="V227">
        <v>107.5</v>
      </c>
      <c r="W227">
        <v>217.6</v>
      </c>
      <c r="X227">
        <v>0.70589999999999997</v>
      </c>
      <c r="Y227">
        <v>13.233333333333333</v>
      </c>
      <c r="Z227">
        <v>0.31138033333333331</v>
      </c>
      <c r="AA227">
        <v>0.44111111111111106</v>
      </c>
      <c r="AB227">
        <v>7789.14</v>
      </c>
      <c r="AC227">
        <v>1</v>
      </c>
      <c r="AD227" s="1" t="s">
        <v>40</v>
      </c>
      <c r="AE227">
        <v>1</v>
      </c>
      <c r="AF227">
        <v>0</v>
      </c>
      <c r="AG227">
        <v>27.598684210526319</v>
      </c>
    </row>
    <row r="228" spans="1:33">
      <c r="A228" s="1" t="s">
        <v>266</v>
      </c>
      <c r="B228" s="1" t="s">
        <v>1294</v>
      </c>
      <c r="C228" s="2">
        <v>46487</v>
      </c>
      <c r="D228" s="1" t="s">
        <v>34</v>
      </c>
      <c r="E228">
        <v>13803</v>
      </c>
      <c r="F228" s="2">
        <v>46081</v>
      </c>
      <c r="G228" s="1" t="s">
        <v>267</v>
      </c>
      <c r="H228" s="1" t="s">
        <v>48</v>
      </c>
      <c r="I228" s="1" t="s">
        <v>37</v>
      </c>
      <c r="J228" s="1" t="s">
        <v>38</v>
      </c>
      <c r="K228" s="1" t="s">
        <v>39</v>
      </c>
      <c r="L228">
        <v>180</v>
      </c>
      <c r="M228">
        <v>41.3</v>
      </c>
      <c r="N228">
        <v>30.8</v>
      </c>
      <c r="O228">
        <v>18.5</v>
      </c>
      <c r="P228">
        <v>2.3529999999999999E-2</v>
      </c>
      <c r="Q228">
        <v>6.42</v>
      </c>
      <c r="R228">
        <v>3.27</v>
      </c>
      <c r="S228">
        <v>6</v>
      </c>
      <c r="T228">
        <v>5</v>
      </c>
      <c r="U228">
        <v>30</v>
      </c>
      <c r="V228">
        <v>107.5</v>
      </c>
      <c r="W228">
        <v>217.6</v>
      </c>
      <c r="X228">
        <v>0.70589999999999997</v>
      </c>
      <c r="Y228">
        <v>76.683333333333337</v>
      </c>
      <c r="Z228">
        <v>1.8043588333333334</v>
      </c>
      <c r="AA228">
        <v>2.5561111111111114</v>
      </c>
      <c r="AB228">
        <v>45135.81</v>
      </c>
      <c r="AC228">
        <v>3</v>
      </c>
      <c r="AD228" s="1" t="s">
        <v>40</v>
      </c>
      <c r="AE228">
        <v>3</v>
      </c>
      <c r="AF228">
        <v>0</v>
      </c>
      <c r="AG228">
        <v>13.355263157894738</v>
      </c>
    </row>
    <row r="229" spans="1:33">
      <c r="A229" s="1" t="s">
        <v>268</v>
      </c>
      <c r="B229" s="1" t="s">
        <v>1295</v>
      </c>
      <c r="C229" s="2">
        <v>46308</v>
      </c>
      <c r="D229" s="1" t="s">
        <v>34</v>
      </c>
      <c r="E229">
        <v>1666</v>
      </c>
      <c r="F229" s="2">
        <v>46081</v>
      </c>
      <c r="G229" s="1" t="s">
        <v>269</v>
      </c>
      <c r="H229" s="1" t="s">
        <v>52</v>
      </c>
      <c r="I229" s="1" t="s">
        <v>37</v>
      </c>
      <c r="J229" s="1" t="s">
        <v>38</v>
      </c>
      <c r="K229" s="1" t="s">
        <v>39</v>
      </c>
      <c r="L229">
        <v>60</v>
      </c>
      <c r="M229">
        <v>46.1</v>
      </c>
      <c r="N229">
        <v>40.299999999999997</v>
      </c>
      <c r="O229">
        <v>21.8</v>
      </c>
      <c r="P229">
        <v>4.0500000000000001E-2</v>
      </c>
      <c r="Q229">
        <v>9.9700000000000006</v>
      </c>
      <c r="R229">
        <v>10.27</v>
      </c>
      <c r="S229">
        <v>4</v>
      </c>
      <c r="T229">
        <v>5</v>
      </c>
      <c r="U229">
        <v>20</v>
      </c>
      <c r="V229">
        <v>124</v>
      </c>
      <c r="W229">
        <v>224.4</v>
      </c>
      <c r="X229">
        <v>0.81</v>
      </c>
      <c r="Y229">
        <v>27.766666666666666</v>
      </c>
      <c r="Z229">
        <v>1.1245499999999999</v>
      </c>
      <c r="AA229">
        <v>1.3883333333333332</v>
      </c>
      <c r="AB229">
        <v>17109.82</v>
      </c>
      <c r="AC229">
        <v>2</v>
      </c>
      <c r="AD229" s="1" t="s">
        <v>40</v>
      </c>
      <c r="AE229">
        <v>2</v>
      </c>
      <c r="AF229">
        <v>0</v>
      </c>
      <c r="AG229">
        <v>7.4671052631578947</v>
      </c>
    </row>
    <row r="230" spans="1:33">
      <c r="A230" s="1" t="s">
        <v>270</v>
      </c>
      <c r="B230" s="1" t="s">
        <v>1296</v>
      </c>
      <c r="C230" s="2">
        <v>46375</v>
      </c>
      <c r="D230" s="1" t="s">
        <v>34</v>
      </c>
      <c r="E230">
        <v>4857</v>
      </c>
      <c r="F230" s="2">
        <v>46081</v>
      </c>
      <c r="G230" s="1" t="s">
        <v>271</v>
      </c>
      <c r="H230" s="1" t="s">
        <v>52</v>
      </c>
      <c r="I230" s="1" t="s">
        <v>37</v>
      </c>
      <c r="J230" s="1" t="s">
        <v>38</v>
      </c>
      <c r="K230" s="1" t="s">
        <v>39</v>
      </c>
      <c r="L230">
        <v>180</v>
      </c>
      <c r="M230">
        <v>34.1</v>
      </c>
      <c r="N230">
        <v>36.9</v>
      </c>
      <c r="O230">
        <v>19.100000000000001</v>
      </c>
      <c r="P230">
        <v>2.4029999999999999E-2</v>
      </c>
      <c r="Q230">
        <v>6.09</v>
      </c>
      <c r="R230">
        <v>18.72</v>
      </c>
      <c r="S230">
        <v>6</v>
      </c>
      <c r="T230">
        <v>6</v>
      </c>
      <c r="U230">
        <v>36</v>
      </c>
      <c r="V230">
        <v>129.60000000000002</v>
      </c>
      <c r="W230">
        <v>244.24</v>
      </c>
      <c r="X230">
        <v>0.86507999999999996</v>
      </c>
      <c r="Y230">
        <v>26.983333333333334</v>
      </c>
      <c r="Z230">
        <v>0.64840949999999997</v>
      </c>
      <c r="AA230">
        <v>0.74953703703703711</v>
      </c>
      <c r="AB230">
        <v>90923.04</v>
      </c>
      <c r="AC230">
        <v>1</v>
      </c>
      <c r="AD230" s="1" t="s">
        <v>40</v>
      </c>
      <c r="AE230">
        <v>1</v>
      </c>
      <c r="AF230">
        <v>0</v>
      </c>
      <c r="AG230">
        <v>9.6710526315789487</v>
      </c>
    </row>
    <row r="231" spans="1:33">
      <c r="A231" s="1" t="s">
        <v>272</v>
      </c>
      <c r="B231" s="1" t="s">
        <v>1297</v>
      </c>
      <c r="C231" s="2">
        <v>46510</v>
      </c>
      <c r="D231" s="1" t="s">
        <v>34</v>
      </c>
      <c r="E231">
        <v>1271</v>
      </c>
      <c r="F231" s="2">
        <v>46081</v>
      </c>
      <c r="G231" s="1" t="s">
        <v>273</v>
      </c>
      <c r="H231" s="1" t="s">
        <v>70</v>
      </c>
      <c r="I231" s="1" t="s">
        <v>37</v>
      </c>
      <c r="J231" s="1" t="s">
        <v>38</v>
      </c>
      <c r="K231" s="1" t="s">
        <v>39</v>
      </c>
      <c r="L231">
        <v>120</v>
      </c>
      <c r="M231">
        <v>40.299999999999997</v>
      </c>
      <c r="N231">
        <v>28.1</v>
      </c>
      <c r="O231">
        <v>23.6</v>
      </c>
      <c r="P231">
        <v>2.673E-2</v>
      </c>
      <c r="Q231">
        <v>6.75</v>
      </c>
      <c r="R231">
        <v>3.27</v>
      </c>
      <c r="S231">
        <v>8</v>
      </c>
      <c r="T231">
        <v>5</v>
      </c>
      <c r="U231">
        <v>40</v>
      </c>
      <c r="V231">
        <v>133</v>
      </c>
      <c r="W231">
        <v>295</v>
      </c>
      <c r="X231">
        <v>1.0691999999999999</v>
      </c>
      <c r="Y231">
        <v>10.591666666666667</v>
      </c>
      <c r="Z231">
        <v>0.28311524999999998</v>
      </c>
      <c r="AA231">
        <v>0.26479166666666665</v>
      </c>
      <c r="AB231">
        <v>4156.17</v>
      </c>
      <c r="AC231">
        <v>1</v>
      </c>
      <c r="AD231" s="1" t="s">
        <v>40</v>
      </c>
      <c r="AE231">
        <v>1</v>
      </c>
      <c r="AF231">
        <v>0</v>
      </c>
      <c r="AG231">
        <v>14.111842105263159</v>
      </c>
    </row>
    <row r="232" spans="1:33">
      <c r="A232" s="1" t="s">
        <v>274</v>
      </c>
      <c r="B232" s="1" t="s">
        <v>1298</v>
      </c>
      <c r="C232" s="2">
        <v>46434</v>
      </c>
      <c r="D232" s="1" t="s">
        <v>34</v>
      </c>
      <c r="E232">
        <v>312</v>
      </c>
      <c r="F232" s="2">
        <v>46081</v>
      </c>
      <c r="G232" s="1" t="s">
        <v>275</v>
      </c>
      <c r="H232" s="1" t="s">
        <v>43</v>
      </c>
      <c r="I232" s="1" t="s">
        <v>37</v>
      </c>
      <c r="J232" s="1" t="s">
        <v>38</v>
      </c>
      <c r="K232" s="1" t="s">
        <v>39</v>
      </c>
      <c r="L232">
        <v>120</v>
      </c>
      <c r="M232">
        <v>57.7</v>
      </c>
      <c r="N232">
        <v>29.1</v>
      </c>
      <c r="O232">
        <v>19.7</v>
      </c>
      <c r="P232">
        <v>3.3079999999999998E-2</v>
      </c>
      <c r="Q232">
        <v>8.25</v>
      </c>
      <c r="R232">
        <v>13.3</v>
      </c>
      <c r="S232">
        <v>6</v>
      </c>
      <c r="T232">
        <v>5</v>
      </c>
      <c r="U232">
        <v>30</v>
      </c>
      <c r="V232">
        <v>113.5</v>
      </c>
      <c r="W232">
        <v>272.5</v>
      </c>
      <c r="X232">
        <v>0.99239999999999995</v>
      </c>
      <c r="Y232">
        <v>2.6</v>
      </c>
      <c r="Z232">
        <v>8.6008000000000001E-2</v>
      </c>
      <c r="AA232">
        <v>8.666666666666667E-2</v>
      </c>
      <c r="AB232">
        <v>4149.6000000000004</v>
      </c>
      <c r="AC232">
        <v>1</v>
      </c>
      <c r="AD232" s="1" t="s">
        <v>44</v>
      </c>
      <c r="AE232">
        <v>0</v>
      </c>
      <c r="AF232">
        <v>1</v>
      </c>
      <c r="AG232">
        <v>11.611842105263159</v>
      </c>
    </row>
    <row r="233" spans="1:33">
      <c r="A233" s="1" t="s">
        <v>276</v>
      </c>
      <c r="B233" s="1" t="s">
        <v>1299</v>
      </c>
      <c r="C233" s="2">
        <v>47092</v>
      </c>
      <c r="D233" s="1" t="s">
        <v>34</v>
      </c>
      <c r="E233">
        <v>1761</v>
      </c>
      <c r="F233" s="2">
        <v>46081</v>
      </c>
      <c r="G233" s="1" t="s">
        <v>277</v>
      </c>
      <c r="H233" s="1" t="s">
        <v>36</v>
      </c>
      <c r="I233" s="1" t="s">
        <v>37</v>
      </c>
      <c r="J233" s="1" t="s">
        <v>38</v>
      </c>
      <c r="K233" s="1" t="s">
        <v>39</v>
      </c>
      <c r="L233">
        <v>240</v>
      </c>
      <c r="M233">
        <v>55.8</v>
      </c>
      <c r="N233">
        <v>44</v>
      </c>
      <c r="O233">
        <v>26.2</v>
      </c>
      <c r="P233">
        <v>6.4329999999999998E-2</v>
      </c>
      <c r="Q233">
        <v>9.93</v>
      </c>
      <c r="R233">
        <v>15.46</v>
      </c>
      <c r="S233">
        <v>4</v>
      </c>
      <c r="T233">
        <v>5</v>
      </c>
      <c r="U233">
        <v>20</v>
      </c>
      <c r="V233">
        <v>146</v>
      </c>
      <c r="W233">
        <v>223.6</v>
      </c>
      <c r="X233">
        <v>1.2866</v>
      </c>
      <c r="Y233">
        <v>7.3375000000000004</v>
      </c>
      <c r="Z233">
        <v>0.47202137500000002</v>
      </c>
      <c r="AA233">
        <v>0.36687500000000001</v>
      </c>
      <c r="AB233">
        <v>27225.06</v>
      </c>
      <c r="AC233">
        <v>1</v>
      </c>
      <c r="AD233" s="1" t="s">
        <v>40</v>
      </c>
      <c r="AE233">
        <v>1</v>
      </c>
      <c r="AF233">
        <v>0</v>
      </c>
      <c r="AG233">
        <v>33.256578947368425</v>
      </c>
    </row>
    <row r="234" spans="1:33">
      <c r="A234" s="1" t="s">
        <v>276</v>
      </c>
      <c r="B234" s="1" t="s">
        <v>1300</v>
      </c>
      <c r="C234" s="2">
        <v>46832</v>
      </c>
      <c r="D234" s="1" t="s">
        <v>34</v>
      </c>
      <c r="E234">
        <v>471</v>
      </c>
      <c r="F234" s="2">
        <v>46081</v>
      </c>
      <c r="G234" s="1" t="s">
        <v>277</v>
      </c>
      <c r="H234" s="1" t="s">
        <v>36</v>
      </c>
      <c r="I234" s="1" t="s">
        <v>37</v>
      </c>
      <c r="J234" s="1" t="s">
        <v>38</v>
      </c>
      <c r="K234" s="1" t="s">
        <v>39</v>
      </c>
      <c r="L234">
        <v>240</v>
      </c>
      <c r="M234">
        <v>55.8</v>
      </c>
      <c r="N234">
        <v>44</v>
      </c>
      <c r="O234">
        <v>26.2</v>
      </c>
      <c r="P234">
        <v>6.4329999999999998E-2</v>
      </c>
      <c r="Q234">
        <v>9.93</v>
      </c>
      <c r="R234">
        <v>15.46</v>
      </c>
      <c r="S234">
        <v>4</v>
      </c>
      <c r="T234">
        <v>5</v>
      </c>
      <c r="U234">
        <v>20</v>
      </c>
      <c r="V234">
        <v>146</v>
      </c>
      <c r="W234">
        <v>223.6</v>
      </c>
      <c r="X234">
        <v>1.2866</v>
      </c>
      <c r="Y234">
        <v>1.9624999999999999</v>
      </c>
      <c r="Z234">
        <v>0.126247625</v>
      </c>
      <c r="AA234">
        <v>9.812499999999999E-2</v>
      </c>
      <c r="AB234">
        <v>7281.6600000000008</v>
      </c>
      <c r="AC234">
        <v>1</v>
      </c>
      <c r="AD234" s="1" t="s">
        <v>44</v>
      </c>
      <c r="AE234">
        <v>0</v>
      </c>
      <c r="AF234">
        <v>1</v>
      </c>
      <c r="AG234">
        <v>24.703947368421055</v>
      </c>
    </row>
    <row r="235" spans="1:33">
      <c r="A235" s="1" t="s">
        <v>278</v>
      </c>
      <c r="B235" s="1" t="s">
        <v>1301</v>
      </c>
      <c r="C235" s="2">
        <v>46386</v>
      </c>
      <c r="D235" s="1" t="s">
        <v>34</v>
      </c>
      <c r="E235">
        <v>697</v>
      </c>
      <c r="F235" s="2">
        <v>46081</v>
      </c>
      <c r="G235" s="1" t="s">
        <v>279</v>
      </c>
      <c r="H235" s="1" t="s">
        <v>43</v>
      </c>
      <c r="I235" s="1" t="s">
        <v>37</v>
      </c>
      <c r="J235" s="1" t="s">
        <v>38</v>
      </c>
      <c r="K235" s="1" t="s">
        <v>39</v>
      </c>
      <c r="L235">
        <v>100</v>
      </c>
      <c r="M235">
        <v>50.7</v>
      </c>
      <c r="N235">
        <v>35.9</v>
      </c>
      <c r="O235">
        <v>21.1</v>
      </c>
      <c r="P235">
        <v>3.8399999999999997E-2</v>
      </c>
      <c r="Q235">
        <v>6.55</v>
      </c>
      <c r="R235">
        <v>19.12</v>
      </c>
      <c r="S235">
        <v>4</v>
      </c>
      <c r="T235">
        <v>4</v>
      </c>
      <c r="U235">
        <v>16</v>
      </c>
      <c r="V235">
        <v>99.4</v>
      </c>
      <c r="W235">
        <v>129.80000000000001</v>
      </c>
      <c r="X235">
        <v>0.61439999999999995</v>
      </c>
      <c r="Y235">
        <v>6.97</v>
      </c>
      <c r="Z235">
        <v>0.26764799999999994</v>
      </c>
      <c r="AA235">
        <v>0.43562499999999998</v>
      </c>
      <c r="AB235">
        <v>13326.640000000001</v>
      </c>
      <c r="AC235">
        <v>1</v>
      </c>
      <c r="AD235" s="1" t="s">
        <v>40</v>
      </c>
      <c r="AE235">
        <v>1</v>
      </c>
      <c r="AF235">
        <v>0</v>
      </c>
      <c r="AG235">
        <v>10.032894736842106</v>
      </c>
    </row>
    <row r="236" spans="1:33">
      <c r="A236" s="1" t="s">
        <v>278</v>
      </c>
      <c r="B236" s="1" t="s">
        <v>1302</v>
      </c>
      <c r="C236" s="2">
        <v>46799</v>
      </c>
      <c r="D236" s="1" t="s">
        <v>49</v>
      </c>
      <c r="E236">
        <v>34</v>
      </c>
      <c r="F236" s="2">
        <v>46081</v>
      </c>
      <c r="G236" s="1" t="s">
        <v>279</v>
      </c>
      <c r="H236" s="1" t="s">
        <v>43</v>
      </c>
      <c r="I236" s="1" t="s">
        <v>37</v>
      </c>
      <c r="J236" s="1" t="s">
        <v>38</v>
      </c>
      <c r="K236" s="1" t="s">
        <v>39</v>
      </c>
      <c r="L236">
        <v>100</v>
      </c>
      <c r="M236">
        <v>50.7</v>
      </c>
      <c r="N236">
        <v>35.9</v>
      </c>
      <c r="O236">
        <v>21.1</v>
      </c>
      <c r="P236">
        <v>3.8399999999999997E-2</v>
      </c>
      <c r="Q236">
        <v>6.55</v>
      </c>
      <c r="R236">
        <v>19.12</v>
      </c>
      <c r="S236">
        <v>4</v>
      </c>
      <c r="T236">
        <v>4</v>
      </c>
      <c r="U236">
        <v>16</v>
      </c>
      <c r="V236">
        <v>99.4</v>
      </c>
      <c r="W236">
        <v>129.80000000000001</v>
      </c>
      <c r="X236">
        <v>0.61439999999999995</v>
      </c>
      <c r="Y236">
        <v>0.34</v>
      </c>
      <c r="Z236">
        <v>1.3056E-2</v>
      </c>
      <c r="AA236">
        <v>2.1250000000000002E-2</v>
      </c>
      <c r="AB236">
        <v>650.08000000000004</v>
      </c>
      <c r="AC236">
        <v>1</v>
      </c>
      <c r="AD236" s="1" t="s">
        <v>44</v>
      </c>
      <c r="AE236">
        <v>0</v>
      </c>
      <c r="AF236">
        <v>1</v>
      </c>
      <c r="AG236">
        <v>23.618421052631579</v>
      </c>
    </row>
    <row r="237" spans="1:33">
      <c r="A237" s="1" t="s">
        <v>280</v>
      </c>
      <c r="B237" s="1" t="s">
        <v>1303</v>
      </c>
      <c r="C237" s="2">
        <v>46769</v>
      </c>
      <c r="D237" s="1" t="s">
        <v>34</v>
      </c>
      <c r="E237">
        <v>54017</v>
      </c>
      <c r="F237" s="2">
        <v>46081</v>
      </c>
      <c r="G237" s="1" t="s">
        <v>281</v>
      </c>
      <c r="H237" s="1" t="s">
        <v>48</v>
      </c>
      <c r="I237" s="1" t="s">
        <v>37</v>
      </c>
      <c r="J237" s="1" t="s">
        <v>38</v>
      </c>
      <c r="K237" s="1" t="s">
        <v>39</v>
      </c>
      <c r="L237">
        <v>240</v>
      </c>
      <c r="M237">
        <v>51</v>
      </c>
      <c r="N237">
        <v>34.200000000000003</v>
      </c>
      <c r="O237">
        <v>23</v>
      </c>
      <c r="P237">
        <v>4.0120000000000003E-2</v>
      </c>
      <c r="Q237">
        <v>8.74</v>
      </c>
      <c r="R237">
        <v>17.59</v>
      </c>
      <c r="S237">
        <v>4</v>
      </c>
      <c r="T237">
        <v>5</v>
      </c>
      <c r="U237">
        <v>20</v>
      </c>
      <c r="V237">
        <v>130</v>
      </c>
      <c r="W237">
        <v>199.8</v>
      </c>
      <c r="X237">
        <v>0.8024</v>
      </c>
      <c r="Y237">
        <v>225.07083333333333</v>
      </c>
      <c r="Z237">
        <v>9.0298418333333341</v>
      </c>
      <c r="AA237">
        <v>11.253541666666667</v>
      </c>
      <c r="AB237">
        <v>950159.03</v>
      </c>
      <c r="AC237">
        <v>12</v>
      </c>
      <c r="AD237" s="1" t="s">
        <v>40</v>
      </c>
      <c r="AE237">
        <v>12</v>
      </c>
      <c r="AF237">
        <v>0</v>
      </c>
      <c r="AG237">
        <v>22.631578947368421</v>
      </c>
    </row>
    <row r="238" spans="1:33">
      <c r="A238" s="1" t="s">
        <v>282</v>
      </c>
      <c r="B238" s="1" t="s">
        <v>1304</v>
      </c>
      <c r="C238" s="2">
        <v>46231</v>
      </c>
      <c r="D238" s="1" t="s">
        <v>34</v>
      </c>
      <c r="E238">
        <v>10014</v>
      </c>
      <c r="F238" s="2">
        <v>46081</v>
      </c>
      <c r="G238" s="1" t="s">
        <v>283</v>
      </c>
      <c r="H238" s="1" t="s">
        <v>43</v>
      </c>
      <c r="I238" s="1" t="s">
        <v>37</v>
      </c>
      <c r="J238" s="1" t="s">
        <v>38</v>
      </c>
      <c r="K238" s="1" t="s">
        <v>39</v>
      </c>
      <c r="L238">
        <v>180</v>
      </c>
      <c r="M238">
        <v>51</v>
      </c>
      <c r="N238">
        <v>44.6</v>
      </c>
      <c r="O238">
        <v>28.7</v>
      </c>
      <c r="P238">
        <v>6.5280000000000005E-2</v>
      </c>
      <c r="Q238">
        <v>10.039999999999999</v>
      </c>
      <c r="R238">
        <v>12.43</v>
      </c>
      <c r="S238">
        <v>3</v>
      </c>
      <c r="T238">
        <v>3</v>
      </c>
      <c r="U238">
        <v>9</v>
      </c>
      <c r="V238">
        <v>101.1</v>
      </c>
      <c r="W238">
        <v>115.36</v>
      </c>
      <c r="X238">
        <v>0.58752000000000004</v>
      </c>
      <c r="Y238">
        <v>55.633333333333333</v>
      </c>
      <c r="Z238">
        <v>3.6317440000000003</v>
      </c>
      <c r="AA238">
        <v>6.1814814814814811</v>
      </c>
      <c r="AB238">
        <v>124474.02</v>
      </c>
      <c r="AC238">
        <v>7</v>
      </c>
      <c r="AD238" s="1" t="s">
        <v>40</v>
      </c>
      <c r="AE238">
        <v>7</v>
      </c>
      <c r="AF238">
        <v>0</v>
      </c>
      <c r="AG238">
        <v>4.9342105263157894</v>
      </c>
    </row>
    <row r="239" spans="1:33">
      <c r="A239" s="1" t="s">
        <v>282</v>
      </c>
      <c r="B239" s="1" t="s">
        <v>1305</v>
      </c>
      <c r="C239" s="2">
        <v>46807</v>
      </c>
      <c r="D239" s="1" t="s">
        <v>34</v>
      </c>
      <c r="E239">
        <v>2947</v>
      </c>
      <c r="F239" s="2">
        <v>46081</v>
      </c>
      <c r="G239" s="1" t="s">
        <v>283</v>
      </c>
      <c r="H239" s="1" t="s">
        <v>43</v>
      </c>
      <c r="I239" s="1" t="s">
        <v>37</v>
      </c>
      <c r="J239" s="1" t="s">
        <v>38</v>
      </c>
      <c r="K239" s="1" t="s">
        <v>39</v>
      </c>
      <c r="L239">
        <v>180</v>
      </c>
      <c r="M239">
        <v>51</v>
      </c>
      <c r="N239">
        <v>44.6</v>
      </c>
      <c r="O239">
        <v>28.7</v>
      </c>
      <c r="P239">
        <v>6.5280000000000005E-2</v>
      </c>
      <c r="Q239">
        <v>10.039999999999999</v>
      </c>
      <c r="R239">
        <v>12.43</v>
      </c>
      <c r="S239">
        <v>3</v>
      </c>
      <c r="T239">
        <v>3</v>
      </c>
      <c r="U239">
        <v>9</v>
      </c>
      <c r="V239">
        <v>101.1</v>
      </c>
      <c r="W239">
        <v>115.36</v>
      </c>
      <c r="X239">
        <v>0.58752000000000004</v>
      </c>
      <c r="Y239">
        <v>16.372222222222224</v>
      </c>
      <c r="Z239">
        <v>1.0687786666666668</v>
      </c>
      <c r="AA239">
        <v>1.819135802469136</v>
      </c>
      <c r="AB239">
        <v>36631.21</v>
      </c>
      <c r="AC239">
        <v>2</v>
      </c>
      <c r="AD239" s="1" t="s">
        <v>40</v>
      </c>
      <c r="AE239">
        <v>2</v>
      </c>
      <c r="AF239">
        <v>0</v>
      </c>
      <c r="AG239">
        <v>23.881578947368421</v>
      </c>
    </row>
    <row r="240" spans="1:33">
      <c r="A240" s="1" t="s">
        <v>282</v>
      </c>
      <c r="B240" s="1" t="s">
        <v>1306</v>
      </c>
      <c r="C240" s="2">
        <v>45759</v>
      </c>
      <c r="D240" s="1" t="s">
        <v>73</v>
      </c>
      <c r="E240">
        <v>1036</v>
      </c>
      <c r="F240" s="2">
        <v>46081</v>
      </c>
      <c r="G240" s="1" t="s">
        <v>283</v>
      </c>
      <c r="H240" s="1" t="s">
        <v>43</v>
      </c>
      <c r="I240" s="1" t="s">
        <v>37</v>
      </c>
      <c r="J240" s="1" t="s">
        <v>38</v>
      </c>
      <c r="K240" s="1" t="s">
        <v>39</v>
      </c>
      <c r="L240">
        <v>180</v>
      </c>
      <c r="M240">
        <v>51</v>
      </c>
      <c r="N240">
        <v>44.6</v>
      </c>
      <c r="O240">
        <v>28.7</v>
      </c>
      <c r="P240">
        <v>6.5280000000000005E-2</v>
      </c>
      <c r="Q240">
        <v>10.039999999999999</v>
      </c>
      <c r="R240">
        <v>12.43</v>
      </c>
      <c r="S240">
        <v>3</v>
      </c>
      <c r="T240">
        <v>3</v>
      </c>
      <c r="U240">
        <v>9</v>
      </c>
      <c r="V240">
        <v>101.1</v>
      </c>
      <c r="W240">
        <v>115.36</v>
      </c>
      <c r="X240">
        <v>0.58752000000000004</v>
      </c>
      <c r="Y240">
        <v>5.7555555555555555</v>
      </c>
      <c r="Z240">
        <v>0.3757226666666667</v>
      </c>
      <c r="AA240">
        <v>0.63950617283950617</v>
      </c>
      <c r="AB240">
        <v>12877.48</v>
      </c>
      <c r="AC240">
        <v>1</v>
      </c>
      <c r="AD240" s="1" t="s">
        <v>74</v>
      </c>
      <c r="AE240">
        <v>0</v>
      </c>
      <c r="AF240">
        <v>0</v>
      </c>
      <c r="AG240">
        <v>-10.592105263157896</v>
      </c>
    </row>
    <row r="241" spans="1:33">
      <c r="A241" s="1" t="s">
        <v>284</v>
      </c>
      <c r="B241" s="1" t="s">
        <v>1307</v>
      </c>
      <c r="C241" s="2">
        <v>46828</v>
      </c>
      <c r="D241" s="1" t="s">
        <v>34</v>
      </c>
      <c r="E241">
        <v>18210</v>
      </c>
      <c r="F241" s="2">
        <v>46081</v>
      </c>
      <c r="G241" s="1" t="s">
        <v>285</v>
      </c>
      <c r="H241" s="1" t="s">
        <v>43</v>
      </c>
      <c r="I241" s="1" t="s">
        <v>37</v>
      </c>
      <c r="J241" s="1" t="s">
        <v>38</v>
      </c>
      <c r="K241" s="1" t="s">
        <v>39</v>
      </c>
      <c r="L241">
        <v>120</v>
      </c>
      <c r="M241">
        <v>39.200000000000003</v>
      </c>
      <c r="N241">
        <v>28.6</v>
      </c>
      <c r="O241">
        <v>15.9</v>
      </c>
      <c r="P241">
        <v>1.7829999999999999E-2</v>
      </c>
      <c r="Q241">
        <v>5.18</v>
      </c>
      <c r="R241">
        <v>9.5299999999999994</v>
      </c>
      <c r="S241">
        <v>9</v>
      </c>
      <c r="T241">
        <v>4</v>
      </c>
      <c r="U241">
        <v>36</v>
      </c>
      <c r="V241">
        <v>78.599999999999994</v>
      </c>
      <c r="W241">
        <v>211.48</v>
      </c>
      <c r="X241">
        <v>0.64188000000000001</v>
      </c>
      <c r="Y241">
        <v>151.75</v>
      </c>
      <c r="Z241">
        <v>2.7057024999999997</v>
      </c>
      <c r="AA241">
        <v>4.2152777777777777</v>
      </c>
      <c r="AB241">
        <v>173541.3</v>
      </c>
      <c r="AC241">
        <v>5</v>
      </c>
      <c r="AD241" s="1" t="s">
        <v>40</v>
      </c>
      <c r="AE241">
        <v>5</v>
      </c>
      <c r="AF241">
        <v>0</v>
      </c>
      <c r="AG241">
        <v>24.572368421052634</v>
      </c>
    </row>
    <row r="242" spans="1:33">
      <c r="A242" s="1" t="s">
        <v>284</v>
      </c>
      <c r="B242" s="1" t="s">
        <v>1308</v>
      </c>
      <c r="C242" s="2">
        <v>46424</v>
      </c>
      <c r="D242" s="1" t="s">
        <v>45</v>
      </c>
      <c r="E242">
        <v>364</v>
      </c>
      <c r="F242" s="2">
        <v>46081</v>
      </c>
      <c r="G242" s="1" t="s">
        <v>285</v>
      </c>
      <c r="H242" s="1" t="s">
        <v>43</v>
      </c>
      <c r="I242" s="1" t="s">
        <v>37</v>
      </c>
      <c r="J242" s="1" t="s">
        <v>38</v>
      </c>
      <c r="K242" s="1" t="s">
        <v>39</v>
      </c>
      <c r="L242">
        <v>120</v>
      </c>
      <c r="M242">
        <v>39.200000000000003</v>
      </c>
      <c r="N242">
        <v>28.6</v>
      </c>
      <c r="O242">
        <v>15.9</v>
      </c>
      <c r="P242">
        <v>1.7829999999999999E-2</v>
      </c>
      <c r="Q242">
        <v>5.18</v>
      </c>
      <c r="R242">
        <v>9.5299999999999994</v>
      </c>
      <c r="S242">
        <v>9</v>
      </c>
      <c r="T242">
        <v>4</v>
      </c>
      <c r="U242">
        <v>36</v>
      </c>
      <c r="V242">
        <v>78.599999999999994</v>
      </c>
      <c r="W242">
        <v>211.48</v>
      </c>
      <c r="X242">
        <v>0.64188000000000001</v>
      </c>
      <c r="Y242">
        <v>3.0333333333333332</v>
      </c>
      <c r="Z242">
        <v>5.4084333333333325E-2</v>
      </c>
      <c r="AA242">
        <v>8.4259259259259256E-2</v>
      </c>
      <c r="AB242">
        <v>3468.9199999999996</v>
      </c>
      <c r="AC242">
        <v>1</v>
      </c>
      <c r="AD242" s="1" t="s">
        <v>44</v>
      </c>
      <c r="AE242">
        <v>0</v>
      </c>
      <c r="AF242">
        <v>1</v>
      </c>
      <c r="AG242">
        <v>11.282894736842106</v>
      </c>
    </row>
    <row r="243" spans="1:33">
      <c r="A243" s="1" t="s">
        <v>284</v>
      </c>
      <c r="B243" s="1" t="s">
        <v>1309</v>
      </c>
      <c r="C243" s="2">
        <v>45825</v>
      </c>
      <c r="D243" s="1" t="s">
        <v>73</v>
      </c>
      <c r="E243">
        <v>1456</v>
      </c>
      <c r="F243" s="2">
        <v>46081</v>
      </c>
      <c r="G243" s="1" t="s">
        <v>285</v>
      </c>
      <c r="H243" s="1" t="s">
        <v>43</v>
      </c>
      <c r="I243" s="1" t="s">
        <v>37</v>
      </c>
      <c r="J243" s="1" t="s">
        <v>38</v>
      </c>
      <c r="K243" s="1" t="s">
        <v>39</v>
      </c>
      <c r="L243">
        <v>120</v>
      </c>
      <c r="M243">
        <v>39.200000000000003</v>
      </c>
      <c r="N243">
        <v>28.6</v>
      </c>
      <c r="O243">
        <v>15.9</v>
      </c>
      <c r="P243">
        <v>1.7829999999999999E-2</v>
      </c>
      <c r="Q243">
        <v>5.18</v>
      </c>
      <c r="R243">
        <v>9.5299999999999994</v>
      </c>
      <c r="S243">
        <v>9</v>
      </c>
      <c r="T243">
        <v>4</v>
      </c>
      <c r="U243">
        <v>36</v>
      </c>
      <c r="V243">
        <v>78.599999999999994</v>
      </c>
      <c r="W243">
        <v>211.48</v>
      </c>
      <c r="X243">
        <v>0.64188000000000001</v>
      </c>
      <c r="Y243">
        <v>12.133333333333333</v>
      </c>
      <c r="Z243">
        <v>0.2163373333333333</v>
      </c>
      <c r="AA243">
        <v>0.33703703703703702</v>
      </c>
      <c r="AB243">
        <v>13875.679999999998</v>
      </c>
      <c r="AC243">
        <v>1</v>
      </c>
      <c r="AD243" s="1" t="s">
        <v>74</v>
      </c>
      <c r="AE243">
        <v>0</v>
      </c>
      <c r="AF243">
        <v>0</v>
      </c>
      <c r="AG243">
        <v>-8.4210526315789469</v>
      </c>
    </row>
    <row r="244" spans="1:33">
      <c r="A244" s="1" t="s">
        <v>286</v>
      </c>
      <c r="B244" s="1" t="s">
        <v>1310</v>
      </c>
      <c r="C244" s="2">
        <v>46258</v>
      </c>
      <c r="D244" s="1" t="s">
        <v>34</v>
      </c>
      <c r="E244">
        <v>21788</v>
      </c>
      <c r="F244" s="2">
        <v>46081</v>
      </c>
      <c r="G244" s="1" t="s">
        <v>287</v>
      </c>
      <c r="H244" s="1" t="s">
        <v>70</v>
      </c>
      <c r="I244" s="1" t="s">
        <v>37</v>
      </c>
      <c r="J244" s="1" t="s">
        <v>38</v>
      </c>
      <c r="K244" s="1" t="s">
        <v>39</v>
      </c>
      <c r="L244">
        <v>100</v>
      </c>
      <c r="M244">
        <v>58.1</v>
      </c>
      <c r="N244">
        <v>27</v>
      </c>
      <c r="O244">
        <v>27.1</v>
      </c>
      <c r="P244">
        <v>4.2509999999999999E-2</v>
      </c>
      <c r="Q244">
        <v>8.86</v>
      </c>
      <c r="R244">
        <v>17.3</v>
      </c>
      <c r="S244">
        <v>6</v>
      </c>
      <c r="T244">
        <v>4</v>
      </c>
      <c r="U244">
        <v>24</v>
      </c>
      <c r="V244">
        <v>123.4</v>
      </c>
      <c r="W244">
        <v>237.64</v>
      </c>
      <c r="X244">
        <v>1.02024</v>
      </c>
      <c r="Y244">
        <v>217.88</v>
      </c>
      <c r="Z244">
        <v>9.2620787999999994</v>
      </c>
      <c r="AA244">
        <v>9.0783333333333331</v>
      </c>
      <c r="AB244">
        <v>376932.4</v>
      </c>
      <c r="AC244">
        <v>10</v>
      </c>
      <c r="AD244" s="1" t="s">
        <v>40</v>
      </c>
      <c r="AE244">
        <v>10</v>
      </c>
      <c r="AF244">
        <v>0</v>
      </c>
      <c r="AG244">
        <v>5.8223684210526319</v>
      </c>
    </row>
    <row r="245" spans="1:33">
      <c r="A245" s="1" t="s">
        <v>288</v>
      </c>
      <c r="B245" s="1" t="s">
        <v>1311</v>
      </c>
      <c r="C245" s="2">
        <v>46452</v>
      </c>
      <c r="D245" s="1" t="s">
        <v>34</v>
      </c>
      <c r="E245">
        <v>26105</v>
      </c>
      <c r="F245" s="2">
        <v>46081</v>
      </c>
      <c r="G245" s="1" t="s">
        <v>289</v>
      </c>
      <c r="H245" s="1" t="s">
        <v>43</v>
      </c>
      <c r="I245" s="1" t="s">
        <v>37</v>
      </c>
      <c r="J245" s="1" t="s">
        <v>38</v>
      </c>
      <c r="K245" s="1" t="s">
        <v>39</v>
      </c>
      <c r="L245">
        <v>240</v>
      </c>
      <c r="M245">
        <v>36.299999999999997</v>
      </c>
      <c r="N245">
        <v>40.700000000000003</v>
      </c>
      <c r="O245">
        <v>25.7</v>
      </c>
      <c r="P245">
        <v>3.7969999999999997E-2</v>
      </c>
      <c r="Q245">
        <v>6.46</v>
      </c>
      <c r="R245">
        <v>19.14</v>
      </c>
      <c r="S245">
        <v>6</v>
      </c>
      <c r="T245">
        <v>5</v>
      </c>
      <c r="U245">
        <v>30</v>
      </c>
      <c r="V245">
        <v>143.5</v>
      </c>
      <c r="W245">
        <v>218.8</v>
      </c>
      <c r="X245">
        <v>1.1391</v>
      </c>
      <c r="Y245">
        <v>108.77083333333333</v>
      </c>
      <c r="Z245">
        <v>4.1300285416666664</v>
      </c>
      <c r="AA245">
        <v>3.6256944444444441</v>
      </c>
      <c r="AB245">
        <v>499649.7</v>
      </c>
      <c r="AC245">
        <v>4</v>
      </c>
      <c r="AD245" s="1" t="s">
        <v>40</v>
      </c>
      <c r="AE245">
        <v>4</v>
      </c>
      <c r="AF245">
        <v>0</v>
      </c>
      <c r="AG245">
        <v>12.203947368421053</v>
      </c>
    </row>
    <row r="246" spans="1:33">
      <c r="A246" s="1" t="s">
        <v>290</v>
      </c>
      <c r="B246" s="1" t="s">
        <v>1312</v>
      </c>
      <c r="C246" s="2">
        <v>46487</v>
      </c>
      <c r="D246" s="1" t="s">
        <v>34</v>
      </c>
      <c r="E246">
        <v>2299</v>
      </c>
      <c r="F246" s="2">
        <v>46081</v>
      </c>
      <c r="G246" s="1" t="s">
        <v>291</v>
      </c>
      <c r="H246" s="1" t="s">
        <v>48</v>
      </c>
      <c r="I246" s="1" t="s">
        <v>37</v>
      </c>
      <c r="J246" s="1" t="s">
        <v>38</v>
      </c>
      <c r="K246" s="1" t="s">
        <v>39</v>
      </c>
      <c r="L246">
        <v>120</v>
      </c>
      <c r="M246">
        <v>42.1</v>
      </c>
      <c r="N246">
        <v>35.5</v>
      </c>
      <c r="O246">
        <v>27.2</v>
      </c>
      <c r="P246">
        <v>4.0649999999999999E-2</v>
      </c>
      <c r="Q246">
        <v>10.050000000000001</v>
      </c>
      <c r="R246">
        <v>5.5</v>
      </c>
      <c r="S246">
        <v>6</v>
      </c>
      <c r="T246">
        <v>5</v>
      </c>
      <c r="U246">
        <v>30</v>
      </c>
      <c r="V246">
        <v>151</v>
      </c>
      <c r="W246">
        <v>326.5</v>
      </c>
      <c r="X246">
        <v>1.2195</v>
      </c>
      <c r="Y246">
        <v>19.158333333333335</v>
      </c>
      <c r="Z246">
        <v>0.77878625000000001</v>
      </c>
      <c r="AA246">
        <v>0.63861111111111113</v>
      </c>
      <c r="AB246">
        <v>12644.5</v>
      </c>
      <c r="AC246">
        <v>1</v>
      </c>
      <c r="AD246" s="1" t="s">
        <v>40</v>
      </c>
      <c r="AE246">
        <v>1</v>
      </c>
      <c r="AF246">
        <v>0</v>
      </c>
      <c r="AG246">
        <v>13.355263157894738</v>
      </c>
    </row>
    <row r="247" spans="1:33">
      <c r="A247" s="1" t="s">
        <v>290</v>
      </c>
      <c r="B247" s="1" t="s">
        <v>1313</v>
      </c>
      <c r="C247" s="2">
        <v>46414</v>
      </c>
      <c r="D247" s="1" t="s">
        <v>34</v>
      </c>
      <c r="E247">
        <v>1154</v>
      </c>
      <c r="F247" s="2">
        <v>46081</v>
      </c>
      <c r="G247" s="1" t="s">
        <v>291</v>
      </c>
      <c r="H247" s="1" t="s">
        <v>48</v>
      </c>
      <c r="I247" s="1" t="s">
        <v>37</v>
      </c>
      <c r="J247" s="1" t="s">
        <v>38</v>
      </c>
      <c r="K247" s="1" t="s">
        <v>39</v>
      </c>
      <c r="L247">
        <v>120</v>
      </c>
      <c r="M247">
        <v>42.1</v>
      </c>
      <c r="N247">
        <v>35.5</v>
      </c>
      <c r="O247">
        <v>27.2</v>
      </c>
      <c r="P247">
        <v>4.0649999999999999E-2</v>
      </c>
      <c r="Q247">
        <v>10.050000000000001</v>
      </c>
      <c r="R247">
        <v>5.5</v>
      </c>
      <c r="S247">
        <v>6</v>
      </c>
      <c r="T247">
        <v>5</v>
      </c>
      <c r="U247">
        <v>30</v>
      </c>
      <c r="V247">
        <v>151</v>
      </c>
      <c r="W247">
        <v>326.5</v>
      </c>
      <c r="X247">
        <v>1.2195</v>
      </c>
      <c r="Y247">
        <v>9.6166666666666671</v>
      </c>
      <c r="Z247">
        <v>0.39091750000000003</v>
      </c>
      <c r="AA247">
        <v>0.32055555555555559</v>
      </c>
      <c r="AB247">
        <v>6347</v>
      </c>
      <c r="AC247">
        <v>1</v>
      </c>
      <c r="AD247" s="1" t="s">
        <v>40</v>
      </c>
      <c r="AE247">
        <v>1</v>
      </c>
      <c r="AF247">
        <v>0</v>
      </c>
      <c r="AG247">
        <v>10.953947368421053</v>
      </c>
    </row>
    <row r="248" spans="1:33">
      <c r="A248" s="1" t="s">
        <v>290</v>
      </c>
      <c r="B248" s="1" t="s">
        <v>1314</v>
      </c>
      <c r="C248" s="2">
        <v>46974</v>
      </c>
      <c r="D248" s="1" t="s">
        <v>34</v>
      </c>
      <c r="E248">
        <v>365</v>
      </c>
      <c r="F248" s="2">
        <v>46081</v>
      </c>
      <c r="G248" s="1" t="s">
        <v>291</v>
      </c>
      <c r="H248" s="1" t="s">
        <v>48</v>
      </c>
      <c r="I248" s="1" t="s">
        <v>37</v>
      </c>
      <c r="J248" s="1" t="s">
        <v>38</v>
      </c>
      <c r="K248" s="1" t="s">
        <v>39</v>
      </c>
      <c r="L248">
        <v>120</v>
      </c>
      <c r="M248">
        <v>42.1</v>
      </c>
      <c r="N248">
        <v>35.5</v>
      </c>
      <c r="O248">
        <v>27.2</v>
      </c>
      <c r="P248">
        <v>4.0649999999999999E-2</v>
      </c>
      <c r="Q248">
        <v>10.050000000000001</v>
      </c>
      <c r="R248">
        <v>5.5</v>
      </c>
      <c r="S248">
        <v>6</v>
      </c>
      <c r="T248">
        <v>5</v>
      </c>
      <c r="U248">
        <v>30</v>
      </c>
      <c r="V248">
        <v>151</v>
      </c>
      <c r="W248">
        <v>326.5</v>
      </c>
      <c r="X248">
        <v>1.2195</v>
      </c>
      <c r="Y248">
        <v>3.0416666666666665</v>
      </c>
      <c r="Z248">
        <v>0.12364375</v>
      </c>
      <c r="AA248">
        <v>0.10138888888888889</v>
      </c>
      <c r="AB248">
        <v>2007.5</v>
      </c>
      <c r="AC248">
        <v>1</v>
      </c>
      <c r="AD248" s="1" t="s">
        <v>44</v>
      </c>
      <c r="AE248">
        <v>0</v>
      </c>
      <c r="AF248">
        <v>1</v>
      </c>
      <c r="AG248">
        <v>29.375</v>
      </c>
    </row>
    <row r="249" spans="1:33">
      <c r="A249" s="1" t="s">
        <v>290</v>
      </c>
      <c r="B249" s="1" t="s">
        <v>1315</v>
      </c>
      <c r="C249" s="2">
        <v>47124</v>
      </c>
      <c r="D249" s="1" t="s">
        <v>34</v>
      </c>
      <c r="E249">
        <v>229</v>
      </c>
      <c r="F249" s="2">
        <v>46081</v>
      </c>
      <c r="G249" s="1" t="s">
        <v>291</v>
      </c>
      <c r="H249" s="1" t="s">
        <v>48</v>
      </c>
      <c r="I249" s="1" t="s">
        <v>37</v>
      </c>
      <c r="J249" s="1" t="s">
        <v>38</v>
      </c>
      <c r="K249" s="1" t="s">
        <v>39</v>
      </c>
      <c r="L249">
        <v>120</v>
      </c>
      <c r="M249">
        <v>42.1</v>
      </c>
      <c r="N249">
        <v>35.5</v>
      </c>
      <c r="O249">
        <v>27.2</v>
      </c>
      <c r="P249">
        <v>4.0649999999999999E-2</v>
      </c>
      <c r="Q249">
        <v>10.050000000000001</v>
      </c>
      <c r="R249">
        <v>5.5</v>
      </c>
      <c r="S249">
        <v>6</v>
      </c>
      <c r="T249">
        <v>5</v>
      </c>
      <c r="U249">
        <v>30</v>
      </c>
      <c r="V249">
        <v>151</v>
      </c>
      <c r="W249">
        <v>326.5</v>
      </c>
      <c r="X249">
        <v>1.2195</v>
      </c>
      <c r="Y249">
        <v>1.9083333333333334</v>
      </c>
      <c r="Z249">
        <v>7.7573749999999997E-2</v>
      </c>
      <c r="AA249">
        <v>6.3611111111111118E-2</v>
      </c>
      <c r="AB249">
        <v>1259.5</v>
      </c>
      <c r="AC249">
        <v>1</v>
      </c>
      <c r="AD249" s="1" t="s">
        <v>44</v>
      </c>
      <c r="AE249">
        <v>0</v>
      </c>
      <c r="AF249">
        <v>1</v>
      </c>
      <c r="AG249">
        <v>34.309210526315788</v>
      </c>
    </row>
    <row r="250" spans="1:33">
      <c r="A250" s="1" t="s">
        <v>290</v>
      </c>
      <c r="B250" s="1" t="s">
        <v>1316</v>
      </c>
      <c r="C250" s="2">
        <v>46441</v>
      </c>
      <c r="D250" s="1" t="s">
        <v>34</v>
      </c>
      <c r="E250">
        <v>719</v>
      </c>
      <c r="F250" s="2">
        <v>46081</v>
      </c>
      <c r="G250" s="1" t="s">
        <v>291</v>
      </c>
      <c r="H250" s="1" t="s">
        <v>48</v>
      </c>
      <c r="I250" s="1" t="s">
        <v>37</v>
      </c>
      <c r="J250" s="1" t="s">
        <v>38</v>
      </c>
      <c r="K250" s="1" t="s">
        <v>39</v>
      </c>
      <c r="L250">
        <v>120</v>
      </c>
      <c r="M250">
        <v>42.1</v>
      </c>
      <c r="N250">
        <v>35.5</v>
      </c>
      <c r="O250">
        <v>27.2</v>
      </c>
      <c r="P250">
        <v>4.0649999999999999E-2</v>
      </c>
      <c r="Q250">
        <v>10.050000000000001</v>
      </c>
      <c r="R250">
        <v>5.5</v>
      </c>
      <c r="S250">
        <v>6</v>
      </c>
      <c r="T250">
        <v>5</v>
      </c>
      <c r="U250">
        <v>30</v>
      </c>
      <c r="V250">
        <v>151</v>
      </c>
      <c r="W250">
        <v>326.5</v>
      </c>
      <c r="X250">
        <v>1.2195</v>
      </c>
      <c r="Y250">
        <v>5.9916666666666663</v>
      </c>
      <c r="Z250">
        <v>0.24356124999999998</v>
      </c>
      <c r="AA250">
        <v>0.19972222222222222</v>
      </c>
      <c r="AB250">
        <v>3954.5</v>
      </c>
      <c r="AC250">
        <v>1</v>
      </c>
      <c r="AD250" s="1" t="s">
        <v>44</v>
      </c>
      <c r="AE250">
        <v>0</v>
      </c>
      <c r="AF250">
        <v>1</v>
      </c>
      <c r="AG250">
        <v>11.842105263157896</v>
      </c>
    </row>
    <row r="251" spans="1:33">
      <c r="A251" s="1" t="s">
        <v>292</v>
      </c>
      <c r="B251" s="1" t="s">
        <v>1317</v>
      </c>
      <c r="C251" s="2">
        <v>46706</v>
      </c>
      <c r="D251" s="1" t="s">
        <v>34</v>
      </c>
      <c r="E251">
        <v>7467</v>
      </c>
      <c r="F251" s="2">
        <v>46081</v>
      </c>
      <c r="G251" s="1" t="s">
        <v>293</v>
      </c>
      <c r="H251" s="1" t="s">
        <v>43</v>
      </c>
      <c r="I251" s="1" t="s">
        <v>37</v>
      </c>
      <c r="J251" s="1" t="s">
        <v>38</v>
      </c>
      <c r="K251" s="1" t="s">
        <v>39</v>
      </c>
      <c r="L251">
        <v>180</v>
      </c>
      <c r="M251">
        <v>41.1</v>
      </c>
      <c r="N251">
        <v>32.6</v>
      </c>
      <c r="O251">
        <v>29.1</v>
      </c>
      <c r="P251">
        <v>3.8989999999999997E-2</v>
      </c>
      <c r="Q251">
        <v>10.49</v>
      </c>
      <c r="R251">
        <v>10.79</v>
      </c>
      <c r="S251">
        <v>5</v>
      </c>
      <c r="T251">
        <v>5</v>
      </c>
      <c r="U251">
        <v>25</v>
      </c>
      <c r="V251">
        <v>160.5</v>
      </c>
      <c r="W251">
        <v>287.25</v>
      </c>
      <c r="X251">
        <v>0.97475000000000001</v>
      </c>
      <c r="Y251">
        <v>41.483333333333334</v>
      </c>
      <c r="Z251">
        <v>1.6174351666666666</v>
      </c>
      <c r="AA251">
        <v>1.6593333333333333</v>
      </c>
      <c r="AB251">
        <v>80568.929999999993</v>
      </c>
      <c r="AC251">
        <v>2</v>
      </c>
      <c r="AD251" s="1" t="s">
        <v>40</v>
      </c>
      <c r="AE251">
        <v>2</v>
      </c>
      <c r="AF251">
        <v>0</v>
      </c>
      <c r="AG251">
        <v>20.559210526315791</v>
      </c>
    </row>
    <row r="252" spans="1:33">
      <c r="A252" s="1" t="s">
        <v>292</v>
      </c>
      <c r="B252" s="1" t="s">
        <v>1318</v>
      </c>
      <c r="C252" s="2">
        <v>46475</v>
      </c>
      <c r="D252" s="1" t="s">
        <v>34</v>
      </c>
      <c r="E252">
        <v>122</v>
      </c>
      <c r="F252" s="2">
        <v>46081</v>
      </c>
      <c r="G252" s="1" t="s">
        <v>293</v>
      </c>
      <c r="H252" s="1" t="s">
        <v>43</v>
      </c>
      <c r="I252" s="1" t="s">
        <v>37</v>
      </c>
      <c r="J252" s="1" t="s">
        <v>38</v>
      </c>
      <c r="K252" s="1" t="s">
        <v>39</v>
      </c>
      <c r="L252">
        <v>180</v>
      </c>
      <c r="M252">
        <v>41.1</v>
      </c>
      <c r="N252">
        <v>32.6</v>
      </c>
      <c r="O252">
        <v>29.1</v>
      </c>
      <c r="P252">
        <v>3.8989999999999997E-2</v>
      </c>
      <c r="Q252">
        <v>10.49</v>
      </c>
      <c r="R252">
        <v>10.79</v>
      </c>
      <c r="S252">
        <v>5</v>
      </c>
      <c r="T252">
        <v>5</v>
      </c>
      <c r="U252">
        <v>25</v>
      </c>
      <c r="V252">
        <v>160.5</v>
      </c>
      <c r="W252">
        <v>287.25</v>
      </c>
      <c r="X252">
        <v>0.97475000000000001</v>
      </c>
      <c r="Y252">
        <v>0.67777777777777781</v>
      </c>
      <c r="Z252">
        <v>2.6426555555555554E-2</v>
      </c>
      <c r="AA252">
        <v>2.7111111111111114E-2</v>
      </c>
      <c r="AB252">
        <v>1316.3799999999999</v>
      </c>
      <c r="AC252">
        <v>1</v>
      </c>
      <c r="AD252" s="1" t="s">
        <v>44</v>
      </c>
      <c r="AE252">
        <v>0</v>
      </c>
      <c r="AF252">
        <v>1</v>
      </c>
      <c r="AG252">
        <v>12.960526315789474</v>
      </c>
    </row>
    <row r="253" spans="1:33">
      <c r="A253" s="1" t="s">
        <v>292</v>
      </c>
      <c r="B253" s="1" t="s">
        <v>1319</v>
      </c>
      <c r="C253" s="2">
        <v>45818</v>
      </c>
      <c r="D253" s="1" t="s">
        <v>73</v>
      </c>
      <c r="E253">
        <v>607</v>
      </c>
      <c r="F253" s="2">
        <v>46081</v>
      </c>
      <c r="G253" s="1" t="s">
        <v>293</v>
      </c>
      <c r="H253" s="1" t="s">
        <v>43</v>
      </c>
      <c r="I253" s="1" t="s">
        <v>37</v>
      </c>
      <c r="J253" s="1" t="s">
        <v>38</v>
      </c>
      <c r="K253" s="1" t="s">
        <v>39</v>
      </c>
      <c r="L253">
        <v>180</v>
      </c>
      <c r="M253">
        <v>41.1</v>
      </c>
      <c r="N253">
        <v>32.6</v>
      </c>
      <c r="O253">
        <v>29.1</v>
      </c>
      <c r="P253">
        <v>3.8989999999999997E-2</v>
      </c>
      <c r="Q253">
        <v>10.49</v>
      </c>
      <c r="R253">
        <v>10.79</v>
      </c>
      <c r="S253">
        <v>5</v>
      </c>
      <c r="T253">
        <v>5</v>
      </c>
      <c r="U253">
        <v>25</v>
      </c>
      <c r="V253">
        <v>160.5</v>
      </c>
      <c r="W253">
        <v>287.25</v>
      </c>
      <c r="X253">
        <v>0.97475000000000001</v>
      </c>
      <c r="Y253">
        <v>3.3722222222222222</v>
      </c>
      <c r="Z253">
        <v>0.13148294444444444</v>
      </c>
      <c r="AA253">
        <v>0.13488888888888889</v>
      </c>
      <c r="AB253">
        <v>6549.53</v>
      </c>
      <c r="AC253">
        <v>1</v>
      </c>
      <c r="AD253" s="1" t="s">
        <v>74</v>
      </c>
      <c r="AE253">
        <v>0</v>
      </c>
      <c r="AF253">
        <v>0</v>
      </c>
      <c r="AG253">
        <v>-8.651315789473685</v>
      </c>
    </row>
    <row r="254" spans="1:33">
      <c r="A254" s="1" t="s">
        <v>294</v>
      </c>
      <c r="B254" s="1" t="s">
        <v>1320</v>
      </c>
      <c r="C254" s="2">
        <v>46231</v>
      </c>
      <c r="D254" s="1" t="s">
        <v>34</v>
      </c>
      <c r="E254">
        <v>136</v>
      </c>
      <c r="F254" s="2">
        <v>46081</v>
      </c>
      <c r="G254" s="1" t="s">
        <v>295</v>
      </c>
      <c r="H254" s="1" t="s">
        <v>48</v>
      </c>
      <c r="I254" s="1" t="s">
        <v>37</v>
      </c>
      <c r="J254" s="1" t="s">
        <v>38</v>
      </c>
      <c r="K254" s="1" t="s">
        <v>39</v>
      </c>
      <c r="L254">
        <v>180</v>
      </c>
      <c r="M254">
        <v>39</v>
      </c>
      <c r="N254">
        <v>27.1</v>
      </c>
      <c r="O254">
        <v>16.7</v>
      </c>
      <c r="P254">
        <v>1.7649999999999999E-2</v>
      </c>
      <c r="Q254">
        <v>4.41</v>
      </c>
      <c r="R254">
        <v>7.11</v>
      </c>
      <c r="S254">
        <v>9</v>
      </c>
      <c r="T254">
        <v>8</v>
      </c>
      <c r="U254">
        <v>72</v>
      </c>
      <c r="V254">
        <v>148.6</v>
      </c>
      <c r="W254">
        <v>342.52</v>
      </c>
      <c r="X254">
        <v>1.2707999999999999</v>
      </c>
      <c r="Y254">
        <v>0.75555555555555554</v>
      </c>
      <c r="Z254">
        <v>1.3335555555555554E-2</v>
      </c>
      <c r="AA254">
        <v>1.0493827160493827E-2</v>
      </c>
      <c r="AB254">
        <v>966.96</v>
      </c>
      <c r="AC254">
        <v>1</v>
      </c>
      <c r="AD254" s="1" t="s">
        <v>44</v>
      </c>
      <c r="AE254">
        <v>0</v>
      </c>
      <c r="AF254">
        <v>1</v>
      </c>
      <c r="AG254">
        <v>4.9342105263157894</v>
      </c>
    </row>
    <row r="255" spans="1:33">
      <c r="A255" s="1" t="s">
        <v>294</v>
      </c>
      <c r="B255" s="1" t="s">
        <v>1321</v>
      </c>
      <c r="C255" s="2">
        <v>46474</v>
      </c>
      <c r="D255" s="1" t="s">
        <v>34</v>
      </c>
      <c r="E255">
        <v>3</v>
      </c>
      <c r="F255" s="2">
        <v>46081</v>
      </c>
      <c r="G255" s="1" t="s">
        <v>295</v>
      </c>
      <c r="H255" s="1" t="s">
        <v>48</v>
      </c>
      <c r="I255" s="1" t="s">
        <v>37</v>
      </c>
      <c r="J255" s="1" t="s">
        <v>38</v>
      </c>
      <c r="K255" s="1" t="s">
        <v>39</v>
      </c>
      <c r="L255">
        <v>180</v>
      </c>
      <c r="M255">
        <v>39</v>
      </c>
      <c r="N255">
        <v>27.1</v>
      </c>
      <c r="O255">
        <v>16.7</v>
      </c>
      <c r="P255">
        <v>1.7649999999999999E-2</v>
      </c>
      <c r="Q255">
        <v>4.41</v>
      </c>
      <c r="R255">
        <v>7.11</v>
      </c>
      <c r="S255">
        <v>9</v>
      </c>
      <c r="T255">
        <v>8</v>
      </c>
      <c r="U255">
        <v>72</v>
      </c>
      <c r="V255">
        <v>148.6</v>
      </c>
      <c r="W255">
        <v>342.52</v>
      </c>
      <c r="X255">
        <v>1.2707999999999999</v>
      </c>
      <c r="Y255">
        <v>1.6666666666666666E-2</v>
      </c>
      <c r="Z255">
        <v>2.9416666666666664E-4</v>
      </c>
      <c r="AA255">
        <v>2.3148148148148149E-4</v>
      </c>
      <c r="AB255">
        <v>21.330000000000002</v>
      </c>
      <c r="AC255">
        <v>1</v>
      </c>
      <c r="AD255" s="1" t="s">
        <v>44</v>
      </c>
      <c r="AE255">
        <v>0</v>
      </c>
      <c r="AF255">
        <v>1</v>
      </c>
      <c r="AG255">
        <v>12.927631578947368</v>
      </c>
    </row>
    <row r="256" spans="1:33">
      <c r="A256" s="1" t="s">
        <v>294</v>
      </c>
      <c r="B256" s="1" t="s">
        <v>1322</v>
      </c>
      <c r="C256" s="2">
        <v>46301</v>
      </c>
      <c r="D256" s="1" t="s">
        <v>34</v>
      </c>
      <c r="E256">
        <v>15</v>
      </c>
      <c r="F256" s="2">
        <v>46081</v>
      </c>
      <c r="G256" s="1" t="s">
        <v>295</v>
      </c>
      <c r="H256" s="1" t="s">
        <v>48</v>
      </c>
      <c r="I256" s="1" t="s">
        <v>37</v>
      </c>
      <c r="J256" s="1" t="s">
        <v>38</v>
      </c>
      <c r="K256" s="1" t="s">
        <v>39</v>
      </c>
      <c r="L256">
        <v>180</v>
      </c>
      <c r="M256">
        <v>39</v>
      </c>
      <c r="N256">
        <v>27.1</v>
      </c>
      <c r="O256">
        <v>16.7</v>
      </c>
      <c r="P256">
        <v>1.7649999999999999E-2</v>
      </c>
      <c r="Q256">
        <v>4.41</v>
      </c>
      <c r="R256">
        <v>7.11</v>
      </c>
      <c r="S256">
        <v>9</v>
      </c>
      <c r="T256">
        <v>8</v>
      </c>
      <c r="U256">
        <v>72</v>
      </c>
      <c r="V256">
        <v>148.6</v>
      </c>
      <c r="W256">
        <v>342.52</v>
      </c>
      <c r="X256">
        <v>1.2707999999999999</v>
      </c>
      <c r="Y256">
        <v>8.3333333333333329E-2</v>
      </c>
      <c r="Z256">
        <v>1.4708333333333331E-3</v>
      </c>
      <c r="AA256">
        <v>1.1574074074074073E-3</v>
      </c>
      <c r="AB256">
        <v>106.65</v>
      </c>
      <c r="AC256">
        <v>1</v>
      </c>
      <c r="AD256" s="1" t="s">
        <v>44</v>
      </c>
      <c r="AE256">
        <v>0</v>
      </c>
      <c r="AF256">
        <v>1</v>
      </c>
      <c r="AG256">
        <v>7.2368421052631584</v>
      </c>
    </row>
    <row r="257" spans="1:33">
      <c r="A257" s="1" t="s">
        <v>296</v>
      </c>
      <c r="B257" s="1" t="s">
        <v>1323</v>
      </c>
      <c r="C257" s="2">
        <v>47145</v>
      </c>
      <c r="D257" s="1" t="s">
        <v>34</v>
      </c>
      <c r="E257">
        <v>2439</v>
      </c>
      <c r="F257" s="2">
        <v>46081</v>
      </c>
      <c r="G257" s="1" t="s">
        <v>297</v>
      </c>
      <c r="H257" s="1" t="s">
        <v>48</v>
      </c>
      <c r="I257" s="1" t="s">
        <v>37</v>
      </c>
      <c r="J257" s="1" t="s">
        <v>38</v>
      </c>
      <c r="K257" s="1" t="s">
        <v>39</v>
      </c>
      <c r="L257">
        <v>240</v>
      </c>
      <c r="M257">
        <v>50.5</v>
      </c>
      <c r="N257">
        <v>25.3</v>
      </c>
      <c r="O257">
        <v>29.9</v>
      </c>
      <c r="P257">
        <v>3.8199999999999998E-2</v>
      </c>
      <c r="Q257">
        <v>11.2</v>
      </c>
      <c r="R257">
        <v>24.75</v>
      </c>
      <c r="S257">
        <v>6</v>
      </c>
      <c r="T257">
        <v>5</v>
      </c>
      <c r="U257">
        <v>30</v>
      </c>
      <c r="V257">
        <v>164.5</v>
      </c>
      <c r="W257">
        <v>361</v>
      </c>
      <c r="X257">
        <v>1.1459999999999999</v>
      </c>
      <c r="Y257">
        <v>10.1625</v>
      </c>
      <c r="Z257">
        <v>0.38820749999999998</v>
      </c>
      <c r="AA257">
        <v>0.33875</v>
      </c>
      <c r="AB257">
        <v>60365.25</v>
      </c>
      <c r="AC257">
        <v>1</v>
      </c>
      <c r="AD257" s="1" t="s">
        <v>40</v>
      </c>
      <c r="AE257">
        <v>1</v>
      </c>
      <c r="AF257">
        <v>0</v>
      </c>
      <c r="AG257">
        <v>35</v>
      </c>
    </row>
    <row r="258" spans="1:33">
      <c r="A258" s="1" t="s">
        <v>298</v>
      </c>
      <c r="B258" s="1" t="s">
        <v>1324</v>
      </c>
      <c r="C258" s="2">
        <v>46803</v>
      </c>
      <c r="D258" s="1" t="s">
        <v>34</v>
      </c>
      <c r="E258">
        <v>104</v>
      </c>
      <c r="F258" s="2">
        <v>46081</v>
      </c>
      <c r="G258" s="1" t="s">
        <v>299</v>
      </c>
      <c r="H258" s="1" t="s">
        <v>43</v>
      </c>
      <c r="I258" s="1" t="s">
        <v>37</v>
      </c>
      <c r="J258" s="1" t="s">
        <v>38</v>
      </c>
      <c r="K258" s="1" t="s">
        <v>39</v>
      </c>
      <c r="L258">
        <v>180</v>
      </c>
      <c r="M258">
        <v>46.7</v>
      </c>
      <c r="N258">
        <v>26.4</v>
      </c>
      <c r="O258">
        <v>16.2</v>
      </c>
      <c r="P258">
        <v>1.9970000000000002E-2</v>
      </c>
      <c r="Q258">
        <v>5.65</v>
      </c>
      <c r="R258">
        <v>9.07</v>
      </c>
      <c r="S258">
        <v>8</v>
      </c>
      <c r="T258">
        <v>6</v>
      </c>
      <c r="U258">
        <v>48</v>
      </c>
      <c r="V258">
        <v>112.2</v>
      </c>
      <c r="W258">
        <v>296.20000000000005</v>
      </c>
      <c r="X258">
        <v>0.95855999999999997</v>
      </c>
      <c r="Y258">
        <v>0.57777777777777772</v>
      </c>
      <c r="Z258">
        <v>1.1538222222222222E-2</v>
      </c>
      <c r="AA258">
        <v>1.2037037037037035E-2</v>
      </c>
      <c r="AB258">
        <v>943.28</v>
      </c>
      <c r="AC258">
        <v>1</v>
      </c>
      <c r="AD258" s="1" t="s">
        <v>44</v>
      </c>
      <c r="AE258">
        <v>0</v>
      </c>
      <c r="AF258">
        <v>1</v>
      </c>
      <c r="AG258">
        <v>23.75</v>
      </c>
    </row>
    <row r="259" spans="1:33">
      <c r="A259" s="1" t="s">
        <v>298</v>
      </c>
      <c r="B259" s="1" t="s">
        <v>1325</v>
      </c>
      <c r="C259" s="2">
        <v>46667</v>
      </c>
      <c r="D259" s="1" t="s">
        <v>34</v>
      </c>
      <c r="E259">
        <v>49</v>
      </c>
      <c r="F259" s="2">
        <v>46081</v>
      </c>
      <c r="G259" s="1" t="s">
        <v>299</v>
      </c>
      <c r="H259" s="1" t="s">
        <v>43</v>
      </c>
      <c r="I259" s="1" t="s">
        <v>37</v>
      </c>
      <c r="J259" s="1" t="s">
        <v>38</v>
      </c>
      <c r="K259" s="1" t="s">
        <v>39</v>
      </c>
      <c r="L259">
        <v>180</v>
      </c>
      <c r="M259">
        <v>46.7</v>
      </c>
      <c r="N259">
        <v>26.4</v>
      </c>
      <c r="O259">
        <v>16.2</v>
      </c>
      <c r="P259">
        <v>1.9970000000000002E-2</v>
      </c>
      <c r="Q259">
        <v>5.65</v>
      </c>
      <c r="R259">
        <v>9.07</v>
      </c>
      <c r="S259">
        <v>8</v>
      </c>
      <c r="T259">
        <v>6</v>
      </c>
      <c r="U259">
        <v>48</v>
      </c>
      <c r="V259">
        <v>112.2</v>
      </c>
      <c r="W259">
        <v>296.20000000000005</v>
      </c>
      <c r="X259">
        <v>0.95855999999999997</v>
      </c>
      <c r="Y259">
        <v>0.2722222222222222</v>
      </c>
      <c r="Z259">
        <v>5.4362777777777777E-3</v>
      </c>
      <c r="AA259">
        <v>5.6712962962962958E-3</v>
      </c>
      <c r="AB259">
        <v>444.43</v>
      </c>
      <c r="AC259">
        <v>1</v>
      </c>
      <c r="AD259" s="1" t="s">
        <v>44</v>
      </c>
      <c r="AE259">
        <v>0</v>
      </c>
      <c r="AF259">
        <v>1</v>
      </c>
      <c r="AG259">
        <v>19.276315789473685</v>
      </c>
    </row>
    <row r="260" spans="1:33">
      <c r="A260" s="1" t="s">
        <v>298</v>
      </c>
      <c r="B260" s="1" t="s">
        <v>1326</v>
      </c>
      <c r="C260" s="2">
        <v>46648</v>
      </c>
      <c r="D260" s="1" t="s">
        <v>34</v>
      </c>
      <c r="E260">
        <v>21</v>
      </c>
      <c r="F260" s="2">
        <v>46081</v>
      </c>
      <c r="G260" s="1" t="s">
        <v>299</v>
      </c>
      <c r="H260" s="1" t="s">
        <v>43</v>
      </c>
      <c r="I260" s="1" t="s">
        <v>37</v>
      </c>
      <c r="J260" s="1" t="s">
        <v>38</v>
      </c>
      <c r="K260" s="1" t="s">
        <v>39</v>
      </c>
      <c r="L260">
        <v>180</v>
      </c>
      <c r="M260">
        <v>46.7</v>
      </c>
      <c r="N260">
        <v>26.4</v>
      </c>
      <c r="O260">
        <v>16.2</v>
      </c>
      <c r="P260">
        <v>1.9970000000000002E-2</v>
      </c>
      <c r="Q260">
        <v>5.65</v>
      </c>
      <c r="R260">
        <v>9.07</v>
      </c>
      <c r="S260">
        <v>8</v>
      </c>
      <c r="T260">
        <v>6</v>
      </c>
      <c r="U260">
        <v>48</v>
      </c>
      <c r="V260">
        <v>112.2</v>
      </c>
      <c r="W260">
        <v>296.20000000000005</v>
      </c>
      <c r="X260">
        <v>0.95855999999999997</v>
      </c>
      <c r="Y260">
        <v>0.11666666666666667</v>
      </c>
      <c r="Z260">
        <v>2.3298333333333335E-3</v>
      </c>
      <c r="AA260">
        <v>2.4305555555555556E-3</v>
      </c>
      <c r="AB260">
        <v>190.47</v>
      </c>
      <c r="AC260">
        <v>1</v>
      </c>
      <c r="AD260" s="1" t="s">
        <v>44</v>
      </c>
      <c r="AE260">
        <v>0</v>
      </c>
      <c r="AF260">
        <v>1</v>
      </c>
      <c r="AG260">
        <v>18.651315789473685</v>
      </c>
    </row>
    <row r="261" spans="1:33">
      <c r="A261" s="1" t="s">
        <v>298</v>
      </c>
      <c r="B261" s="1" t="s">
        <v>1327</v>
      </c>
      <c r="C261" s="2">
        <v>46621</v>
      </c>
      <c r="D261" s="1" t="s">
        <v>34</v>
      </c>
      <c r="E261">
        <v>364</v>
      </c>
      <c r="F261" s="2">
        <v>46081</v>
      </c>
      <c r="G261" s="1" t="s">
        <v>299</v>
      </c>
      <c r="H261" s="1" t="s">
        <v>43</v>
      </c>
      <c r="I261" s="1" t="s">
        <v>37</v>
      </c>
      <c r="J261" s="1" t="s">
        <v>38</v>
      </c>
      <c r="K261" s="1" t="s">
        <v>39</v>
      </c>
      <c r="L261">
        <v>180</v>
      </c>
      <c r="M261">
        <v>46.7</v>
      </c>
      <c r="N261">
        <v>26.4</v>
      </c>
      <c r="O261">
        <v>16.2</v>
      </c>
      <c r="P261">
        <v>1.9970000000000002E-2</v>
      </c>
      <c r="Q261">
        <v>5.65</v>
      </c>
      <c r="R261">
        <v>9.07</v>
      </c>
      <c r="S261">
        <v>8</v>
      </c>
      <c r="T261">
        <v>6</v>
      </c>
      <c r="U261">
        <v>48</v>
      </c>
      <c r="V261">
        <v>112.2</v>
      </c>
      <c r="W261">
        <v>296.20000000000005</v>
      </c>
      <c r="X261">
        <v>0.95855999999999997</v>
      </c>
      <c r="Y261">
        <v>2.0222222222222221</v>
      </c>
      <c r="Z261">
        <v>4.0383777777777782E-2</v>
      </c>
      <c r="AA261">
        <v>4.2129629629629628E-2</v>
      </c>
      <c r="AB261">
        <v>3301.48</v>
      </c>
      <c r="AC261">
        <v>1</v>
      </c>
      <c r="AD261" s="1" t="s">
        <v>44</v>
      </c>
      <c r="AE261">
        <v>0</v>
      </c>
      <c r="AF261">
        <v>1</v>
      </c>
      <c r="AG261">
        <v>17.763157894736842</v>
      </c>
    </row>
    <row r="262" spans="1:33">
      <c r="A262" s="1" t="s">
        <v>300</v>
      </c>
      <c r="B262" s="1" t="s">
        <v>1328</v>
      </c>
      <c r="C262" s="2">
        <v>46579</v>
      </c>
      <c r="D262" s="1" t="s">
        <v>34</v>
      </c>
      <c r="E262">
        <v>1952</v>
      </c>
      <c r="F262" s="2">
        <v>46081</v>
      </c>
      <c r="G262" s="1" t="s">
        <v>301</v>
      </c>
      <c r="H262" s="1" t="s">
        <v>48</v>
      </c>
      <c r="I262" s="1" t="s">
        <v>37</v>
      </c>
      <c r="J262" s="1" t="s">
        <v>38</v>
      </c>
      <c r="K262" s="1" t="s">
        <v>39</v>
      </c>
      <c r="L262">
        <v>100</v>
      </c>
      <c r="M262">
        <v>39.9</v>
      </c>
      <c r="N262">
        <v>41.6</v>
      </c>
      <c r="O262">
        <v>30.2</v>
      </c>
      <c r="P262">
        <v>5.0130000000000001E-2</v>
      </c>
      <c r="Q262">
        <v>11.73</v>
      </c>
      <c r="R262">
        <v>18.63</v>
      </c>
      <c r="S262">
        <v>6</v>
      </c>
      <c r="T262">
        <v>2</v>
      </c>
      <c r="U262">
        <v>12</v>
      </c>
      <c r="V262">
        <v>75.400000000000006</v>
      </c>
      <c r="W262">
        <v>165.76</v>
      </c>
      <c r="X262">
        <v>0.60155999999999998</v>
      </c>
      <c r="Y262">
        <v>19.52</v>
      </c>
      <c r="Z262">
        <v>0.97853760000000001</v>
      </c>
      <c r="AA262">
        <v>1.6266666666666667</v>
      </c>
      <c r="AB262">
        <v>36365.759999999995</v>
      </c>
      <c r="AC262">
        <v>2</v>
      </c>
      <c r="AD262" s="1" t="s">
        <v>40</v>
      </c>
      <c r="AE262">
        <v>2</v>
      </c>
      <c r="AF262">
        <v>0</v>
      </c>
      <c r="AG262">
        <v>16.381578947368421</v>
      </c>
    </row>
    <row r="263" spans="1:33">
      <c r="A263" s="1" t="s">
        <v>302</v>
      </c>
      <c r="B263" s="1" t="s">
        <v>1329</v>
      </c>
      <c r="C263" s="2">
        <v>46682</v>
      </c>
      <c r="D263" s="1" t="s">
        <v>34</v>
      </c>
      <c r="E263">
        <v>13882</v>
      </c>
      <c r="F263" s="2">
        <v>46081</v>
      </c>
      <c r="G263" s="1" t="s">
        <v>303</v>
      </c>
      <c r="H263" s="1" t="s">
        <v>70</v>
      </c>
      <c r="I263" s="1" t="s">
        <v>37</v>
      </c>
      <c r="J263" s="1" t="s">
        <v>38</v>
      </c>
      <c r="K263" s="1" t="s">
        <v>39</v>
      </c>
      <c r="L263">
        <v>120</v>
      </c>
      <c r="M263">
        <v>34</v>
      </c>
      <c r="N263">
        <v>40.1</v>
      </c>
      <c r="O263">
        <v>16.899999999999999</v>
      </c>
      <c r="P263">
        <v>2.3040000000000001E-2</v>
      </c>
      <c r="Q263">
        <v>6.13</v>
      </c>
      <c r="R263">
        <v>11</v>
      </c>
      <c r="S263">
        <v>6</v>
      </c>
      <c r="T263">
        <v>5</v>
      </c>
      <c r="U263">
        <v>30</v>
      </c>
      <c r="V263">
        <v>99.5</v>
      </c>
      <c r="W263">
        <v>208.9</v>
      </c>
      <c r="X263">
        <v>0.69120000000000004</v>
      </c>
      <c r="Y263">
        <v>115.68333333333334</v>
      </c>
      <c r="Z263">
        <v>2.6653440000000002</v>
      </c>
      <c r="AA263">
        <v>3.8561111111111113</v>
      </c>
      <c r="AB263">
        <v>152702</v>
      </c>
      <c r="AC263">
        <v>4</v>
      </c>
      <c r="AD263" s="1" t="s">
        <v>40</v>
      </c>
      <c r="AE263">
        <v>4</v>
      </c>
      <c r="AF263">
        <v>0</v>
      </c>
      <c r="AG263">
        <v>19.769736842105264</v>
      </c>
    </row>
    <row r="264" spans="1:33">
      <c r="A264" s="1" t="s">
        <v>304</v>
      </c>
      <c r="B264" s="1" t="s">
        <v>1330</v>
      </c>
      <c r="C264" s="2">
        <v>46226</v>
      </c>
      <c r="D264" s="1" t="s">
        <v>34</v>
      </c>
      <c r="E264">
        <v>1989</v>
      </c>
      <c r="F264" s="2">
        <v>46081</v>
      </c>
      <c r="G264" s="1" t="s">
        <v>305</v>
      </c>
      <c r="H264" s="1" t="s">
        <v>48</v>
      </c>
      <c r="I264" s="1" t="s">
        <v>37</v>
      </c>
      <c r="J264" s="1" t="s">
        <v>38</v>
      </c>
      <c r="K264" s="1" t="s">
        <v>39</v>
      </c>
      <c r="L264">
        <v>60</v>
      </c>
      <c r="M264">
        <v>37</v>
      </c>
      <c r="N264">
        <v>35.299999999999997</v>
      </c>
      <c r="O264">
        <v>18.8</v>
      </c>
      <c r="P264">
        <v>2.4549999999999999E-2</v>
      </c>
      <c r="Q264">
        <v>6.52</v>
      </c>
      <c r="R264">
        <v>20.72</v>
      </c>
      <c r="S264">
        <v>6</v>
      </c>
      <c r="T264">
        <v>7</v>
      </c>
      <c r="U264">
        <v>42</v>
      </c>
      <c r="V264">
        <v>146.6</v>
      </c>
      <c r="W264">
        <v>298.83999999999997</v>
      </c>
      <c r="X264">
        <v>1.0310999999999999</v>
      </c>
      <c r="Y264">
        <v>33.15</v>
      </c>
      <c r="Z264">
        <v>0.81383249999999996</v>
      </c>
      <c r="AA264">
        <v>0.78928571428571426</v>
      </c>
      <c r="AB264">
        <v>41212.079999999994</v>
      </c>
      <c r="AC264">
        <v>1</v>
      </c>
      <c r="AD264" s="1" t="s">
        <v>40</v>
      </c>
      <c r="AE264">
        <v>1</v>
      </c>
      <c r="AF264">
        <v>0</v>
      </c>
      <c r="AG264">
        <v>4.7697368421052637</v>
      </c>
    </row>
    <row r="265" spans="1:33">
      <c r="A265" s="1" t="s">
        <v>304</v>
      </c>
      <c r="B265" s="1" t="s">
        <v>1331</v>
      </c>
      <c r="C265" s="2">
        <v>46973</v>
      </c>
      <c r="D265" s="1" t="s">
        <v>34</v>
      </c>
      <c r="E265">
        <v>2914</v>
      </c>
      <c r="F265" s="2">
        <v>46081</v>
      </c>
      <c r="G265" s="1" t="s">
        <v>305</v>
      </c>
      <c r="H265" s="1" t="s">
        <v>48</v>
      </c>
      <c r="I265" s="1" t="s">
        <v>37</v>
      </c>
      <c r="J265" s="1" t="s">
        <v>38</v>
      </c>
      <c r="K265" s="1" t="s">
        <v>39</v>
      </c>
      <c r="L265">
        <v>60</v>
      </c>
      <c r="M265">
        <v>37</v>
      </c>
      <c r="N265">
        <v>35.299999999999997</v>
      </c>
      <c r="O265">
        <v>18.8</v>
      </c>
      <c r="P265">
        <v>2.4549999999999999E-2</v>
      </c>
      <c r="Q265">
        <v>6.52</v>
      </c>
      <c r="R265">
        <v>20.72</v>
      </c>
      <c r="S265">
        <v>6</v>
      </c>
      <c r="T265">
        <v>7</v>
      </c>
      <c r="U265">
        <v>42</v>
      </c>
      <c r="V265">
        <v>146.6</v>
      </c>
      <c r="W265">
        <v>298.83999999999997</v>
      </c>
      <c r="X265">
        <v>1.0310999999999999</v>
      </c>
      <c r="Y265">
        <v>48.56666666666667</v>
      </c>
      <c r="Z265">
        <v>1.1923116666666667</v>
      </c>
      <c r="AA265">
        <v>1.1563492063492065</v>
      </c>
      <c r="AB265">
        <v>60378.079999999994</v>
      </c>
      <c r="AC265">
        <v>2</v>
      </c>
      <c r="AD265" s="1" t="s">
        <v>40</v>
      </c>
      <c r="AE265">
        <v>2</v>
      </c>
      <c r="AF265">
        <v>0</v>
      </c>
      <c r="AG265">
        <v>29.342105263157897</v>
      </c>
    </row>
    <row r="266" spans="1:33">
      <c r="A266" s="1" t="s">
        <v>306</v>
      </c>
      <c r="B266" s="1" t="s">
        <v>1332</v>
      </c>
      <c r="C266" s="2">
        <v>46948</v>
      </c>
      <c r="D266" s="1" t="s">
        <v>34</v>
      </c>
      <c r="E266">
        <v>2484</v>
      </c>
      <c r="F266" s="2">
        <v>46081</v>
      </c>
      <c r="G266" s="1" t="s">
        <v>307</v>
      </c>
      <c r="H266" s="1" t="s">
        <v>52</v>
      </c>
      <c r="I266" s="1" t="s">
        <v>37</v>
      </c>
      <c r="J266" s="1" t="s">
        <v>38</v>
      </c>
      <c r="K266" s="1" t="s">
        <v>39</v>
      </c>
      <c r="L266">
        <v>60</v>
      </c>
      <c r="M266">
        <v>56.7</v>
      </c>
      <c r="N266">
        <v>34.700000000000003</v>
      </c>
      <c r="O266">
        <v>33.299999999999997</v>
      </c>
      <c r="P266">
        <v>6.5519999999999995E-2</v>
      </c>
      <c r="Q266">
        <v>13.41</v>
      </c>
      <c r="R266">
        <v>19.149999999999999</v>
      </c>
      <c r="S266">
        <v>4</v>
      </c>
      <c r="T266">
        <v>3</v>
      </c>
      <c r="U266">
        <v>12</v>
      </c>
      <c r="V266">
        <v>114.9</v>
      </c>
      <c r="W266">
        <v>185.92</v>
      </c>
      <c r="X266">
        <v>0.78623999999999994</v>
      </c>
      <c r="Y266">
        <v>41.4</v>
      </c>
      <c r="Z266">
        <v>2.7125279999999998</v>
      </c>
      <c r="AA266">
        <v>3.4499999999999997</v>
      </c>
      <c r="AB266">
        <v>47568.6</v>
      </c>
      <c r="AC266">
        <v>4</v>
      </c>
      <c r="AD266" s="1" t="s">
        <v>40</v>
      </c>
      <c r="AE266">
        <v>4</v>
      </c>
      <c r="AF266">
        <v>0</v>
      </c>
      <c r="AG266">
        <v>28.519736842105264</v>
      </c>
    </row>
    <row r="267" spans="1:33">
      <c r="A267" s="1" t="s">
        <v>308</v>
      </c>
      <c r="B267" s="1" t="s">
        <v>1333</v>
      </c>
      <c r="C267" s="2">
        <v>46768</v>
      </c>
      <c r="D267" s="1" t="s">
        <v>34</v>
      </c>
      <c r="E267">
        <v>1041</v>
      </c>
      <c r="F267" s="2">
        <v>46081</v>
      </c>
      <c r="G267" s="1" t="s">
        <v>309</v>
      </c>
      <c r="H267" s="1" t="s">
        <v>70</v>
      </c>
      <c r="I267" s="1" t="s">
        <v>37</v>
      </c>
      <c r="J267" s="1" t="s">
        <v>38</v>
      </c>
      <c r="K267" s="1" t="s">
        <v>39</v>
      </c>
      <c r="L267">
        <v>60</v>
      </c>
      <c r="M267">
        <v>46.8</v>
      </c>
      <c r="N267">
        <v>28.7</v>
      </c>
      <c r="O267">
        <v>32.200000000000003</v>
      </c>
      <c r="P267">
        <v>4.3249999999999997E-2</v>
      </c>
      <c r="Q267">
        <v>11.81</v>
      </c>
      <c r="R267">
        <v>13.84</v>
      </c>
      <c r="S267">
        <v>8</v>
      </c>
      <c r="T267">
        <v>4</v>
      </c>
      <c r="U267">
        <v>32</v>
      </c>
      <c r="V267">
        <v>143.80000000000001</v>
      </c>
      <c r="W267">
        <v>402.92</v>
      </c>
      <c r="X267">
        <v>1.3839999999999999</v>
      </c>
      <c r="Y267">
        <v>17.350000000000001</v>
      </c>
      <c r="Z267">
        <v>0.75038749999999999</v>
      </c>
      <c r="AA267">
        <v>0.54218750000000004</v>
      </c>
      <c r="AB267">
        <v>14407.44</v>
      </c>
      <c r="AC267">
        <v>1</v>
      </c>
      <c r="AD267" s="1" t="s">
        <v>40</v>
      </c>
      <c r="AE267">
        <v>1</v>
      </c>
      <c r="AF267">
        <v>0</v>
      </c>
      <c r="AG267">
        <v>22.598684210526319</v>
      </c>
    </row>
    <row r="268" spans="1:33">
      <c r="A268" s="1" t="s">
        <v>308</v>
      </c>
      <c r="B268" s="1" t="s">
        <v>1334</v>
      </c>
      <c r="C268" s="2">
        <v>46786</v>
      </c>
      <c r="D268" s="1" t="s">
        <v>49</v>
      </c>
      <c r="E268">
        <v>52</v>
      </c>
      <c r="F268" s="2">
        <v>46081</v>
      </c>
      <c r="G268" s="1" t="s">
        <v>309</v>
      </c>
      <c r="H268" s="1" t="s">
        <v>70</v>
      </c>
      <c r="I268" s="1" t="s">
        <v>37</v>
      </c>
      <c r="J268" s="1" t="s">
        <v>38</v>
      </c>
      <c r="K268" s="1" t="s">
        <v>39</v>
      </c>
      <c r="L268">
        <v>60</v>
      </c>
      <c r="M268">
        <v>46.8</v>
      </c>
      <c r="N268">
        <v>28.7</v>
      </c>
      <c r="O268">
        <v>32.200000000000003</v>
      </c>
      <c r="P268">
        <v>4.3249999999999997E-2</v>
      </c>
      <c r="Q268">
        <v>11.81</v>
      </c>
      <c r="R268">
        <v>13.84</v>
      </c>
      <c r="S268">
        <v>8</v>
      </c>
      <c r="T268">
        <v>4</v>
      </c>
      <c r="U268">
        <v>32</v>
      </c>
      <c r="V268">
        <v>143.80000000000001</v>
      </c>
      <c r="W268">
        <v>402.92</v>
      </c>
      <c r="X268">
        <v>1.3839999999999999</v>
      </c>
      <c r="Y268">
        <v>0.8666666666666667</v>
      </c>
      <c r="Z268">
        <v>3.7483333333333334E-2</v>
      </c>
      <c r="AA268">
        <v>2.7083333333333334E-2</v>
      </c>
      <c r="AB268">
        <v>719.68</v>
      </c>
      <c r="AC268">
        <v>1</v>
      </c>
      <c r="AD268" s="1" t="s">
        <v>44</v>
      </c>
      <c r="AE268">
        <v>0</v>
      </c>
      <c r="AF268">
        <v>1</v>
      </c>
      <c r="AG268">
        <v>23.190789473684212</v>
      </c>
    </row>
    <row r="269" spans="1:33">
      <c r="A269" s="1" t="s">
        <v>310</v>
      </c>
      <c r="B269" s="1" t="s">
        <v>1335</v>
      </c>
      <c r="C269" s="2">
        <v>46834</v>
      </c>
      <c r="D269" s="1" t="s">
        <v>34</v>
      </c>
      <c r="E269">
        <v>185</v>
      </c>
      <c r="F269" s="2">
        <v>46081</v>
      </c>
      <c r="G269" s="1" t="s">
        <v>311</v>
      </c>
      <c r="H269" s="1" t="s">
        <v>67</v>
      </c>
      <c r="I269" s="1" t="s">
        <v>37</v>
      </c>
      <c r="J269" s="1" t="s">
        <v>38</v>
      </c>
      <c r="K269" s="1" t="s">
        <v>39</v>
      </c>
      <c r="L269">
        <v>120</v>
      </c>
      <c r="M269">
        <v>40.700000000000003</v>
      </c>
      <c r="N269">
        <v>35.5</v>
      </c>
      <c r="O269">
        <v>25.8</v>
      </c>
      <c r="P269">
        <v>3.7280000000000001E-2</v>
      </c>
      <c r="Q269">
        <v>7.92</v>
      </c>
      <c r="R269">
        <v>4.57</v>
      </c>
      <c r="S269">
        <v>6</v>
      </c>
      <c r="T269">
        <v>4</v>
      </c>
      <c r="U269">
        <v>24</v>
      </c>
      <c r="V269">
        <v>118.2</v>
      </c>
      <c r="W269">
        <v>215.08</v>
      </c>
      <c r="X269">
        <v>0.89471999999999996</v>
      </c>
      <c r="Y269">
        <v>1.5416666666666667</v>
      </c>
      <c r="Z269">
        <v>5.7473333333333335E-2</v>
      </c>
      <c r="AA269">
        <v>6.4236111111111119E-2</v>
      </c>
      <c r="AB269">
        <v>845.45</v>
      </c>
      <c r="AC269">
        <v>1</v>
      </c>
      <c r="AD269" s="1" t="s">
        <v>44</v>
      </c>
      <c r="AE269">
        <v>0</v>
      </c>
      <c r="AF269">
        <v>1</v>
      </c>
      <c r="AG269">
        <v>24.769736842105264</v>
      </c>
    </row>
    <row r="270" spans="1:33">
      <c r="A270" s="1" t="s">
        <v>310</v>
      </c>
      <c r="B270" s="1" t="s">
        <v>1336</v>
      </c>
      <c r="C270" s="2">
        <v>46731</v>
      </c>
      <c r="D270" s="1" t="s">
        <v>34</v>
      </c>
      <c r="E270">
        <v>25</v>
      </c>
      <c r="F270" s="2">
        <v>46081</v>
      </c>
      <c r="G270" s="1" t="s">
        <v>311</v>
      </c>
      <c r="H270" s="1" t="s">
        <v>67</v>
      </c>
      <c r="I270" s="1" t="s">
        <v>37</v>
      </c>
      <c r="J270" s="1" t="s">
        <v>38</v>
      </c>
      <c r="K270" s="1" t="s">
        <v>39</v>
      </c>
      <c r="L270">
        <v>120</v>
      </c>
      <c r="M270">
        <v>40.700000000000003</v>
      </c>
      <c r="N270">
        <v>35.5</v>
      </c>
      <c r="O270">
        <v>25.8</v>
      </c>
      <c r="P270">
        <v>3.7280000000000001E-2</v>
      </c>
      <c r="Q270">
        <v>7.92</v>
      </c>
      <c r="R270">
        <v>4.57</v>
      </c>
      <c r="S270">
        <v>6</v>
      </c>
      <c r="T270">
        <v>4</v>
      </c>
      <c r="U270">
        <v>24</v>
      </c>
      <c r="V270">
        <v>118.2</v>
      </c>
      <c r="W270">
        <v>215.08</v>
      </c>
      <c r="X270">
        <v>0.89471999999999996</v>
      </c>
      <c r="Y270">
        <v>0.20833333333333334</v>
      </c>
      <c r="Z270">
        <v>7.7666666666666674E-3</v>
      </c>
      <c r="AA270">
        <v>8.6805555555555559E-3</v>
      </c>
      <c r="AB270">
        <v>114.25</v>
      </c>
      <c r="AC270">
        <v>1</v>
      </c>
      <c r="AD270" s="1" t="s">
        <v>44</v>
      </c>
      <c r="AE270">
        <v>0</v>
      </c>
      <c r="AF270">
        <v>1</v>
      </c>
      <c r="AG270">
        <v>21.381578947368421</v>
      </c>
    </row>
    <row r="271" spans="1:33">
      <c r="A271" s="1" t="s">
        <v>312</v>
      </c>
      <c r="B271" s="1" t="s">
        <v>1337</v>
      </c>
      <c r="C271" s="2">
        <v>46403</v>
      </c>
      <c r="D271" s="1" t="s">
        <v>34</v>
      </c>
      <c r="E271">
        <v>144</v>
      </c>
      <c r="F271" s="2">
        <v>46081</v>
      </c>
      <c r="G271" s="1" t="s">
        <v>313</v>
      </c>
      <c r="H271" s="1" t="s">
        <v>36</v>
      </c>
      <c r="I271" s="1" t="s">
        <v>37</v>
      </c>
      <c r="J271" s="1" t="s">
        <v>38</v>
      </c>
      <c r="K271" s="1" t="s">
        <v>39</v>
      </c>
      <c r="L271">
        <v>100</v>
      </c>
      <c r="M271">
        <v>40.6</v>
      </c>
      <c r="N271">
        <v>41.1</v>
      </c>
      <c r="O271">
        <v>23.1</v>
      </c>
      <c r="P271">
        <v>3.8550000000000001E-2</v>
      </c>
      <c r="Q271">
        <v>9.3800000000000008</v>
      </c>
      <c r="R271">
        <v>3.69</v>
      </c>
      <c r="S271">
        <v>4</v>
      </c>
      <c r="T271">
        <v>3</v>
      </c>
      <c r="U271">
        <v>12</v>
      </c>
      <c r="V271">
        <v>84.300000000000011</v>
      </c>
      <c r="W271">
        <v>137.56</v>
      </c>
      <c r="X271">
        <v>0.46260000000000001</v>
      </c>
      <c r="Y271">
        <v>1.44</v>
      </c>
      <c r="Z271">
        <v>5.5511999999999999E-2</v>
      </c>
      <c r="AA271">
        <v>0.12</v>
      </c>
      <c r="AB271">
        <v>531.36</v>
      </c>
      <c r="AC271">
        <v>1</v>
      </c>
      <c r="AD271" s="1" t="s">
        <v>44</v>
      </c>
      <c r="AE271">
        <v>0</v>
      </c>
      <c r="AF271">
        <v>1</v>
      </c>
      <c r="AG271">
        <v>10.592105263157896</v>
      </c>
    </row>
    <row r="272" spans="1:33">
      <c r="A272" s="1" t="s">
        <v>312</v>
      </c>
      <c r="B272" s="1" t="s">
        <v>1338</v>
      </c>
      <c r="C272" s="2">
        <v>47133</v>
      </c>
      <c r="D272" s="1" t="s">
        <v>34</v>
      </c>
      <c r="E272">
        <v>56</v>
      </c>
      <c r="F272" s="2">
        <v>46081</v>
      </c>
      <c r="G272" s="1" t="s">
        <v>313</v>
      </c>
      <c r="H272" s="1" t="s">
        <v>36</v>
      </c>
      <c r="I272" s="1" t="s">
        <v>37</v>
      </c>
      <c r="J272" s="1" t="s">
        <v>38</v>
      </c>
      <c r="K272" s="1" t="s">
        <v>39</v>
      </c>
      <c r="L272">
        <v>100</v>
      </c>
      <c r="M272">
        <v>40.6</v>
      </c>
      <c r="N272">
        <v>41.1</v>
      </c>
      <c r="O272">
        <v>23.1</v>
      </c>
      <c r="P272">
        <v>3.8550000000000001E-2</v>
      </c>
      <c r="Q272">
        <v>9.3800000000000008</v>
      </c>
      <c r="R272">
        <v>3.69</v>
      </c>
      <c r="S272">
        <v>4</v>
      </c>
      <c r="T272">
        <v>3</v>
      </c>
      <c r="U272">
        <v>12</v>
      </c>
      <c r="V272">
        <v>84.300000000000011</v>
      </c>
      <c r="W272">
        <v>137.56</v>
      </c>
      <c r="X272">
        <v>0.46260000000000001</v>
      </c>
      <c r="Y272">
        <v>0.56000000000000005</v>
      </c>
      <c r="Z272">
        <v>2.1588000000000003E-2</v>
      </c>
      <c r="AA272">
        <v>4.6666666666666669E-2</v>
      </c>
      <c r="AB272">
        <v>206.64</v>
      </c>
      <c r="AC272">
        <v>1</v>
      </c>
      <c r="AD272" s="1" t="s">
        <v>44</v>
      </c>
      <c r="AE272">
        <v>0</v>
      </c>
      <c r="AF272">
        <v>1</v>
      </c>
      <c r="AG272">
        <v>34.60526315789474</v>
      </c>
    </row>
    <row r="273" spans="1:33">
      <c r="A273" s="1" t="s">
        <v>312</v>
      </c>
      <c r="B273" s="1" t="s">
        <v>1339</v>
      </c>
      <c r="C273" s="2">
        <v>46487</v>
      </c>
      <c r="D273" s="1" t="s">
        <v>34</v>
      </c>
      <c r="E273">
        <v>59</v>
      </c>
      <c r="F273" s="2">
        <v>46081</v>
      </c>
      <c r="G273" s="1" t="s">
        <v>313</v>
      </c>
      <c r="H273" s="1" t="s">
        <v>36</v>
      </c>
      <c r="I273" s="1" t="s">
        <v>37</v>
      </c>
      <c r="J273" s="1" t="s">
        <v>38</v>
      </c>
      <c r="K273" s="1" t="s">
        <v>39</v>
      </c>
      <c r="L273">
        <v>100</v>
      </c>
      <c r="M273">
        <v>40.6</v>
      </c>
      <c r="N273">
        <v>41.1</v>
      </c>
      <c r="O273">
        <v>23.1</v>
      </c>
      <c r="P273">
        <v>3.8550000000000001E-2</v>
      </c>
      <c r="Q273">
        <v>9.3800000000000008</v>
      </c>
      <c r="R273">
        <v>3.69</v>
      </c>
      <c r="S273">
        <v>4</v>
      </c>
      <c r="T273">
        <v>3</v>
      </c>
      <c r="U273">
        <v>12</v>
      </c>
      <c r="V273">
        <v>84.300000000000011</v>
      </c>
      <c r="W273">
        <v>137.56</v>
      </c>
      <c r="X273">
        <v>0.46260000000000001</v>
      </c>
      <c r="Y273">
        <v>0.59</v>
      </c>
      <c r="Z273">
        <v>2.2744500000000001E-2</v>
      </c>
      <c r="AA273">
        <v>4.9166666666666664E-2</v>
      </c>
      <c r="AB273">
        <v>217.71</v>
      </c>
      <c r="AC273">
        <v>1</v>
      </c>
      <c r="AD273" s="1" t="s">
        <v>44</v>
      </c>
      <c r="AE273">
        <v>0</v>
      </c>
      <c r="AF273">
        <v>1</v>
      </c>
      <c r="AG273">
        <v>13.355263157894738</v>
      </c>
    </row>
    <row r="274" spans="1:33">
      <c r="A274" s="1" t="s">
        <v>312</v>
      </c>
      <c r="B274" s="1" t="s">
        <v>1340</v>
      </c>
      <c r="C274" s="2">
        <v>46347</v>
      </c>
      <c r="D274" s="1" t="s">
        <v>34</v>
      </c>
      <c r="E274">
        <v>630</v>
      </c>
      <c r="F274" s="2">
        <v>46081</v>
      </c>
      <c r="G274" s="1" t="s">
        <v>313</v>
      </c>
      <c r="H274" s="1" t="s">
        <v>36</v>
      </c>
      <c r="I274" s="1" t="s">
        <v>37</v>
      </c>
      <c r="J274" s="1" t="s">
        <v>38</v>
      </c>
      <c r="K274" s="1" t="s">
        <v>39</v>
      </c>
      <c r="L274">
        <v>100</v>
      </c>
      <c r="M274">
        <v>40.6</v>
      </c>
      <c r="N274">
        <v>41.1</v>
      </c>
      <c r="O274">
        <v>23.1</v>
      </c>
      <c r="P274">
        <v>3.8550000000000001E-2</v>
      </c>
      <c r="Q274">
        <v>9.3800000000000008</v>
      </c>
      <c r="R274">
        <v>3.69</v>
      </c>
      <c r="S274">
        <v>4</v>
      </c>
      <c r="T274">
        <v>3</v>
      </c>
      <c r="U274">
        <v>12</v>
      </c>
      <c r="V274">
        <v>84.300000000000011</v>
      </c>
      <c r="W274">
        <v>137.56</v>
      </c>
      <c r="X274">
        <v>0.46260000000000001</v>
      </c>
      <c r="Y274">
        <v>6.3</v>
      </c>
      <c r="Z274">
        <v>0.242865</v>
      </c>
      <c r="AA274">
        <v>0.52500000000000002</v>
      </c>
      <c r="AB274">
        <v>2324.6999999999998</v>
      </c>
      <c r="AC274">
        <v>1</v>
      </c>
      <c r="AD274" s="1" t="s">
        <v>44</v>
      </c>
      <c r="AE274">
        <v>0</v>
      </c>
      <c r="AF274">
        <v>1</v>
      </c>
      <c r="AG274">
        <v>8.75</v>
      </c>
    </row>
    <row r="275" spans="1:33">
      <c r="A275" s="1" t="s">
        <v>314</v>
      </c>
      <c r="B275" s="1" t="s">
        <v>1341</v>
      </c>
      <c r="C275" s="2">
        <v>46510</v>
      </c>
      <c r="D275" s="1" t="s">
        <v>34</v>
      </c>
      <c r="E275">
        <v>1971</v>
      </c>
      <c r="F275" s="2">
        <v>46081</v>
      </c>
      <c r="G275" s="1" t="s">
        <v>315</v>
      </c>
      <c r="H275" s="1" t="s">
        <v>36</v>
      </c>
      <c r="I275" s="1" t="s">
        <v>37</v>
      </c>
      <c r="J275" s="1" t="s">
        <v>38</v>
      </c>
      <c r="K275" s="1" t="s">
        <v>39</v>
      </c>
      <c r="L275">
        <v>100</v>
      </c>
      <c r="M275">
        <v>34</v>
      </c>
      <c r="N275">
        <v>33.200000000000003</v>
      </c>
      <c r="O275">
        <v>33.299999999999997</v>
      </c>
      <c r="P275">
        <v>3.7589999999999998E-2</v>
      </c>
      <c r="Q275">
        <v>5.89</v>
      </c>
      <c r="R275">
        <v>16.75</v>
      </c>
      <c r="S275">
        <v>9</v>
      </c>
      <c r="T275">
        <v>3</v>
      </c>
      <c r="U275">
        <v>27</v>
      </c>
      <c r="V275">
        <v>114.9</v>
      </c>
      <c r="W275">
        <v>184.03</v>
      </c>
      <c r="X275">
        <v>1.0149300000000001</v>
      </c>
      <c r="Y275">
        <v>19.71</v>
      </c>
      <c r="Z275">
        <v>0.74089890000000003</v>
      </c>
      <c r="AA275">
        <v>0.73</v>
      </c>
      <c r="AB275">
        <v>33014.25</v>
      </c>
      <c r="AC275">
        <v>1</v>
      </c>
      <c r="AD275" s="1" t="s">
        <v>40</v>
      </c>
      <c r="AE275">
        <v>1</v>
      </c>
      <c r="AF275">
        <v>0</v>
      </c>
      <c r="AG275">
        <v>14.111842105263159</v>
      </c>
    </row>
    <row r="276" spans="1:33">
      <c r="A276" s="1" t="s">
        <v>314</v>
      </c>
      <c r="B276" s="1" t="s">
        <v>1342</v>
      </c>
      <c r="C276" s="2">
        <v>46197</v>
      </c>
      <c r="D276" s="1" t="s">
        <v>45</v>
      </c>
      <c r="E276">
        <v>39</v>
      </c>
      <c r="F276" s="2">
        <v>46081</v>
      </c>
      <c r="G276" s="1" t="s">
        <v>315</v>
      </c>
      <c r="H276" s="1" t="s">
        <v>36</v>
      </c>
      <c r="I276" s="1" t="s">
        <v>37</v>
      </c>
      <c r="J276" s="1" t="s">
        <v>38</v>
      </c>
      <c r="K276" s="1" t="s">
        <v>39</v>
      </c>
      <c r="L276">
        <v>100</v>
      </c>
      <c r="M276">
        <v>34</v>
      </c>
      <c r="N276">
        <v>33.200000000000003</v>
      </c>
      <c r="O276">
        <v>33.299999999999997</v>
      </c>
      <c r="P276">
        <v>3.7589999999999998E-2</v>
      </c>
      <c r="Q276">
        <v>5.89</v>
      </c>
      <c r="R276">
        <v>16.75</v>
      </c>
      <c r="S276">
        <v>9</v>
      </c>
      <c r="T276">
        <v>3</v>
      </c>
      <c r="U276">
        <v>27</v>
      </c>
      <c r="V276">
        <v>114.9</v>
      </c>
      <c r="W276">
        <v>184.03</v>
      </c>
      <c r="X276">
        <v>1.0149300000000001</v>
      </c>
      <c r="Y276">
        <v>0.39</v>
      </c>
      <c r="Z276">
        <v>1.4660100000000001E-2</v>
      </c>
      <c r="AA276">
        <v>1.4444444444444446E-2</v>
      </c>
      <c r="AB276">
        <v>653.25</v>
      </c>
      <c r="AC276">
        <v>1</v>
      </c>
      <c r="AD276" s="1" t="s">
        <v>44</v>
      </c>
      <c r="AE276">
        <v>0</v>
      </c>
      <c r="AF276">
        <v>1</v>
      </c>
      <c r="AG276">
        <v>3.8157894736842106</v>
      </c>
    </row>
    <row r="277" spans="1:33">
      <c r="A277" s="1" t="s">
        <v>316</v>
      </c>
      <c r="B277" s="1" t="s">
        <v>1343</v>
      </c>
      <c r="C277" s="2">
        <v>46424</v>
      </c>
      <c r="D277" s="1" t="s">
        <v>34</v>
      </c>
      <c r="E277">
        <v>4163</v>
      </c>
      <c r="F277" s="2">
        <v>46081</v>
      </c>
      <c r="G277" s="1" t="s">
        <v>317</v>
      </c>
      <c r="H277" s="1" t="s">
        <v>48</v>
      </c>
      <c r="I277" s="1" t="s">
        <v>37</v>
      </c>
      <c r="J277" s="1" t="s">
        <v>38</v>
      </c>
      <c r="K277" s="1" t="s">
        <v>39</v>
      </c>
      <c r="L277">
        <v>100</v>
      </c>
      <c r="M277">
        <v>58.4</v>
      </c>
      <c r="N277">
        <v>37.799999999999997</v>
      </c>
      <c r="O277">
        <v>30.1</v>
      </c>
      <c r="P277">
        <v>6.6449999999999995E-2</v>
      </c>
      <c r="Q277">
        <v>14.85</v>
      </c>
      <c r="R277">
        <v>18.34</v>
      </c>
      <c r="S277">
        <v>4</v>
      </c>
      <c r="T277">
        <v>2</v>
      </c>
      <c r="U277">
        <v>8</v>
      </c>
      <c r="V277">
        <v>75.2</v>
      </c>
      <c r="W277">
        <v>143.80000000000001</v>
      </c>
      <c r="X277">
        <v>0.53159999999999996</v>
      </c>
      <c r="Y277">
        <v>41.63</v>
      </c>
      <c r="Z277">
        <v>2.7663134999999999</v>
      </c>
      <c r="AA277">
        <v>5.2037500000000003</v>
      </c>
      <c r="AB277">
        <v>76349.42</v>
      </c>
      <c r="AC277">
        <v>6</v>
      </c>
      <c r="AD277" s="1" t="s">
        <v>40</v>
      </c>
      <c r="AE277">
        <v>6</v>
      </c>
      <c r="AF277">
        <v>0</v>
      </c>
      <c r="AG277">
        <v>11.282894736842106</v>
      </c>
    </row>
    <row r="278" spans="1:33">
      <c r="A278" s="1" t="s">
        <v>318</v>
      </c>
      <c r="B278" s="1" t="s">
        <v>1344</v>
      </c>
      <c r="C278" s="2">
        <v>46331</v>
      </c>
      <c r="D278" s="1" t="s">
        <v>34</v>
      </c>
      <c r="E278">
        <v>11864</v>
      </c>
      <c r="F278" s="2">
        <v>46081</v>
      </c>
      <c r="G278" s="1" t="s">
        <v>319</v>
      </c>
      <c r="H278" s="1" t="s">
        <v>48</v>
      </c>
      <c r="I278" s="1" t="s">
        <v>37</v>
      </c>
      <c r="J278" s="1" t="s">
        <v>38</v>
      </c>
      <c r="K278" s="1" t="s">
        <v>39</v>
      </c>
      <c r="L278">
        <v>180</v>
      </c>
      <c r="M278">
        <v>37.799999999999997</v>
      </c>
      <c r="N278">
        <v>39.1</v>
      </c>
      <c r="O278">
        <v>19.7</v>
      </c>
      <c r="P278">
        <v>2.912E-2</v>
      </c>
      <c r="Q278">
        <v>5.31</v>
      </c>
      <c r="R278">
        <v>15.9</v>
      </c>
      <c r="S278">
        <v>6</v>
      </c>
      <c r="T278">
        <v>3</v>
      </c>
      <c r="U278">
        <v>18</v>
      </c>
      <c r="V278">
        <v>74.099999999999994</v>
      </c>
      <c r="W278">
        <v>120.58</v>
      </c>
      <c r="X278">
        <v>0.52415999999999996</v>
      </c>
      <c r="Y278">
        <v>65.911111111111111</v>
      </c>
      <c r="Z278">
        <v>1.9193315555555555</v>
      </c>
      <c r="AA278">
        <v>3.6617283950617283</v>
      </c>
      <c r="AB278">
        <v>188637.6</v>
      </c>
      <c r="AC278">
        <v>4</v>
      </c>
      <c r="AD278" s="1" t="s">
        <v>40</v>
      </c>
      <c r="AE278">
        <v>4</v>
      </c>
      <c r="AF278">
        <v>0</v>
      </c>
      <c r="AG278">
        <v>8.2236842105263168</v>
      </c>
    </row>
    <row r="279" spans="1:33">
      <c r="A279" s="1" t="s">
        <v>318</v>
      </c>
      <c r="B279" s="1" t="s">
        <v>1345</v>
      </c>
      <c r="C279" s="2">
        <v>46211</v>
      </c>
      <c r="D279" s="1" t="s">
        <v>34</v>
      </c>
      <c r="E279">
        <v>2015</v>
      </c>
      <c r="F279" s="2">
        <v>46081</v>
      </c>
      <c r="G279" s="1" t="s">
        <v>319</v>
      </c>
      <c r="H279" s="1" t="s">
        <v>48</v>
      </c>
      <c r="I279" s="1" t="s">
        <v>37</v>
      </c>
      <c r="J279" s="1" t="s">
        <v>38</v>
      </c>
      <c r="K279" s="1" t="s">
        <v>39</v>
      </c>
      <c r="L279">
        <v>180</v>
      </c>
      <c r="M279">
        <v>37.799999999999997</v>
      </c>
      <c r="N279">
        <v>39.1</v>
      </c>
      <c r="O279">
        <v>19.7</v>
      </c>
      <c r="P279">
        <v>2.912E-2</v>
      </c>
      <c r="Q279">
        <v>5.31</v>
      </c>
      <c r="R279">
        <v>15.9</v>
      </c>
      <c r="S279">
        <v>6</v>
      </c>
      <c r="T279">
        <v>3</v>
      </c>
      <c r="U279">
        <v>18</v>
      </c>
      <c r="V279">
        <v>74.099999999999994</v>
      </c>
      <c r="W279">
        <v>120.58</v>
      </c>
      <c r="X279">
        <v>0.52415999999999996</v>
      </c>
      <c r="Y279">
        <v>11.194444444444445</v>
      </c>
      <c r="Z279">
        <v>0.32598222222222223</v>
      </c>
      <c r="AA279">
        <v>0.62191358024691357</v>
      </c>
      <c r="AB279">
        <v>32038.5</v>
      </c>
      <c r="AC279">
        <v>1</v>
      </c>
      <c r="AD279" s="1" t="s">
        <v>40</v>
      </c>
      <c r="AE279">
        <v>1</v>
      </c>
      <c r="AF279">
        <v>0</v>
      </c>
      <c r="AG279">
        <v>4.2763157894736841</v>
      </c>
    </row>
    <row r="280" spans="1:33">
      <c r="A280" s="1" t="s">
        <v>318</v>
      </c>
      <c r="B280" s="1" t="s">
        <v>1346</v>
      </c>
      <c r="C280" s="2">
        <v>46334</v>
      </c>
      <c r="D280" s="1" t="s">
        <v>34</v>
      </c>
      <c r="E280">
        <v>6378</v>
      </c>
      <c r="F280" s="2">
        <v>46081</v>
      </c>
      <c r="G280" s="1" t="s">
        <v>319</v>
      </c>
      <c r="H280" s="1" t="s">
        <v>48</v>
      </c>
      <c r="I280" s="1" t="s">
        <v>37</v>
      </c>
      <c r="J280" s="1" t="s">
        <v>38</v>
      </c>
      <c r="K280" s="1" t="s">
        <v>39</v>
      </c>
      <c r="L280">
        <v>180</v>
      </c>
      <c r="M280">
        <v>37.799999999999997</v>
      </c>
      <c r="N280">
        <v>39.1</v>
      </c>
      <c r="O280">
        <v>19.7</v>
      </c>
      <c r="P280">
        <v>2.912E-2</v>
      </c>
      <c r="Q280">
        <v>5.31</v>
      </c>
      <c r="R280">
        <v>15.9</v>
      </c>
      <c r="S280">
        <v>6</v>
      </c>
      <c r="T280">
        <v>3</v>
      </c>
      <c r="U280">
        <v>18</v>
      </c>
      <c r="V280">
        <v>74.099999999999994</v>
      </c>
      <c r="W280">
        <v>120.58</v>
      </c>
      <c r="X280">
        <v>0.52415999999999996</v>
      </c>
      <c r="Y280">
        <v>35.43333333333333</v>
      </c>
      <c r="Z280">
        <v>1.0318186666666667</v>
      </c>
      <c r="AA280">
        <v>1.9685185185185183</v>
      </c>
      <c r="AB280">
        <v>101410.2</v>
      </c>
      <c r="AC280">
        <v>2</v>
      </c>
      <c r="AD280" s="1" t="s">
        <v>40</v>
      </c>
      <c r="AE280">
        <v>2</v>
      </c>
      <c r="AF280">
        <v>0</v>
      </c>
      <c r="AG280">
        <v>8.3223684210526319</v>
      </c>
    </row>
    <row r="281" spans="1:33">
      <c r="A281" s="1" t="s">
        <v>320</v>
      </c>
      <c r="B281" s="1" t="s">
        <v>1347</v>
      </c>
      <c r="C281" s="2">
        <v>46680</v>
      </c>
      <c r="D281" s="1" t="s">
        <v>34</v>
      </c>
      <c r="E281">
        <v>7436</v>
      </c>
      <c r="F281" s="2">
        <v>46081</v>
      </c>
      <c r="G281" s="1" t="s">
        <v>321</v>
      </c>
      <c r="H281" s="1" t="s">
        <v>70</v>
      </c>
      <c r="I281" s="1" t="s">
        <v>37</v>
      </c>
      <c r="J281" s="1" t="s">
        <v>38</v>
      </c>
      <c r="K281" s="1" t="s">
        <v>39</v>
      </c>
      <c r="L281">
        <v>120</v>
      </c>
      <c r="M281">
        <v>49.4</v>
      </c>
      <c r="N281">
        <v>29.6</v>
      </c>
      <c r="O281">
        <v>30.4</v>
      </c>
      <c r="P281">
        <v>4.4450000000000003E-2</v>
      </c>
      <c r="Q281">
        <v>12.44</v>
      </c>
      <c r="R281">
        <v>23.77</v>
      </c>
      <c r="S281">
        <v>8</v>
      </c>
      <c r="T281">
        <v>3</v>
      </c>
      <c r="U281">
        <v>24</v>
      </c>
      <c r="V281">
        <v>106.2</v>
      </c>
      <c r="W281">
        <v>323.56</v>
      </c>
      <c r="X281">
        <v>1.0668000000000002</v>
      </c>
      <c r="Y281">
        <v>61.966666666666669</v>
      </c>
      <c r="Z281">
        <v>2.7544183333333336</v>
      </c>
      <c r="AA281">
        <v>2.5819444444444444</v>
      </c>
      <c r="AB281">
        <v>176753.72</v>
      </c>
      <c r="AC281">
        <v>3</v>
      </c>
      <c r="AD281" s="1" t="s">
        <v>40</v>
      </c>
      <c r="AE281">
        <v>3</v>
      </c>
      <c r="AF281">
        <v>0</v>
      </c>
      <c r="AG281">
        <v>19.703947368421055</v>
      </c>
    </row>
    <row r="282" spans="1:33">
      <c r="A282" s="1" t="s">
        <v>320</v>
      </c>
      <c r="B282" s="1" t="s">
        <v>1348</v>
      </c>
      <c r="C282" s="2">
        <v>46744</v>
      </c>
      <c r="D282" s="1" t="s">
        <v>34</v>
      </c>
      <c r="E282">
        <v>2070</v>
      </c>
      <c r="F282" s="2">
        <v>46081</v>
      </c>
      <c r="G282" s="1" t="s">
        <v>321</v>
      </c>
      <c r="H282" s="1" t="s">
        <v>70</v>
      </c>
      <c r="I282" s="1" t="s">
        <v>37</v>
      </c>
      <c r="J282" s="1" t="s">
        <v>38</v>
      </c>
      <c r="K282" s="1" t="s">
        <v>39</v>
      </c>
      <c r="L282">
        <v>120</v>
      </c>
      <c r="M282">
        <v>49.4</v>
      </c>
      <c r="N282">
        <v>29.6</v>
      </c>
      <c r="O282">
        <v>30.4</v>
      </c>
      <c r="P282">
        <v>4.4450000000000003E-2</v>
      </c>
      <c r="Q282">
        <v>12.44</v>
      </c>
      <c r="R282">
        <v>23.77</v>
      </c>
      <c r="S282">
        <v>8</v>
      </c>
      <c r="T282">
        <v>3</v>
      </c>
      <c r="U282">
        <v>24</v>
      </c>
      <c r="V282">
        <v>106.2</v>
      </c>
      <c r="W282">
        <v>323.56</v>
      </c>
      <c r="X282">
        <v>1.0668000000000002</v>
      </c>
      <c r="Y282">
        <v>17.25</v>
      </c>
      <c r="Z282">
        <v>0.76676250000000001</v>
      </c>
      <c r="AA282">
        <v>0.71875</v>
      </c>
      <c r="AB282">
        <v>49203.9</v>
      </c>
      <c r="AC282">
        <v>1</v>
      </c>
      <c r="AD282" s="1" t="s">
        <v>40</v>
      </c>
      <c r="AE282">
        <v>1</v>
      </c>
      <c r="AF282">
        <v>0</v>
      </c>
      <c r="AG282">
        <v>21.809210526315791</v>
      </c>
    </row>
    <row r="283" spans="1:33">
      <c r="A283" s="1" t="s">
        <v>322</v>
      </c>
      <c r="B283" s="1" t="s">
        <v>1349</v>
      </c>
      <c r="C283" s="2">
        <v>47148</v>
      </c>
      <c r="D283" s="1" t="s">
        <v>34</v>
      </c>
      <c r="E283">
        <v>126</v>
      </c>
      <c r="F283" s="2">
        <v>46081</v>
      </c>
      <c r="G283" s="1" t="s">
        <v>323</v>
      </c>
      <c r="H283" s="1" t="s">
        <v>67</v>
      </c>
      <c r="I283" s="1" t="s">
        <v>37</v>
      </c>
      <c r="J283" s="1" t="s">
        <v>38</v>
      </c>
      <c r="K283" s="1" t="s">
        <v>39</v>
      </c>
      <c r="L283">
        <v>60</v>
      </c>
      <c r="M283">
        <v>57.7</v>
      </c>
      <c r="N283">
        <v>43.1</v>
      </c>
      <c r="O283">
        <v>34.700000000000003</v>
      </c>
      <c r="P283">
        <v>8.6290000000000006E-2</v>
      </c>
      <c r="Q283">
        <v>24.99</v>
      </c>
      <c r="R283">
        <v>9.19</v>
      </c>
      <c r="S283">
        <v>3</v>
      </c>
      <c r="T283">
        <v>4</v>
      </c>
      <c r="U283">
        <v>12</v>
      </c>
      <c r="V283">
        <v>153.80000000000001</v>
      </c>
      <c r="W283">
        <v>324.88</v>
      </c>
      <c r="X283">
        <v>1.0354800000000002</v>
      </c>
      <c r="Y283">
        <v>2.1</v>
      </c>
      <c r="Z283">
        <v>0.18120900000000001</v>
      </c>
      <c r="AA283">
        <v>0.17500000000000002</v>
      </c>
      <c r="AB283">
        <v>1157.9399999999998</v>
      </c>
      <c r="AC283">
        <v>1</v>
      </c>
      <c r="AD283" s="1" t="s">
        <v>44</v>
      </c>
      <c r="AE283">
        <v>0</v>
      </c>
      <c r="AF283">
        <v>1</v>
      </c>
      <c r="AG283">
        <v>35.098684210526315</v>
      </c>
    </row>
    <row r="284" spans="1:33">
      <c r="A284" s="1" t="s">
        <v>322</v>
      </c>
      <c r="B284" s="1" t="s">
        <v>1350</v>
      </c>
      <c r="C284" s="2">
        <v>46221</v>
      </c>
      <c r="D284" s="1" t="s">
        <v>34</v>
      </c>
      <c r="E284">
        <v>102</v>
      </c>
      <c r="F284" s="2">
        <v>46081</v>
      </c>
      <c r="G284" s="1" t="s">
        <v>323</v>
      </c>
      <c r="H284" s="1" t="s">
        <v>67</v>
      </c>
      <c r="I284" s="1" t="s">
        <v>37</v>
      </c>
      <c r="J284" s="1" t="s">
        <v>38</v>
      </c>
      <c r="K284" s="1" t="s">
        <v>39</v>
      </c>
      <c r="L284">
        <v>60</v>
      </c>
      <c r="M284">
        <v>57.7</v>
      </c>
      <c r="N284">
        <v>43.1</v>
      </c>
      <c r="O284">
        <v>34.700000000000003</v>
      </c>
      <c r="P284">
        <v>8.6290000000000006E-2</v>
      </c>
      <c r="Q284">
        <v>24.99</v>
      </c>
      <c r="R284">
        <v>9.19</v>
      </c>
      <c r="S284">
        <v>3</v>
      </c>
      <c r="T284">
        <v>4</v>
      </c>
      <c r="U284">
        <v>12</v>
      </c>
      <c r="V284">
        <v>153.80000000000001</v>
      </c>
      <c r="W284">
        <v>324.88</v>
      </c>
      <c r="X284">
        <v>1.0354800000000002</v>
      </c>
      <c r="Y284">
        <v>1.7</v>
      </c>
      <c r="Z284">
        <v>0.14669300000000002</v>
      </c>
      <c r="AA284">
        <v>0.14166666666666666</v>
      </c>
      <c r="AB284">
        <v>937.38</v>
      </c>
      <c r="AC284">
        <v>1</v>
      </c>
      <c r="AD284" s="1" t="s">
        <v>44</v>
      </c>
      <c r="AE284">
        <v>0</v>
      </c>
      <c r="AF284">
        <v>1</v>
      </c>
      <c r="AG284">
        <v>4.6052631578947372</v>
      </c>
    </row>
    <row r="285" spans="1:33">
      <c r="A285" s="1" t="s">
        <v>322</v>
      </c>
      <c r="B285" s="1" t="s">
        <v>1351</v>
      </c>
      <c r="C285" s="2">
        <v>46605</v>
      </c>
      <c r="D285" s="1" t="s">
        <v>34</v>
      </c>
      <c r="E285">
        <v>125</v>
      </c>
      <c r="F285" s="2">
        <v>46081</v>
      </c>
      <c r="G285" s="1" t="s">
        <v>323</v>
      </c>
      <c r="H285" s="1" t="s">
        <v>67</v>
      </c>
      <c r="I285" s="1" t="s">
        <v>37</v>
      </c>
      <c r="J285" s="1" t="s">
        <v>38</v>
      </c>
      <c r="K285" s="1" t="s">
        <v>39</v>
      </c>
      <c r="L285">
        <v>60</v>
      </c>
      <c r="M285">
        <v>57.7</v>
      </c>
      <c r="N285">
        <v>43.1</v>
      </c>
      <c r="O285">
        <v>34.700000000000003</v>
      </c>
      <c r="P285">
        <v>8.6290000000000006E-2</v>
      </c>
      <c r="Q285">
        <v>24.99</v>
      </c>
      <c r="R285">
        <v>9.19</v>
      </c>
      <c r="S285">
        <v>3</v>
      </c>
      <c r="T285">
        <v>4</v>
      </c>
      <c r="U285">
        <v>12</v>
      </c>
      <c r="V285">
        <v>153.80000000000001</v>
      </c>
      <c r="W285">
        <v>324.88</v>
      </c>
      <c r="X285">
        <v>1.0354800000000002</v>
      </c>
      <c r="Y285">
        <v>2.0833333333333335</v>
      </c>
      <c r="Z285">
        <v>0.17977083333333335</v>
      </c>
      <c r="AA285">
        <v>0.17361111111111113</v>
      </c>
      <c r="AB285">
        <v>1148.75</v>
      </c>
      <c r="AC285">
        <v>1</v>
      </c>
      <c r="AD285" s="1" t="s">
        <v>44</v>
      </c>
      <c r="AE285">
        <v>0</v>
      </c>
      <c r="AF285">
        <v>1</v>
      </c>
      <c r="AG285">
        <v>17.236842105263158</v>
      </c>
    </row>
    <row r="286" spans="1:33">
      <c r="A286" s="1" t="s">
        <v>322</v>
      </c>
      <c r="B286" s="1" t="s">
        <v>1352</v>
      </c>
      <c r="C286" s="2">
        <v>46322</v>
      </c>
      <c r="D286" s="1" t="s">
        <v>34</v>
      </c>
      <c r="E286">
        <v>108</v>
      </c>
      <c r="F286" s="2">
        <v>46081</v>
      </c>
      <c r="G286" s="1" t="s">
        <v>323</v>
      </c>
      <c r="H286" s="1" t="s">
        <v>67</v>
      </c>
      <c r="I286" s="1" t="s">
        <v>37</v>
      </c>
      <c r="J286" s="1" t="s">
        <v>38</v>
      </c>
      <c r="K286" s="1" t="s">
        <v>39</v>
      </c>
      <c r="L286">
        <v>60</v>
      </c>
      <c r="M286">
        <v>57.7</v>
      </c>
      <c r="N286">
        <v>43.1</v>
      </c>
      <c r="O286">
        <v>34.700000000000003</v>
      </c>
      <c r="P286">
        <v>8.6290000000000006E-2</v>
      </c>
      <c r="Q286">
        <v>24.99</v>
      </c>
      <c r="R286">
        <v>9.19</v>
      </c>
      <c r="S286">
        <v>3</v>
      </c>
      <c r="T286">
        <v>4</v>
      </c>
      <c r="U286">
        <v>12</v>
      </c>
      <c r="V286">
        <v>153.80000000000001</v>
      </c>
      <c r="W286">
        <v>324.88</v>
      </c>
      <c r="X286">
        <v>1.0354800000000002</v>
      </c>
      <c r="Y286">
        <v>1.8</v>
      </c>
      <c r="Z286">
        <v>0.15532200000000002</v>
      </c>
      <c r="AA286">
        <v>0.15</v>
      </c>
      <c r="AB286">
        <v>992.52</v>
      </c>
      <c r="AC286">
        <v>1</v>
      </c>
      <c r="AD286" s="1" t="s">
        <v>44</v>
      </c>
      <c r="AE286">
        <v>0</v>
      </c>
      <c r="AF286">
        <v>1</v>
      </c>
      <c r="AG286">
        <v>7.927631578947369</v>
      </c>
    </row>
    <row r="287" spans="1:33">
      <c r="A287" s="1" t="s">
        <v>324</v>
      </c>
      <c r="B287" s="1" t="s">
        <v>1353</v>
      </c>
      <c r="C287" s="2">
        <v>46591</v>
      </c>
      <c r="D287" s="1" t="s">
        <v>34</v>
      </c>
      <c r="E287">
        <v>575</v>
      </c>
      <c r="F287" s="2">
        <v>46081</v>
      </c>
      <c r="G287" s="1" t="s">
        <v>325</v>
      </c>
      <c r="H287" s="1" t="s">
        <v>48</v>
      </c>
      <c r="I287" s="1" t="s">
        <v>37</v>
      </c>
      <c r="J287" s="1" t="s">
        <v>38</v>
      </c>
      <c r="K287" s="1" t="s">
        <v>39</v>
      </c>
      <c r="L287">
        <v>60</v>
      </c>
      <c r="M287">
        <v>56</v>
      </c>
      <c r="N287">
        <v>44.9</v>
      </c>
      <c r="O287">
        <v>27.4</v>
      </c>
      <c r="P287">
        <v>6.8890000000000007E-2</v>
      </c>
      <c r="Q287">
        <v>19.07</v>
      </c>
      <c r="R287">
        <v>5.92</v>
      </c>
      <c r="S287">
        <v>4</v>
      </c>
      <c r="T287">
        <v>5</v>
      </c>
      <c r="U287">
        <v>20</v>
      </c>
      <c r="V287">
        <v>152</v>
      </c>
      <c r="W287">
        <v>406.4</v>
      </c>
      <c r="X287">
        <v>1.3777999999999999</v>
      </c>
      <c r="Y287">
        <v>9.5833333333333339</v>
      </c>
      <c r="Z287">
        <v>0.66019583333333343</v>
      </c>
      <c r="AA287">
        <v>0.47916666666666669</v>
      </c>
      <c r="AB287">
        <v>3404</v>
      </c>
      <c r="AC287">
        <v>1</v>
      </c>
      <c r="AD287" s="1" t="s">
        <v>40</v>
      </c>
      <c r="AE287">
        <v>1</v>
      </c>
      <c r="AF287">
        <v>0</v>
      </c>
      <c r="AG287">
        <v>16.776315789473685</v>
      </c>
    </row>
    <row r="288" spans="1:33">
      <c r="A288" s="1" t="s">
        <v>326</v>
      </c>
      <c r="B288" s="1" t="s">
        <v>1354</v>
      </c>
      <c r="C288" s="2">
        <v>46720</v>
      </c>
      <c r="D288" s="1" t="s">
        <v>34</v>
      </c>
      <c r="E288">
        <v>123</v>
      </c>
      <c r="F288" s="2">
        <v>46081</v>
      </c>
      <c r="G288" s="1" t="s">
        <v>327</v>
      </c>
      <c r="H288" s="1" t="s">
        <v>48</v>
      </c>
      <c r="I288" s="1" t="s">
        <v>37</v>
      </c>
      <c r="J288" s="1" t="s">
        <v>38</v>
      </c>
      <c r="K288" s="1" t="s">
        <v>39</v>
      </c>
      <c r="L288">
        <v>240</v>
      </c>
      <c r="M288">
        <v>56.3</v>
      </c>
      <c r="N288">
        <v>39.4</v>
      </c>
      <c r="O288">
        <v>33.5</v>
      </c>
      <c r="P288">
        <v>7.4310000000000001E-2</v>
      </c>
      <c r="Q288">
        <v>19.239999999999998</v>
      </c>
      <c r="R288">
        <v>23.41</v>
      </c>
      <c r="S288">
        <v>4</v>
      </c>
      <c r="T288">
        <v>3</v>
      </c>
      <c r="U288">
        <v>12</v>
      </c>
      <c r="V288">
        <v>115.5</v>
      </c>
      <c r="W288">
        <v>255.88</v>
      </c>
      <c r="X288">
        <v>0.89172000000000007</v>
      </c>
      <c r="Y288">
        <v>0.51249999999999996</v>
      </c>
      <c r="Z288">
        <v>3.8083874999999996E-2</v>
      </c>
      <c r="AA288">
        <v>4.2708333333333327E-2</v>
      </c>
      <c r="AB288">
        <v>2879.43</v>
      </c>
      <c r="AC288">
        <v>1</v>
      </c>
      <c r="AD288" s="1" t="s">
        <v>44</v>
      </c>
      <c r="AE288">
        <v>0</v>
      </c>
      <c r="AF288">
        <v>1</v>
      </c>
      <c r="AG288">
        <v>21.019736842105264</v>
      </c>
    </row>
    <row r="289" spans="1:33">
      <c r="A289" s="1" t="s">
        <v>326</v>
      </c>
      <c r="B289" s="1" t="s">
        <v>1355</v>
      </c>
      <c r="C289" s="2">
        <v>46204</v>
      </c>
      <c r="D289" s="1" t="s">
        <v>49</v>
      </c>
      <c r="E289">
        <v>6</v>
      </c>
      <c r="F289" s="2">
        <v>46081</v>
      </c>
      <c r="G289" s="1" t="s">
        <v>327</v>
      </c>
      <c r="H289" s="1" t="s">
        <v>48</v>
      </c>
      <c r="I289" s="1" t="s">
        <v>37</v>
      </c>
      <c r="J289" s="1" t="s">
        <v>38</v>
      </c>
      <c r="K289" s="1" t="s">
        <v>39</v>
      </c>
      <c r="L289">
        <v>240</v>
      </c>
      <c r="M289">
        <v>56.3</v>
      </c>
      <c r="N289">
        <v>39.4</v>
      </c>
      <c r="O289">
        <v>33.5</v>
      </c>
      <c r="P289">
        <v>7.4310000000000001E-2</v>
      </c>
      <c r="Q289">
        <v>19.239999999999998</v>
      </c>
      <c r="R289">
        <v>23.41</v>
      </c>
      <c r="S289">
        <v>4</v>
      </c>
      <c r="T289">
        <v>3</v>
      </c>
      <c r="U289">
        <v>12</v>
      </c>
      <c r="V289">
        <v>115.5</v>
      </c>
      <c r="W289">
        <v>255.88</v>
      </c>
      <c r="X289">
        <v>0.89172000000000007</v>
      </c>
      <c r="Y289">
        <v>2.5000000000000001E-2</v>
      </c>
      <c r="Z289">
        <v>1.85775E-3</v>
      </c>
      <c r="AA289">
        <v>2.0833333333333333E-3</v>
      </c>
      <c r="AB289">
        <v>140.46</v>
      </c>
      <c r="AC289">
        <v>1</v>
      </c>
      <c r="AD289" s="1" t="s">
        <v>44</v>
      </c>
      <c r="AE289">
        <v>0</v>
      </c>
      <c r="AF289">
        <v>1</v>
      </c>
      <c r="AG289">
        <v>4.0460526315789478</v>
      </c>
    </row>
    <row r="290" spans="1:33">
      <c r="A290" s="1" t="s">
        <v>328</v>
      </c>
      <c r="B290" s="1" t="s">
        <v>1356</v>
      </c>
      <c r="C290" s="2">
        <v>46662</v>
      </c>
      <c r="D290" s="1" t="s">
        <v>34</v>
      </c>
      <c r="E290">
        <v>20</v>
      </c>
      <c r="F290" s="2">
        <v>46081</v>
      </c>
      <c r="G290" s="1" t="s">
        <v>329</v>
      </c>
      <c r="H290" s="1" t="s">
        <v>70</v>
      </c>
      <c r="I290" s="1" t="s">
        <v>37</v>
      </c>
      <c r="J290" s="1" t="s">
        <v>38</v>
      </c>
      <c r="K290" s="1" t="s">
        <v>39</v>
      </c>
      <c r="L290">
        <v>60</v>
      </c>
      <c r="M290">
        <v>46.6</v>
      </c>
      <c r="N290">
        <v>28</v>
      </c>
      <c r="O290">
        <v>34.200000000000003</v>
      </c>
      <c r="P290">
        <v>4.462E-2</v>
      </c>
      <c r="Q290">
        <v>12.85</v>
      </c>
      <c r="R290">
        <v>21.01</v>
      </c>
      <c r="S290">
        <v>8</v>
      </c>
      <c r="T290">
        <v>3</v>
      </c>
      <c r="U290">
        <v>24</v>
      </c>
      <c r="V290">
        <v>117.6</v>
      </c>
      <c r="W290">
        <v>333.4</v>
      </c>
      <c r="X290">
        <v>1.0708800000000001</v>
      </c>
      <c r="Y290">
        <v>0.33333333333333331</v>
      </c>
      <c r="Z290">
        <v>1.4873333333333332E-2</v>
      </c>
      <c r="AA290">
        <v>1.3888888888888888E-2</v>
      </c>
      <c r="AB290">
        <v>420.20000000000005</v>
      </c>
      <c r="AC290">
        <v>1</v>
      </c>
      <c r="AD290" s="1" t="s">
        <v>44</v>
      </c>
      <c r="AE290">
        <v>0</v>
      </c>
      <c r="AF290">
        <v>1</v>
      </c>
      <c r="AG290">
        <v>19.111842105263158</v>
      </c>
    </row>
    <row r="291" spans="1:33">
      <c r="A291" s="1" t="s">
        <v>330</v>
      </c>
      <c r="B291" s="1" t="s">
        <v>1357</v>
      </c>
      <c r="C291" s="2">
        <v>47129</v>
      </c>
      <c r="D291" s="1" t="s">
        <v>34</v>
      </c>
      <c r="E291">
        <v>18</v>
      </c>
      <c r="F291" s="2">
        <v>46081</v>
      </c>
      <c r="G291" s="1" t="s">
        <v>331</v>
      </c>
      <c r="H291" s="1" t="s">
        <v>70</v>
      </c>
      <c r="I291" s="1" t="s">
        <v>37</v>
      </c>
      <c r="J291" s="1" t="s">
        <v>38</v>
      </c>
      <c r="K291" s="1" t="s">
        <v>39</v>
      </c>
      <c r="L291">
        <v>120</v>
      </c>
      <c r="M291">
        <v>58.2</v>
      </c>
      <c r="N291">
        <v>37.9</v>
      </c>
      <c r="O291">
        <v>19.399999999999999</v>
      </c>
      <c r="P291">
        <v>4.2790000000000002E-2</v>
      </c>
      <c r="Q291">
        <v>6.51</v>
      </c>
      <c r="R291">
        <v>7.92</v>
      </c>
      <c r="S291">
        <v>4</v>
      </c>
      <c r="T291">
        <v>6</v>
      </c>
      <c r="U291">
        <v>24</v>
      </c>
      <c r="V291">
        <v>131.39999999999998</v>
      </c>
      <c r="W291">
        <v>181.24</v>
      </c>
      <c r="X291">
        <v>1.0269600000000001</v>
      </c>
      <c r="Y291">
        <v>0.15</v>
      </c>
      <c r="Z291">
        <v>6.4184999999999997E-3</v>
      </c>
      <c r="AA291">
        <v>6.2499999999999995E-3</v>
      </c>
      <c r="AB291">
        <v>142.56</v>
      </c>
      <c r="AC291">
        <v>1</v>
      </c>
      <c r="AD291" s="1" t="s">
        <v>44</v>
      </c>
      <c r="AE291">
        <v>0</v>
      </c>
      <c r="AF291">
        <v>1</v>
      </c>
      <c r="AG291">
        <v>34.473684210526315</v>
      </c>
    </row>
    <row r="292" spans="1:33">
      <c r="A292" s="1" t="s">
        <v>330</v>
      </c>
      <c r="B292" s="1" t="s">
        <v>1358</v>
      </c>
      <c r="C292" s="2">
        <v>46720</v>
      </c>
      <c r="D292" s="1" t="s">
        <v>34</v>
      </c>
      <c r="E292">
        <v>261</v>
      </c>
      <c r="F292" s="2">
        <v>46081</v>
      </c>
      <c r="G292" s="1" t="s">
        <v>331</v>
      </c>
      <c r="H292" s="1" t="s">
        <v>70</v>
      </c>
      <c r="I292" s="1" t="s">
        <v>37</v>
      </c>
      <c r="J292" s="1" t="s">
        <v>38</v>
      </c>
      <c r="K292" s="1" t="s">
        <v>39</v>
      </c>
      <c r="L292">
        <v>120</v>
      </c>
      <c r="M292">
        <v>58.2</v>
      </c>
      <c r="N292">
        <v>37.9</v>
      </c>
      <c r="O292">
        <v>19.399999999999999</v>
      </c>
      <c r="P292">
        <v>4.2790000000000002E-2</v>
      </c>
      <c r="Q292">
        <v>6.51</v>
      </c>
      <c r="R292">
        <v>7.92</v>
      </c>
      <c r="S292">
        <v>4</v>
      </c>
      <c r="T292">
        <v>6</v>
      </c>
      <c r="U292">
        <v>24</v>
      </c>
      <c r="V292">
        <v>131.39999999999998</v>
      </c>
      <c r="W292">
        <v>181.24</v>
      </c>
      <c r="X292">
        <v>1.0269600000000001</v>
      </c>
      <c r="Y292">
        <v>2.1749999999999998</v>
      </c>
      <c r="Z292">
        <v>9.3068249999999991E-2</v>
      </c>
      <c r="AA292">
        <v>9.0624999999999997E-2</v>
      </c>
      <c r="AB292">
        <v>2067.12</v>
      </c>
      <c r="AC292">
        <v>1</v>
      </c>
      <c r="AD292" s="1" t="s">
        <v>44</v>
      </c>
      <c r="AE292">
        <v>0</v>
      </c>
      <c r="AF292">
        <v>1</v>
      </c>
      <c r="AG292">
        <v>21.019736842105264</v>
      </c>
    </row>
    <row r="293" spans="1:33">
      <c r="A293" s="1" t="s">
        <v>330</v>
      </c>
      <c r="B293" s="1" t="s">
        <v>1359</v>
      </c>
      <c r="C293" s="2">
        <v>47131</v>
      </c>
      <c r="D293" s="1" t="s">
        <v>34</v>
      </c>
      <c r="E293">
        <v>160</v>
      </c>
      <c r="F293" s="2">
        <v>46081</v>
      </c>
      <c r="G293" s="1" t="s">
        <v>331</v>
      </c>
      <c r="H293" s="1" t="s">
        <v>70</v>
      </c>
      <c r="I293" s="1" t="s">
        <v>37</v>
      </c>
      <c r="J293" s="1" t="s">
        <v>38</v>
      </c>
      <c r="K293" s="1" t="s">
        <v>39</v>
      </c>
      <c r="L293">
        <v>120</v>
      </c>
      <c r="M293">
        <v>58.2</v>
      </c>
      <c r="N293">
        <v>37.9</v>
      </c>
      <c r="O293">
        <v>19.399999999999999</v>
      </c>
      <c r="P293">
        <v>4.2790000000000002E-2</v>
      </c>
      <c r="Q293">
        <v>6.51</v>
      </c>
      <c r="R293">
        <v>7.92</v>
      </c>
      <c r="S293">
        <v>4</v>
      </c>
      <c r="T293">
        <v>6</v>
      </c>
      <c r="U293">
        <v>24</v>
      </c>
      <c r="V293">
        <v>131.39999999999998</v>
      </c>
      <c r="W293">
        <v>181.24</v>
      </c>
      <c r="X293">
        <v>1.0269600000000001</v>
      </c>
      <c r="Y293">
        <v>1.3333333333333333</v>
      </c>
      <c r="Z293">
        <v>5.7053333333333331E-2</v>
      </c>
      <c r="AA293">
        <v>5.5555555555555552E-2</v>
      </c>
      <c r="AB293">
        <v>1267.2</v>
      </c>
      <c r="AC293">
        <v>1</v>
      </c>
      <c r="AD293" s="1" t="s">
        <v>44</v>
      </c>
      <c r="AE293">
        <v>0</v>
      </c>
      <c r="AF293">
        <v>1</v>
      </c>
      <c r="AG293">
        <v>34.539473684210527</v>
      </c>
    </row>
    <row r="294" spans="1:33">
      <c r="A294" s="1" t="s">
        <v>330</v>
      </c>
      <c r="B294" s="1" t="s">
        <v>1360</v>
      </c>
      <c r="C294" s="2">
        <v>46575</v>
      </c>
      <c r="D294" s="1" t="s">
        <v>153</v>
      </c>
      <c r="E294">
        <v>13</v>
      </c>
      <c r="F294" s="2">
        <v>46081</v>
      </c>
      <c r="G294" s="1" t="s">
        <v>331</v>
      </c>
      <c r="H294" s="1" t="s">
        <v>70</v>
      </c>
      <c r="I294" s="1" t="s">
        <v>37</v>
      </c>
      <c r="J294" s="1" t="s">
        <v>38</v>
      </c>
      <c r="K294" s="1" t="s">
        <v>39</v>
      </c>
      <c r="L294">
        <v>120</v>
      </c>
      <c r="M294">
        <v>58.2</v>
      </c>
      <c r="N294">
        <v>37.9</v>
      </c>
      <c r="O294">
        <v>19.399999999999999</v>
      </c>
      <c r="P294">
        <v>4.2790000000000002E-2</v>
      </c>
      <c r="Q294">
        <v>6.51</v>
      </c>
      <c r="R294">
        <v>7.92</v>
      </c>
      <c r="S294">
        <v>4</v>
      </c>
      <c r="T294">
        <v>6</v>
      </c>
      <c r="U294">
        <v>24</v>
      </c>
      <c r="V294">
        <v>131.39999999999998</v>
      </c>
      <c r="W294">
        <v>181.24</v>
      </c>
      <c r="X294">
        <v>1.0269600000000001</v>
      </c>
      <c r="Y294">
        <v>0.10833333333333334</v>
      </c>
      <c r="Z294">
        <v>4.6355833333333336E-3</v>
      </c>
      <c r="AA294">
        <v>4.5138888888888893E-3</v>
      </c>
      <c r="AB294">
        <v>102.96</v>
      </c>
      <c r="AC294">
        <v>1</v>
      </c>
      <c r="AD294" s="1" t="s">
        <v>74</v>
      </c>
      <c r="AE294">
        <v>0</v>
      </c>
      <c r="AF294">
        <v>0</v>
      </c>
      <c r="AG294">
        <v>16.25</v>
      </c>
    </row>
    <row r="295" spans="1:33">
      <c r="A295" s="1" t="s">
        <v>332</v>
      </c>
      <c r="B295" s="1" t="s">
        <v>1361</v>
      </c>
      <c r="C295" s="2">
        <v>46415</v>
      </c>
      <c r="D295" s="1" t="s">
        <v>34</v>
      </c>
      <c r="E295">
        <v>3360</v>
      </c>
      <c r="F295" s="2">
        <v>46081</v>
      </c>
      <c r="G295" s="1" t="s">
        <v>333</v>
      </c>
      <c r="H295" s="1" t="s">
        <v>48</v>
      </c>
      <c r="I295" s="1" t="s">
        <v>37</v>
      </c>
      <c r="J295" s="1" t="s">
        <v>38</v>
      </c>
      <c r="K295" s="1" t="s">
        <v>39</v>
      </c>
      <c r="L295">
        <v>120</v>
      </c>
      <c r="M295">
        <v>38.1</v>
      </c>
      <c r="N295">
        <v>26.8</v>
      </c>
      <c r="O295">
        <v>22.6</v>
      </c>
      <c r="P295">
        <v>2.308E-2</v>
      </c>
      <c r="Q295">
        <v>5.26</v>
      </c>
      <c r="R295">
        <v>12.44</v>
      </c>
      <c r="S295">
        <v>9</v>
      </c>
      <c r="T295">
        <v>5</v>
      </c>
      <c r="U295">
        <v>45</v>
      </c>
      <c r="V295">
        <v>128</v>
      </c>
      <c r="W295">
        <v>261.7</v>
      </c>
      <c r="X295">
        <v>1.0386</v>
      </c>
      <c r="Y295">
        <v>28</v>
      </c>
      <c r="Z295">
        <v>0.64624000000000004</v>
      </c>
      <c r="AA295">
        <v>0.62222222222222223</v>
      </c>
      <c r="AB295">
        <v>41798.400000000001</v>
      </c>
      <c r="AC295">
        <v>1</v>
      </c>
      <c r="AD295" s="1" t="s">
        <v>40</v>
      </c>
      <c r="AE295">
        <v>1</v>
      </c>
      <c r="AF295">
        <v>0</v>
      </c>
      <c r="AG295">
        <v>10.986842105263158</v>
      </c>
    </row>
    <row r="296" spans="1:33">
      <c r="A296" s="1" t="s">
        <v>334</v>
      </c>
      <c r="B296" s="1" t="s">
        <v>1362</v>
      </c>
      <c r="C296" s="2">
        <v>46900</v>
      </c>
      <c r="D296" s="1" t="s">
        <v>34</v>
      </c>
      <c r="E296">
        <v>837</v>
      </c>
      <c r="F296" s="2">
        <v>46081</v>
      </c>
      <c r="G296" s="1" t="s">
        <v>335</v>
      </c>
      <c r="H296" s="1" t="s">
        <v>43</v>
      </c>
      <c r="I296" s="1" t="s">
        <v>37</v>
      </c>
      <c r="J296" s="1" t="s">
        <v>38</v>
      </c>
      <c r="K296" s="1" t="s">
        <v>39</v>
      </c>
      <c r="L296">
        <v>100</v>
      </c>
      <c r="M296">
        <v>34.4</v>
      </c>
      <c r="N296">
        <v>29.7</v>
      </c>
      <c r="O296">
        <v>21.4</v>
      </c>
      <c r="P296">
        <v>2.1860000000000001E-2</v>
      </c>
      <c r="Q296">
        <v>4.04</v>
      </c>
      <c r="R296">
        <v>7.87</v>
      </c>
      <c r="S296">
        <v>9</v>
      </c>
      <c r="T296">
        <v>4</v>
      </c>
      <c r="U296">
        <v>36</v>
      </c>
      <c r="V296">
        <v>100.6</v>
      </c>
      <c r="W296">
        <v>170.44</v>
      </c>
      <c r="X296">
        <v>0.78695999999999999</v>
      </c>
      <c r="Y296">
        <v>8.3699999999999992</v>
      </c>
      <c r="Z296">
        <v>0.1829682</v>
      </c>
      <c r="AA296">
        <v>0.23249999999999998</v>
      </c>
      <c r="AB296">
        <v>6587.1900000000005</v>
      </c>
      <c r="AC296">
        <v>1</v>
      </c>
      <c r="AD296" s="1" t="s">
        <v>44</v>
      </c>
      <c r="AE296">
        <v>0</v>
      </c>
      <c r="AF296">
        <v>1</v>
      </c>
      <c r="AG296">
        <v>26.940789473684212</v>
      </c>
    </row>
    <row r="297" spans="1:33">
      <c r="A297" s="1" t="s">
        <v>336</v>
      </c>
      <c r="B297" s="1" t="s">
        <v>1363</v>
      </c>
      <c r="C297" s="2">
        <v>46900</v>
      </c>
      <c r="D297" s="1" t="s">
        <v>34</v>
      </c>
      <c r="E297">
        <v>19732</v>
      </c>
      <c r="F297" s="2">
        <v>46081</v>
      </c>
      <c r="G297" s="1" t="s">
        <v>337</v>
      </c>
      <c r="H297" s="1" t="s">
        <v>52</v>
      </c>
      <c r="I297" s="1" t="s">
        <v>37</v>
      </c>
      <c r="J297" s="1" t="s">
        <v>38</v>
      </c>
      <c r="K297" s="1" t="s">
        <v>39</v>
      </c>
      <c r="L297">
        <v>240</v>
      </c>
      <c r="M297">
        <v>31.9</v>
      </c>
      <c r="N297">
        <v>42.2</v>
      </c>
      <c r="O297">
        <v>27.5</v>
      </c>
      <c r="P297">
        <v>3.7019999999999997E-2</v>
      </c>
      <c r="Q297">
        <v>10.56</v>
      </c>
      <c r="R297">
        <v>9.25</v>
      </c>
      <c r="S297">
        <v>6</v>
      </c>
      <c r="T297">
        <v>4</v>
      </c>
      <c r="U297">
        <v>24</v>
      </c>
      <c r="V297">
        <v>125</v>
      </c>
      <c r="W297">
        <v>278.44</v>
      </c>
      <c r="X297">
        <v>0.88847999999999994</v>
      </c>
      <c r="Y297">
        <v>82.216666666666669</v>
      </c>
      <c r="Z297">
        <v>3.0436609999999997</v>
      </c>
      <c r="AA297">
        <v>3.4256944444444444</v>
      </c>
      <c r="AB297">
        <v>182521</v>
      </c>
      <c r="AC297">
        <v>4</v>
      </c>
      <c r="AD297" s="1" t="s">
        <v>40</v>
      </c>
      <c r="AE297">
        <v>4</v>
      </c>
      <c r="AF297">
        <v>0</v>
      </c>
      <c r="AG297">
        <v>26.940789473684212</v>
      </c>
    </row>
    <row r="298" spans="1:33">
      <c r="A298" s="1" t="s">
        <v>338</v>
      </c>
      <c r="B298" s="1" t="s">
        <v>1364</v>
      </c>
      <c r="C298" s="2">
        <v>46334</v>
      </c>
      <c r="D298" s="1" t="s">
        <v>34</v>
      </c>
      <c r="E298">
        <v>98</v>
      </c>
      <c r="F298" s="2">
        <v>46081</v>
      </c>
      <c r="G298" s="1" t="s">
        <v>339</v>
      </c>
      <c r="H298" s="1" t="s">
        <v>70</v>
      </c>
      <c r="I298" s="1" t="s">
        <v>37</v>
      </c>
      <c r="J298" s="1" t="s">
        <v>38</v>
      </c>
      <c r="K298" s="1" t="s">
        <v>39</v>
      </c>
      <c r="L298">
        <v>60</v>
      </c>
      <c r="M298">
        <v>58.8</v>
      </c>
      <c r="N298">
        <v>40.1</v>
      </c>
      <c r="O298">
        <v>19.5</v>
      </c>
      <c r="P298">
        <v>4.598E-2</v>
      </c>
      <c r="Q298">
        <v>12.55</v>
      </c>
      <c r="R298">
        <v>16.8</v>
      </c>
      <c r="S298">
        <v>4</v>
      </c>
      <c r="T298">
        <v>6</v>
      </c>
      <c r="U298">
        <v>24</v>
      </c>
      <c r="V298">
        <v>132</v>
      </c>
      <c r="W298">
        <v>326.20000000000005</v>
      </c>
      <c r="X298">
        <v>1.1035200000000001</v>
      </c>
      <c r="Y298">
        <v>1.6333333333333333</v>
      </c>
      <c r="Z298">
        <v>7.5100666666666663E-2</v>
      </c>
      <c r="AA298">
        <v>6.805555555555555E-2</v>
      </c>
      <c r="AB298">
        <v>1646.4</v>
      </c>
      <c r="AC298">
        <v>1</v>
      </c>
      <c r="AD298" s="1" t="s">
        <v>44</v>
      </c>
      <c r="AE298">
        <v>0</v>
      </c>
      <c r="AF298">
        <v>1</v>
      </c>
      <c r="AG298">
        <v>8.3223684210526319</v>
      </c>
    </row>
    <row r="299" spans="1:33">
      <c r="A299" s="1" t="s">
        <v>338</v>
      </c>
      <c r="B299" s="1" t="s">
        <v>1365</v>
      </c>
      <c r="C299" s="2">
        <v>46392</v>
      </c>
      <c r="D299" s="1" t="s">
        <v>34</v>
      </c>
      <c r="E299">
        <v>886</v>
      </c>
      <c r="F299" s="2">
        <v>46081</v>
      </c>
      <c r="G299" s="1" t="s">
        <v>339</v>
      </c>
      <c r="H299" s="1" t="s">
        <v>70</v>
      </c>
      <c r="I299" s="1" t="s">
        <v>37</v>
      </c>
      <c r="J299" s="1" t="s">
        <v>38</v>
      </c>
      <c r="K299" s="1" t="s">
        <v>39</v>
      </c>
      <c r="L299">
        <v>60</v>
      </c>
      <c r="M299">
        <v>58.8</v>
      </c>
      <c r="N299">
        <v>40.1</v>
      </c>
      <c r="O299">
        <v>19.5</v>
      </c>
      <c r="P299">
        <v>4.598E-2</v>
      </c>
      <c r="Q299">
        <v>12.55</v>
      </c>
      <c r="R299">
        <v>16.8</v>
      </c>
      <c r="S299">
        <v>4</v>
      </c>
      <c r="T299">
        <v>6</v>
      </c>
      <c r="U299">
        <v>24</v>
      </c>
      <c r="V299">
        <v>132</v>
      </c>
      <c r="W299">
        <v>326.20000000000005</v>
      </c>
      <c r="X299">
        <v>1.1035200000000001</v>
      </c>
      <c r="Y299">
        <v>14.766666666666667</v>
      </c>
      <c r="Z299">
        <v>0.67897133333333337</v>
      </c>
      <c r="AA299">
        <v>0.61527777777777781</v>
      </c>
      <c r="AB299">
        <v>14884.800000000001</v>
      </c>
      <c r="AC299">
        <v>1</v>
      </c>
      <c r="AD299" s="1" t="s">
        <v>40</v>
      </c>
      <c r="AE299">
        <v>1</v>
      </c>
      <c r="AF299">
        <v>0</v>
      </c>
      <c r="AG299">
        <v>10.230263157894738</v>
      </c>
    </row>
    <row r="300" spans="1:33">
      <c r="A300" s="1" t="s">
        <v>340</v>
      </c>
      <c r="B300" s="1" t="s">
        <v>1366</v>
      </c>
      <c r="C300" s="2">
        <v>46835</v>
      </c>
      <c r="D300" s="1" t="s">
        <v>34</v>
      </c>
      <c r="E300">
        <v>35341</v>
      </c>
      <c r="F300" s="2">
        <v>46081</v>
      </c>
      <c r="G300" s="1" t="s">
        <v>341</v>
      </c>
      <c r="H300" s="1" t="s">
        <v>48</v>
      </c>
      <c r="I300" s="1" t="s">
        <v>37</v>
      </c>
      <c r="J300" s="1" t="s">
        <v>38</v>
      </c>
      <c r="K300" s="1" t="s">
        <v>39</v>
      </c>
      <c r="L300">
        <v>100</v>
      </c>
      <c r="M300">
        <v>51.9</v>
      </c>
      <c r="N300">
        <v>30.7</v>
      </c>
      <c r="O300">
        <v>15.4</v>
      </c>
      <c r="P300">
        <v>2.4539999999999999E-2</v>
      </c>
      <c r="Q300">
        <v>4.8099999999999996</v>
      </c>
      <c r="R300">
        <v>12.56</v>
      </c>
      <c r="S300">
        <v>6</v>
      </c>
      <c r="T300">
        <v>7</v>
      </c>
      <c r="U300">
        <v>42</v>
      </c>
      <c r="V300">
        <v>122.8</v>
      </c>
      <c r="W300">
        <v>227.02</v>
      </c>
      <c r="X300">
        <v>1.03068</v>
      </c>
      <c r="Y300">
        <v>353.41</v>
      </c>
      <c r="Z300">
        <v>8.6726814000000001</v>
      </c>
      <c r="AA300">
        <v>8.4145238095238106</v>
      </c>
      <c r="AB300">
        <v>443882.96</v>
      </c>
      <c r="AC300">
        <v>9</v>
      </c>
      <c r="AD300" s="1" t="s">
        <v>40</v>
      </c>
      <c r="AE300">
        <v>9</v>
      </c>
      <c r="AF300">
        <v>0</v>
      </c>
      <c r="AG300">
        <v>24.80263157894737</v>
      </c>
    </row>
    <row r="301" spans="1:33">
      <c r="A301" s="1" t="s">
        <v>340</v>
      </c>
      <c r="B301" s="1" t="s">
        <v>1367</v>
      </c>
      <c r="C301" s="2">
        <v>46412</v>
      </c>
      <c r="D301" s="1" t="s">
        <v>34</v>
      </c>
      <c r="E301">
        <v>8637</v>
      </c>
      <c r="F301" s="2">
        <v>46081</v>
      </c>
      <c r="G301" s="1" t="s">
        <v>341</v>
      </c>
      <c r="H301" s="1" t="s">
        <v>48</v>
      </c>
      <c r="I301" s="1" t="s">
        <v>37</v>
      </c>
      <c r="J301" s="1" t="s">
        <v>38</v>
      </c>
      <c r="K301" s="1" t="s">
        <v>39</v>
      </c>
      <c r="L301">
        <v>100</v>
      </c>
      <c r="M301">
        <v>51.9</v>
      </c>
      <c r="N301">
        <v>30.7</v>
      </c>
      <c r="O301">
        <v>15.4</v>
      </c>
      <c r="P301">
        <v>2.4539999999999999E-2</v>
      </c>
      <c r="Q301">
        <v>4.8099999999999996</v>
      </c>
      <c r="R301">
        <v>12.56</v>
      </c>
      <c r="S301">
        <v>6</v>
      </c>
      <c r="T301">
        <v>7</v>
      </c>
      <c r="U301">
        <v>42</v>
      </c>
      <c r="V301">
        <v>122.8</v>
      </c>
      <c r="W301">
        <v>227.02</v>
      </c>
      <c r="X301">
        <v>1.03068</v>
      </c>
      <c r="Y301">
        <v>86.37</v>
      </c>
      <c r="Z301">
        <v>2.1195198</v>
      </c>
      <c r="AA301">
        <v>2.0564285714285715</v>
      </c>
      <c r="AB301">
        <v>108480.72</v>
      </c>
      <c r="AC301">
        <v>3</v>
      </c>
      <c r="AD301" s="1" t="s">
        <v>40</v>
      </c>
      <c r="AE301">
        <v>3</v>
      </c>
      <c r="AF301">
        <v>0</v>
      </c>
      <c r="AG301">
        <v>10.888157894736842</v>
      </c>
    </row>
    <row r="302" spans="1:33">
      <c r="A302" s="1" t="s">
        <v>342</v>
      </c>
      <c r="B302" s="1" t="s">
        <v>1368</v>
      </c>
      <c r="C302" s="2">
        <v>46796</v>
      </c>
      <c r="D302" s="1" t="s">
        <v>34</v>
      </c>
      <c r="E302">
        <v>480</v>
      </c>
      <c r="F302" s="2">
        <v>46081</v>
      </c>
      <c r="G302" s="1" t="s">
        <v>343</v>
      </c>
      <c r="H302" s="1" t="s">
        <v>52</v>
      </c>
      <c r="I302" s="1" t="s">
        <v>37</v>
      </c>
      <c r="J302" s="1" t="s">
        <v>38</v>
      </c>
      <c r="K302" s="1" t="s">
        <v>39</v>
      </c>
      <c r="L302">
        <v>240</v>
      </c>
      <c r="M302">
        <v>56.4</v>
      </c>
      <c r="N302">
        <v>30</v>
      </c>
      <c r="O302">
        <v>28.6</v>
      </c>
      <c r="P302">
        <v>4.8390000000000002E-2</v>
      </c>
      <c r="Q302">
        <v>8.1</v>
      </c>
      <c r="R302">
        <v>17</v>
      </c>
      <c r="S302">
        <v>5</v>
      </c>
      <c r="T302">
        <v>3</v>
      </c>
      <c r="U302">
        <v>15</v>
      </c>
      <c r="V302">
        <v>100.8</v>
      </c>
      <c r="W302">
        <v>146.5</v>
      </c>
      <c r="X302">
        <v>0.72585</v>
      </c>
      <c r="Y302">
        <v>2</v>
      </c>
      <c r="Z302">
        <v>9.6780000000000005E-2</v>
      </c>
      <c r="AA302">
        <v>0.13333333333333333</v>
      </c>
      <c r="AB302">
        <v>8160</v>
      </c>
      <c r="AC302">
        <v>1</v>
      </c>
      <c r="AD302" s="1" t="s">
        <v>44</v>
      </c>
      <c r="AE302">
        <v>0</v>
      </c>
      <c r="AF302">
        <v>1</v>
      </c>
      <c r="AG302">
        <v>23.519736842105264</v>
      </c>
    </row>
    <row r="303" spans="1:33">
      <c r="A303" s="1" t="s">
        <v>344</v>
      </c>
      <c r="B303" s="1" t="s">
        <v>1369</v>
      </c>
      <c r="C303" s="2">
        <v>47110</v>
      </c>
      <c r="D303" s="1" t="s">
        <v>34</v>
      </c>
      <c r="E303">
        <v>433</v>
      </c>
      <c r="F303" s="2">
        <v>46081</v>
      </c>
      <c r="G303" s="1" t="s">
        <v>345</v>
      </c>
      <c r="H303" s="1" t="s">
        <v>36</v>
      </c>
      <c r="I303" s="1" t="s">
        <v>37</v>
      </c>
      <c r="J303" s="1" t="s">
        <v>38</v>
      </c>
      <c r="K303" s="1" t="s">
        <v>39</v>
      </c>
      <c r="L303">
        <v>120</v>
      </c>
      <c r="M303">
        <v>31.2</v>
      </c>
      <c r="N303">
        <v>30.6</v>
      </c>
      <c r="O303">
        <v>32.700000000000003</v>
      </c>
      <c r="P303">
        <v>3.1220000000000001E-2</v>
      </c>
      <c r="Q303">
        <v>7.37</v>
      </c>
      <c r="R303">
        <v>20.61</v>
      </c>
      <c r="S303">
        <v>9</v>
      </c>
      <c r="T303">
        <v>4</v>
      </c>
      <c r="U303">
        <v>36</v>
      </c>
      <c r="V303">
        <v>145.80000000000001</v>
      </c>
      <c r="W303">
        <v>290.32</v>
      </c>
      <c r="X303">
        <v>1.12392</v>
      </c>
      <c r="Y303">
        <v>3.6083333333333334</v>
      </c>
      <c r="Z303">
        <v>0.11265216666666668</v>
      </c>
      <c r="AA303">
        <v>0.10023148148148148</v>
      </c>
      <c r="AB303">
        <v>8924.1299999999992</v>
      </c>
      <c r="AC303">
        <v>1</v>
      </c>
      <c r="AD303" s="1" t="s">
        <v>44</v>
      </c>
      <c r="AE303">
        <v>0</v>
      </c>
      <c r="AF303">
        <v>1</v>
      </c>
      <c r="AG303">
        <v>33.848684210526315</v>
      </c>
    </row>
    <row r="304" spans="1:33">
      <c r="A304" s="1" t="s">
        <v>344</v>
      </c>
      <c r="B304" s="1" t="s">
        <v>1370</v>
      </c>
      <c r="C304" s="2">
        <v>46218</v>
      </c>
      <c r="D304" s="1" t="s">
        <v>34</v>
      </c>
      <c r="E304">
        <v>4951</v>
      </c>
      <c r="F304" s="2">
        <v>46081</v>
      </c>
      <c r="G304" s="1" t="s">
        <v>345</v>
      </c>
      <c r="H304" s="1" t="s">
        <v>36</v>
      </c>
      <c r="I304" s="1" t="s">
        <v>37</v>
      </c>
      <c r="J304" s="1" t="s">
        <v>38</v>
      </c>
      <c r="K304" s="1" t="s">
        <v>39</v>
      </c>
      <c r="L304">
        <v>120</v>
      </c>
      <c r="M304">
        <v>31.2</v>
      </c>
      <c r="N304">
        <v>30.6</v>
      </c>
      <c r="O304">
        <v>32.700000000000003</v>
      </c>
      <c r="P304">
        <v>3.1220000000000001E-2</v>
      </c>
      <c r="Q304">
        <v>7.37</v>
      </c>
      <c r="R304">
        <v>20.61</v>
      </c>
      <c r="S304">
        <v>9</v>
      </c>
      <c r="T304">
        <v>4</v>
      </c>
      <c r="U304">
        <v>36</v>
      </c>
      <c r="V304">
        <v>145.80000000000001</v>
      </c>
      <c r="W304">
        <v>290.32</v>
      </c>
      <c r="X304">
        <v>1.12392</v>
      </c>
      <c r="Y304">
        <v>41.258333333333333</v>
      </c>
      <c r="Z304">
        <v>1.2880851666666666</v>
      </c>
      <c r="AA304">
        <v>1.1460648148148147</v>
      </c>
      <c r="AB304">
        <v>102040.11</v>
      </c>
      <c r="AC304">
        <v>2</v>
      </c>
      <c r="AD304" s="1" t="s">
        <v>40</v>
      </c>
      <c r="AE304">
        <v>2</v>
      </c>
      <c r="AF304">
        <v>0</v>
      </c>
      <c r="AG304">
        <v>4.5065789473684212</v>
      </c>
    </row>
    <row r="305" spans="1:33">
      <c r="A305" s="1" t="s">
        <v>346</v>
      </c>
      <c r="B305" s="1" t="s">
        <v>1371</v>
      </c>
      <c r="C305" s="2">
        <v>46913</v>
      </c>
      <c r="D305" s="1" t="s">
        <v>34</v>
      </c>
      <c r="E305">
        <v>16027</v>
      </c>
      <c r="F305" s="2">
        <v>46081</v>
      </c>
      <c r="G305" s="1" t="s">
        <v>347</v>
      </c>
      <c r="H305" s="1" t="s">
        <v>43</v>
      </c>
      <c r="I305" s="1" t="s">
        <v>37</v>
      </c>
      <c r="J305" s="1" t="s">
        <v>38</v>
      </c>
      <c r="K305" s="1" t="s">
        <v>39</v>
      </c>
      <c r="L305">
        <v>180</v>
      </c>
      <c r="M305">
        <v>50.2</v>
      </c>
      <c r="N305">
        <v>41.5</v>
      </c>
      <c r="O305">
        <v>29.6</v>
      </c>
      <c r="P305">
        <v>6.1670000000000003E-2</v>
      </c>
      <c r="Q305">
        <v>9.82</v>
      </c>
      <c r="R305">
        <v>8.57</v>
      </c>
      <c r="S305">
        <v>4</v>
      </c>
      <c r="T305">
        <v>5</v>
      </c>
      <c r="U305">
        <v>20</v>
      </c>
      <c r="V305">
        <v>163</v>
      </c>
      <c r="W305">
        <v>221.4</v>
      </c>
      <c r="X305">
        <v>1.2334000000000001</v>
      </c>
      <c r="Y305">
        <v>89.038888888888891</v>
      </c>
      <c r="Z305">
        <v>5.4910282777777786</v>
      </c>
      <c r="AA305">
        <v>4.4519444444444449</v>
      </c>
      <c r="AB305">
        <v>137351.39000000001</v>
      </c>
      <c r="AC305">
        <v>5</v>
      </c>
      <c r="AD305" s="1" t="s">
        <v>40</v>
      </c>
      <c r="AE305">
        <v>5</v>
      </c>
      <c r="AF305">
        <v>0</v>
      </c>
      <c r="AG305">
        <v>27.368421052631579</v>
      </c>
    </row>
    <row r="306" spans="1:33">
      <c r="A306" s="1" t="s">
        <v>346</v>
      </c>
      <c r="B306" s="1" t="s">
        <v>1372</v>
      </c>
      <c r="C306" s="2">
        <v>47052</v>
      </c>
      <c r="D306" s="1" t="s">
        <v>34</v>
      </c>
      <c r="E306">
        <v>9935</v>
      </c>
      <c r="F306" s="2">
        <v>46081</v>
      </c>
      <c r="G306" s="1" t="s">
        <v>347</v>
      </c>
      <c r="H306" s="1" t="s">
        <v>43</v>
      </c>
      <c r="I306" s="1" t="s">
        <v>37</v>
      </c>
      <c r="J306" s="1" t="s">
        <v>38</v>
      </c>
      <c r="K306" s="1" t="s">
        <v>39</v>
      </c>
      <c r="L306">
        <v>180</v>
      </c>
      <c r="M306">
        <v>50.2</v>
      </c>
      <c r="N306">
        <v>41.5</v>
      </c>
      <c r="O306">
        <v>29.6</v>
      </c>
      <c r="P306">
        <v>6.1670000000000003E-2</v>
      </c>
      <c r="Q306">
        <v>9.82</v>
      </c>
      <c r="R306">
        <v>8.57</v>
      </c>
      <c r="S306">
        <v>4</v>
      </c>
      <c r="T306">
        <v>5</v>
      </c>
      <c r="U306">
        <v>20</v>
      </c>
      <c r="V306">
        <v>163</v>
      </c>
      <c r="W306">
        <v>221.4</v>
      </c>
      <c r="X306">
        <v>1.2334000000000001</v>
      </c>
      <c r="Y306">
        <v>55.194444444444443</v>
      </c>
      <c r="Z306">
        <v>3.403841388888889</v>
      </c>
      <c r="AA306">
        <v>2.759722222222222</v>
      </c>
      <c r="AB306">
        <v>85142.95</v>
      </c>
      <c r="AC306">
        <v>3</v>
      </c>
      <c r="AD306" s="1" t="s">
        <v>40</v>
      </c>
      <c r="AE306">
        <v>3</v>
      </c>
      <c r="AF306">
        <v>0</v>
      </c>
      <c r="AG306">
        <v>31.940789473684212</v>
      </c>
    </row>
    <row r="307" spans="1:33">
      <c r="A307" s="1" t="s">
        <v>348</v>
      </c>
      <c r="B307" s="1" t="s">
        <v>1373</v>
      </c>
      <c r="C307" s="2">
        <v>46571</v>
      </c>
      <c r="D307" s="1" t="s">
        <v>34</v>
      </c>
      <c r="E307">
        <v>227</v>
      </c>
      <c r="F307" s="2">
        <v>46081</v>
      </c>
      <c r="G307" s="1" t="s">
        <v>349</v>
      </c>
      <c r="H307" s="1" t="s">
        <v>43</v>
      </c>
      <c r="I307" s="1" t="s">
        <v>37</v>
      </c>
      <c r="J307" s="1" t="s">
        <v>38</v>
      </c>
      <c r="K307" s="1" t="s">
        <v>39</v>
      </c>
      <c r="L307">
        <v>120</v>
      </c>
      <c r="M307">
        <v>38.4</v>
      </c>
      <c r="N307">
        <v>34.4</v>
      </c>
      <c r="O307">
        <v>21.6</v>
      </c>
      <c r="P307">
        <v>2.853E-2</v>
      </c>
      <c r="Q307">
        <v>6.26</v>
      </c>
      <c r="R307">
        <v>16.809999999999999</v>
      </c>
      <c r="S307">
        <v>6</v>
      </c>
      <c r="T307">
        <v>6</v>
      </c>
      <c r="U307">
        <v>36</v>
      </c>
      <c r="V307">
        <v>144.60000000000002</v>
      </c>
      <c r="W307">
        <v>250.36</v>
      </c>
      <c r="X307">
        <v>1.02708</v>
      </c>
      <c r="Y307">
        <v>1.8916666666666666</v>
      </c>
      <c r="Z307">
        <v>5.3969249999999996E-2</v>
      </c>
      <c r="AA307">
        <v>5.2546296296296292E-2</v>
      </c>
      <c r="AB307">
        <v>3815.87</v>
      </c>
      <c r="AC307">
        <v>1</v>
      </c>
      <c r="AD307" s="1" t="s">
        <v>44</v>
      </c>
      <c r="AE307">
        <v>0</v>
      </c>
      <c r="AF307">
        <v>1</v>
      </c>
      <c r="AG307">
        <v>16.118421052631579</v>
      </c>
    </row>
    <row r="308" spans="1:33">
      <c r="A308" s="1" t="s">
        <v>348</v>
      </c>
      <c r="B308" s="1" t="s">
        <v>1374</v>
      </c>
      <c r="C308" s="2">
        <v>46231</v>
      </c>
      <c r="D308" s="1" t="s">
        <v>34</v>
      </c>
      <c r="E308">
        <v>220</v>
      </c>
      <c r="F308" s="2">
        <v>46081</v>
      </c>
      <c r="G308" s="1" t="s">
        <v>349</v>
      </c>
      <c r="H308" s="1" t="s">
        <v>43</v>
      </c>
      <c r="I308" s="1" t="s">
        <v>37</v>
      </c>
      <c r="J308" s="1" t="s">
        <v>38</v>
      </c>
      <c r="K308" s="1" t="s">
        <v>39</v>
      </c>
      <c r="L308">
        <v>120</v>
      </c>
      <c r="M308">
        <v>38.4</v>
      </c>
      <c r="N308">
        <v>34.4</v>
      </c>
      <c r="O308">
        <v>21.6</v>
      </c>
      <c r="P308">
        <v>2.853E-2</v>
      </c>
      <c r="Q308">
        <v>6.26</v>
      </c>
      <c r="R308">
        <v>16.809999999999999</v>
      </c>
      <c r="S308">
        <v>6</v>
      </c>
      <c r="T308">
        <v>6</v>
      </c>
      <c r="U308">
        <v>36</v>
      </c>
      <c r="V308">
        <v>144.60000000000002</v>
      </c>
      <c r="W308">
        <v>250.36</v>
      </c>
      <c r="X308">
        <v>1.02708</v>
      </c>
      <c r="Y308">
        <v>1.8333333333333333</v>
      </c>
      <c r="Z308">
        <v>5.2304999999999997E-2</v>
      </c>
      <c r="AA308">
        <v>5.0925925925925923E-2</v>
      </c>
      <c r="AB308">
        <v>3698.2</v>
      </c>
      <c r="AC308">
        <v>1</v>
      </c>
      <c r="AD308" s="1" t="s">
        <v>44</v>
      </c>
      <c r="AE308">
        <v>0</v>
      </c>
      <c r="AF308">
        <v>1</v>
      </c>
      <c r="AG308">
        <v>4.9342105263157894</v>
      </c>
    </row>
    <row r="309" spans="1:33">
      <c r="A309" s="1" t="s">
        <v>348</v>
      </c>
      <c r="B309" s="1" t="s">
        <v>1375</v>
      </c>
      <c r="C309" s="2">
        <v>46920</v>
      </c>
      <c r="D309" s="1" t="s">
        <v>34</v>
      </c>
      <c r="E309">
        <v>14</v>
      </c>
      <c r="F309" s="2">
        <v>46081</v>
      </c>
      <c r="G309" s="1" t="s">
        <v>349</v>
      </c>
      <c r="H309" s="1" t="s">
        <v>43</v>
      </c>
      <c r="I309" s="1" t="s">
        <v>37</v>
      </c>
      <c r="J309" s="1" t="s">
        <v>38</v>
      </c>
      <c r="K309" s="1" t="s">
        <v>39</v>
      </c>
      <c r="L309">
        <v>120</v>
      </c>
      <c r="M309">
        <v>38.4</v>
      </c>
      <c r="N309">
        <v>34.4</v>
      </c>
      <c r="O309">
        <v>21.6</v>
      </c>
      <c r="P309">
        <v>2.853E-2</v>
      </c>
      <c r="Q309">
        <v>6.26</v>
      </c>
      <c r="R309">
        <v>16.809999999999999</v>
      </c>
      <c r="S309">
        <v>6</v>
      </c>
      <c r="T309">
        <v>6</v>
      </c>
      <c r="U309">
        <v>36</v>
      </c>
      <c r="V309">
        <v>144.60000000000002</v>
      </c>
      <c r="W309">
        <v>250.36</v>
      </c>
      <c r="X309">
        <v>1.02708</v>
      </c>
      <c r="Y309">
        <v>0.11666666666666667</v>
      </c>
      <c r="Z309">
        <v>3.3284999999999999E-3</v>
      </c>
      <c r="AA309">
        <v>3.2407407407407406E-3</v>
      </c>
      <c r="AB309">
        <v>235.33999999999997</v>
      </c>
      <c r="AC309">
        <v>1</v>
      </c>
      <c r="AD309" s="1" t="s">
        <v>44</v>
      </c>
      <c r="AE309">
        <v>0</v>
      </c>
      <c r="AF309">
        <v>1</v>
      </c>
      <c r="AG309">
        <v>27.598684210526319</v>
      </c>
    </row>
    <row r="310" spans="1:33">
      <c r="A310" s="1" t="s">
        <v>350</v>
      </c>
      <c r="B310" s="1" t="s">
        <v>1376</v>
      </c>
      <c r="C310" s="2">
        <v>46375</v>
      </c>
      <c r="D310" s="1" t="s">
        <v>34</v>
      </c>
      <c r="E310">
        <v>1507</v>
      </c>
      <c r="F310" s="2">
        <v>46081</v>
      </c>
      <c r="G310" s="1" t="s">
        <v>351</v>
      </c>
      <c r="H310" s="1" t="s">
        <v>52</v>
      </c>
      <c r="I310" s="1" t="s">
        <v>37</v>
      </c>
      <c r="J310" s="1" t="s">
        <v>38</v>
      </c>
      <c r="K310" s="1" t="s">
        <v>39</v>
      </c>
      <c r="L310">
        <v>60</v>
      </c>
      <c r="M310">
        <v>35.700000000000003</v>
      </c>
      <c r="N310">
        <v>34.1</v>
      </c>
      <c r="O310">
        <v>21.8</v>
      </c>
      <c r="P310">
        <v>2.6540000000000001E-2</v>
      </c>
      <c r="Q310">
        <v>4.22</v>
      </c>
      <c r="R310">
        <v>12.82</v>
      </c>
      <c r="S310">
        <v>6</v>
      </c>
      <c r="T310">
        <v>5</v>
      </c>
      <c r="U310">
        <v>30</v>
      </c>
      <c r="V310">
        <v>124</v>
      </c>
      <c r="W310">
        <v>151.6</v>
      </c>
      <c r="X310">
        <v>0.79620000000000002</v>
      </c>
      <c r="Y310">
        <v>25.116666666666667</v>
      </c>
      <c r="Z310">
        <v>0.66659633333333335</v>
      </c>
      <c r="AA310">
        <v>0.8372222222222222</v>
      </c>
      <c r="AB310">
        <v>19319.740000000002</v>
      </c>
      <c r="AC310">
        <v>1</v>
      </c>
      <c r="AD310" s="1" t="s">
        <v>40</v>
      </c>
      <c r="AE310">
        <v>1</v>
      </c>
      <c r="AF310">
        <v>0</v>
      </c>
      <c r="AG310">
        <v>9.6710526315789487</v>
      </c>
    </row>
    <row r="311" spans="1:33">
      <c r="A311" s="1" t="s">
        <v>350</v>
      </c>
      <c r="B311" s="1" t="s">
        <v>1377</v>
      </c>
      <c r="C311" s="2">
        <v>46975</v>
      </c>
      <c r="D311" s="1" t="s">
        <v>34</v>
      </c>
      <c r="E311">
        <v>2176</v>
      </c>
      <c r="F311" s="2">
        <v>46081</v>
      </c>
      <c r="G311" s="1" t="s">
        <v>351</v>
      </c>
      <c r="H311" s="1" t="s">
        <v>52</v>
      </c>
      <c r="I311" s="1" t="s">
        <v>37</v>
      </c>
      <c r="J311" s="1" t="s">
        <v>38</v>
      </c>
      <c r="K311" s="1" t="s">
        <v>39</v>
      </c>
      <c r="L311">
        <v>60</v>
      </c>
      <c r="M311">
        <v>35.700000000000003</v>
      </c>
      <c r="N311">
        <v>34.1</v>
      </c>
      <c r="O311">
        <v>21.8</v>
      </c>
      <c r="P311">
        <v>2.6540000000000001E-2</v>
      </c>
      <c r="Q311">
        <v>4.22</v>
      </c>
      <c r="R311">
        <v>12.82</v>
      </c>
      <c r="S311">
        <v>6</v>
      </c>
      <c r="T311">
        <v>5</v>
      </c>
      <c r="U311">
        <v>30</v>
      </c>
      <c r="V311">
        <v>124</v>
      </c>
      <c r="W311">
        <v>151.6</v>
      </c>
      <c r="X311">
        <v>0.79620000000000002</v>
      </c>
      <c r="Y311">
        <v>36.266666666666666</v>
      </c>
      <c r="Z311">
        <v>0.96251733333333334</v>
      </c>
      <c r="AA311">
        <v>1.2088888888888889</v>
      </c>
      <c r="AB311">
        <v>27896.32</v>
      </c>
      <c r="AC311">
        <v>2</v>
      </c>
      <c r="AD311" s="1" t="s">
        <v>40</v>
      </c>
      <c r="AE311">
        <v>2</v>
      </c>
      <c r="AF311">
        <v>0</v>
      </c>
      <c r="AG311">
        <v>29.407894736842106</v>
      </c>
    </row>
    <row r="312" spans="1:33">
      <c r="A312" s="1" t="s">
        <v>350</v>
      </c>
      <c r="B312" s="1" t="s">
        <v>1378</v>
      </c>
      <c r="C312" s="2">
        <v>46890</v>
      </c>
      <c r="D312" s="1" t="s">
        <v>34</v>
      </c>
      <c r="E312">
        <v>577</v>
      </c>
      <c r="F312" s="2">
        <v>46081</v>
      </c>
      <c r="G312" s="1" t="s">
        <v>351</v>
      </c>
      <c r="H312" s="1" t="s">
        <v>52</v>
      </c>
      <c r="I312" s="1" t="s">
        <v>37</v>
      </c>
      <c r="J312" s="1" t="s">
        <v>38</v>
      </c>
      <c r="K312" s="1" t="s">
        <v>39</v>
      </c>
      <c r="L312">
        <v>60</v>
      </c>
      <c r="M312">
        <v>35.700000000000003</v>
      </c>
      <c r="N312">
        <v>34.1</v>
      </c>
      <c r="O312">
        <v>21.8</v>
      </c>
      <c r="P312">
        <v>2.6540000000000001E-2</v>
      </c>
      <c r="Q312">
        <v>4.22</v>
      </c>
      <c r="R312">
        <v>12.82</v>
      </c>
      <c r="S312">
        <v>6</v>
      </c>
      <c r="T312">
        <v>5</v>
      </c>
      <c r="U312">
        <v>30</v>
      </c>
      <c r="V312">
        <v>124</v>
      </c>
      <c r="W312">
        <v>151.6</v>
      </c>
      <c r="X312">
        <v>0.79620000000000002</v>
      </c>
      <c r="Y312">
        <v>9.6166666666666671</v>
      </c>
      <c r="Z312">
        <v>0.25522633333333333</v>
      </c>
      <c r="AA312">
        <v>0.32055555555555559</v>
      </c>
      <c r="AB312">
        <v>7397.14</v>
      </c>
      <c r="AC312">
        <v>1</v>
      </c>
      <c r="AD312" s="1" t="s">
        <v>40</v>
      </c>
      <c r="AE312">
        <v>1</v>
      </c>
      <c r="AF312">
        <v>0</v>
      </c>
      <c r="AG312">
        <v>26.611842105263158</v>
      </c>
    </row>
    <row r="313" spans="1:33">
      <c r="A313" s="1" t="s">
        <v>350</v>
      </c>
      <c r="B313" s="1" t="s">
        <v>1379</v>
      </c>
      <c r="C313" s="2">
        <v>46866</v>
      </c>
      <c r="D313" s="1" t="s">
        <v>34</v>
      </c>
      <c r="E313">
        <v>2053</v>
      </c>
      <c r="F313" s="2">
        <v>46081</v>
      </c>
      <c r="G313" s="1" t="s">
        <v>351</v>
      </c>
      <c r="H313" s="1" t="s">
        <v>52</v>
      </c>
      <c r="I313" s="1" t="s">
        <v>37</v>
      </c>
      <c r="J313" s="1" t="s">
        <v>38</v>
      </c>
      <c r="K313" s="1" t="s">
        <v>39</v>
      </c>
      <c r="L313">
        <v>60</v>
      </c>
      <c r="M313">
        <v>35.700000000000003</v>
      </c>
      <c r="N313">
        <v>34.1</v>
      </c>
      <c r="O313">
        <v>21.8</v>
      </c>
      <c r="P313">
        <v>2.6540000000000001E-2</v>
      </c>
      <c r="Q313">
        <v>4.22</v>
      </c>
      <c r="R313">
        <v>12.82</v>
      </c>
      <c r="S313">
        <v>6</v>
      </c>
      <c r="T313">
        <v>5</v>
      </c>
      <c r="U313">
        <v>30</v>
      </c>
      <c r="V313">
        <v>124</v>
      </c>
      <c r="W313">
        <v>151.6</v>
      </c>
      <c r="X313">
        <v>0.79620000000000002</v>
      </c>
      <c r="Y313">
        <v>34.216666666666669</v>
      </c>
      <c r="Z313">
        <v>0.90811033333333346</v>
      </c>
      <c r="AA313">
        <v>1.1405555555555555</v>
      </c>
      <c r="AB313">
        <v>26319.46</v>
      </c>
      <c r="AC313">
        <v>2</v>
      </c>
      <c r="AD313" s="1" t="s">
        <v>40</v>
      </c>
      <c r="AE313">
        <v>2</v>
      </c>
      <c r="AF313">
        <v>0</v>
      </c>
      <c r="AG313">
        <v>25.822368421052634</v>
      </c>
    </row>
    <row r="314" spans="1:33">
      <c r="A314" s="1" t="s">
        <v>352</v>
      </c>
      <c r="B314" s="1" t="s">
        <v>1380</v>
      </c>
      <c r="C314" s="2">
        <v>46669</v>
      </c>
      <c r="D314" s="1" t="s">
        <v>34</v>
      </c>
      <c r="E314">
        <v>873</v>
      </c>
      <c r="F314" s="2">
        <v>46081</v>
      </c>
      <c r="G314" s="1" t="s">
        <v>353</v>
      </c>
      <c r="H314" s="1" t="s">
        <v>67</v>
      </c>
      <c r="I314" s="1" t="s">
        <v>37</v>
      </c>
      <c r="J314" s="1" t="s">
        <v>38</v>
      </c>
      <c r="K314" s="1" t="s">
        <v>39</v>
      </c>
      <c r="L314">
        <v>240</v>
      </c>
      <c r="M314">
        <v>51.2</v>
      </c>
      <c r="N314">
        <v>42.5</v>
      </c>
      <c r="O314">
        <v>25.1</v>
      </c>
      <c r="P314">
        <v>5.4620000000000002E-2</v>
      </c>
      <c r="Q314">
        <v>15.2</v>
      </c>
      <c r="R314">
        <v>22.59</v>
      </c>
      <c r="S314">
        <v>4</v>
      </c>
      <c r="T314">
        <v>3</v>
      </c>
      <c r="U314">
        <v>12</v>
      </c>
      <c r="V314">
        <v>90.3</v>
      </c>
      <c r="W314">
        <v>207.4</v>
      </c>
      <c r="X314">
        <v>0.65544000000000002</v>
      </c>
      <c r="Y314">
        <v>3.6375000000000002</v>
      </c>
      <c r="Z314">
        <v>0.19868025</v>
      </c>
      <c r="AA314">
        <v>0.30312500000000003</v>
      </c>
      <c r="AB314">
        <v>19721.07</v>
      </c>
      <c r="AC314">
        <v>1</v>
      </c>
      <c r="AD314" s="1" t="s">
        <v>44</v>
      </c>
      <c r="AE314">
        <v>0</v>
      </c>
      <c r="AF314">
        <v>1</v>
      </c>
      <c r="AG314">
        <v>19.342105263157897</v>
      </c>
    </row>
    <row r="315" spans="1:33">
      <c r="A315" s="1" t="s">
        <v>352</v>
      </c>
      <c r="B315" s="1" t="s">
        <v>1381</v>
      </c>
      <c r="C315" s="2">
        <v>46794</v>
      </c>
      <c r="D315" s="1" t="s">
        <v>34</v>
      </c>
      <c r="E315">
        <v>49</v>
      </c>
      <c r="F315" s="2">
        <v>46081</v>
      </c>
      <c r="G315" s="1" t="s">
        <v>353</v>
      </c>
      <c r="H315" s="1" t="s">
        <v>67</v>
      </c>
      <c r="I315" s="1" t="s">
        <v>37</v>
      </c>
      <c r="J315" s="1" t="s">
        <v>38</v>
      </c>
      <c r="K315" s="1" t="s">
        <v>39</v>
      </c>
      <c r="L315">
        <v>240</v>
      </c>
      <c r="M315">
        <v>51.2</v>
      </c>
      <c r="N315">
        <v>42.5</v>
      </c>
      <c r="O315">
        <v>25.1</v>
      </c>
      <c r="P315">
        <v>5.4620000000000002E-2</v>
      </c>
      <c r="Q315">
        <v>15.2</v>
      </c>
      <c r="R315">
        <v>22.59</v>
      </c>
      <c r="S315">
        <v>4</v>
      </c>
      <c r="T315">
        <v>3</v>
      </c>
      <c r="U315">
        <v>12</v>
      </c>
      <c r="V315">
        <v>90.3</v>
      </c>
      <c r="W315">
        <v>207.4</v>
      </c>
      <c r="X315">
        <v>0.65544000000000002</v>
      </c>
      <c r="Y315">
        <v>0.20416666666666666</v>
      </c>
      <c r="Z315">
        <v>1.1151583333333333E-2</v>
      </c>
      <c r="AA315">
        <v>1.7013888888888887E-2</v>
      </c>
      <c r="AB315">
        <v>1106.9100000000001</v>
      </c>
      <c r="AC315">
        <v>1</v>
      </c>
      <c r="AD315" s="1" t="s">
        <v>44</v>
      </c>
      <c r="AE315">
        <v>0</v>
      </c>
      <c r="AF315">
        <v>1</v>
      </c>
      <c r="AG315">
        <v>23.453947368421055</v>
      </c>
    </row>
    <row r="316" spans="1:33">
      <c r="A316" s="1" t="s">
        <v>352</v>
      </c>
      <c r="B316" s="1" t="s">
        <v>1382</v>
      </c>
      <c r="C316" s="2">
        <v>46978</v>
      </c>
      <c r="D316" s="1" t="s">
        <v>34</v>
      </c>
      <c r="E316">
        <v>983</v>
      </c>
      <c r="F316" s="2">
        <v>46081</v>
      </c>
      <c r="G316" s="1" t="s">
        <v>353</v>
      </c>
      <c r="H316" s="1" t="s">
        <v>67</v>
      </c>
      <c r="I316" s="1" t="s">
        <v>37</v>
      </c>
      <c r="J316" s="1" t="s">
        <v>38</v>
      </c>
      <c r="K316" s="1" t="s">
        <v>39</v>
      </c>
      <c r="L316">
        <v>240</v>
      </c>
      <c r="M316">
        <v>51.2</v>
      </c>
      <c r="N316">
        <v>42.5</v>
      </c>
      <c r="O316">
        <v>25.1</v>
      </c>
      <c r="P316">
        <v>5.4620000000000002E-2</v>
      </c>
      <c r="Q316">
        <v>15.2</v>
      </c>
      <c r="R316">
        <v>22.59</v>
      </c>
      <c r="S316">
        <v>4</v>
      </c>
      <c r="T316">
        <v>3</v>
      </c>
      <c r="U316">
        <v>12</v>
      </c>
      <c r="V316">
        <v>90.3</v>
      </c>
      <c r="W316">
        <v>207.4</v>
      </c>
      <c r="X316">
        <v>0.65544000000000002</v>
      </c>
      <c r="Y316">
        <v>4.0958333333333332</v>
      </c>
      <c r="Z316">
        <v>0.22371441666666667</v>
      </c>
      <c r="AA316">
        <v>0.34131944444444445</v>
      </c>
      <c r="AB316">
        <v>22205.97</v>
      </c>
      <c r="AC316">
        <v>1</v>
      </c>
      <c r="AD316" s="1" t="s">
        <v>44</v>
      </c>
      <c r="AE316">
        <v>0</v>
      </c>
      <c r="AF316">
        <v>1</v>
      </c>
      <c r="AG316">
        <v>29.506578947368421</v>
      </c>
    </row>
    <row r="317" spans="1:33">
      <c r="A317" s="1" t="s">
        <v>354</v>
      </c>
      <c r="B317" s="1" t="s">
        <v>1383</v>
      </c>
      <c r="C317" s="2">
        <v>46280</v>
      </c>
      <c r="D317" s="1" t="s">
        <v>34</v>
      </c>
      <c r="E317">
        <v>1715</v>
      </c>
      <c r="F317" s="2">
        <v>46081</v>
      </c>
      <c r="G317" s="1" t="s">
        <v>355</v>
      </c>
      <c r="H317" s="1" t="s">
        <v>43</v>
      </c>
      <c r="I317" s="1" t="s">
        <v>37</v>
      </c>
      <c r="J317" s="1" t="s">
        <v>38</v>
      </c>
      <c r="K317" s="1" t="s">
        <v>39</v>
      </c>
      <c r="L317">
        <v>240</v>
      </c>
      <c r="M317">
        <v>30.9</v>
      </c>
      <c r="N317">
        <v>42.6</v>
      </c>
      <c r="O317">
        <v>28.2</v>
      </c>
      <c r="P317">
        <v>3.712E-2</v>
      </c>
      <c r="Q317">
        <v>6.22</v>
      </c>
      <c r="R317">
        <v>13.25</v>
      </c>
      <c r="S317">
        <v>6</v>
      </c>
      <c r="T317">
        <v>3</v>
      </c>
      <c r="U317">
        <v>18</v>
      </c>
      <c r="V317">
        <v>99.6</v>
      </c>
      <c r="W317">
        <v>136.95999999999998</v>
      </c>
      <c r="X317">
        <v>0.66815999999999998</v>
      </c>
      <c r="Y317">
        <v>7.145833333333333</v>
      </c>
      <c r="Z317">
        <v>0.26525333333333334</v>
      </c>
      <c r="AA317">
        <v>0.3969907407407407</v>
      </c>
      <c r="AB317">
        <v>22723.75</v>
      </c>
      <c r="AC317">
        <v>1</v>
      </c>
      <c r="AD317" s="1" t="s">
        <v>40</v>
      </c>
      <c r="AE317">
        <v>1</v>
      </c>
      <c r="AF317">
        <v>0</v>
      </c>
      <c r="AG317">
        <v>6.5460526315789478</v>
      </c>
    </row>
    <row r="318" spans="1:33">
      <c r="A318" s="1" t="s">
        <v>354</v>
      </c>
      <c r="B318" s="1" t="s">
        <v>1384</v>
      </c>
      <c r="C318" s="2">
        <v>46576</v>
      </c>
      <c r="D318" s="1" t="s">
        <v>34</v>
      </c>
      <c r="E318">
        <v>4634</v>
      </c>
      <c r="F318" s="2">
        <v>46081</v>
      </c>
      <c r="G318" s="1" t="s">
        <v>355</v>
      </c>
      <c r="H318" s="1" t="s">
        <v>43</v>
      </c>
      <c r="I318" s="1" t="s">
        <v>37</v>
      </c>
      <c r="J318" s="1" t="s">
        <v>38</v>
      </c>
      <c r="K318" s="1" t="s">
        <v>39</v>
      </c>
      <c r="L318">
        <v>240</v>
      </c>
      <c r="M318">
        <v>30.9</v>
      </c>
      <c r="N318">
        <v>42.6</v>
      </c>
      <c r="O318">
        <v>28.2</v>
      </c>
      <c r="P318">
        <v>3.712E-2</v>
      </c>
      <c r="Q318">
        <v>6.22</v>
      </c>
      <c r="R318">
        <v>13.25</v>
      </c>
      <c r="S318">
        <v>6</v>
      </c>
      <c r="T318">
        <v>3</v>
      </c>
      <c r="U318">
        <v>18</v>
      </c>
      <c r="V318">
        <v>99.6</v>
      </c>
      <c r="W318">
        <v>136.95999999999998</v>
      </c>
      <c r="X318">
        <v>0.66815999999999998</v>
      </c>
      <c r="Y318">
        <v>19.308333333333334</v>
      </c>
      <c r="Z318">
        <v>0.71672533333333333</v>
      </c>
      <c r="AA318">
        <v>1.0726851851851853</v>
      </c>
      <c r="AB318">
        <v>61400.5</v>
      </c>
      <c r="AC318">
        <v>2</v>
      </c>
      <c r="AD318" s="1" t="s">
        <v>40</v>
      </c>
      <c r="AE318">
        <v>2</v>
      </c>
      <c r="AF318">
        <v>0</v>
      </c>
      <c r="AG318">
        <v>16.282894736842106</v>
      </c>
    </row>
    <row r="319" spans="1:33">
      <c r="A319" s="1" t="s">
        <v>354</v>
      </c>
      <c r="B319" s="1" t="s">
        <v>1385</v>
      </c>
      <c r="C319" s="2">
        <v>46694</v>
      </c>
      <c r="D319" s="1" t="s">
        <v>34</v>
      </c>
      <c r="E319">
        <v>2000</v>
      </c>
      <c r="F319" s="2">
        <v>46081</v>
      </c>
      <c r="G319" s="1" t="s">
        <v>355</v>
      </c>
      <c r="H319" s="1" t="s">
        <v>43</v>
      </c>
      <c r="I319" s="1" t="s">
        <v>37</v>
      </c>
      <c r="J319" s="1" t="s">
        <v>38</v>
      </c>
      <c r="K319" s="1" t="s">
        <v>39</v>
      </c>
      <c r="L319">
        <v>240</v>
      </c>
      <c r="M319">
        <v>30.9</v>
      </c>
      <c r="N319">
        <v>42.6</v>
      </c>
      <c r="O319">
        <v>28.2</v>
      </c>
      <c r="P319">
        <v>3.712E-2</v>
      </c>
      <c r="Q319">
        <v>6.22</v>
      </c>
      <c r="R319">
        <v>13.25</v>
      </c>
      <c r="S319">
        <v>6</v>
      </c>
      <c r="T319">
        <v>3</v>
      </c>
      <c r="U319">
        <v>18</v>
      </c>
      <c r="V319">
        <v>99.6</v>
      </c>
      <c r="W319">
        <v>136.95999999999998</v>
      </c>
      <c r="X319">
        <v>0.66815999999999998</v>
      </c>
      <c r="Y319">
        <v>8.3333333333333339</v>
      </c>
      <c r="Z319">
        <v>0.30933333333333335</v>
      </c>
      <c r="AA319">
        <v>0.46296296296296302</v>
      </c>
      <c r="AB319">
        <v>26500</v>
      </c>
      <c r="AC319">
        <v>1</v>
      </c>
      <c r="AD319" s="1" t="s">
        <v>40</v>
      </c>
      <c r="AE319">
        <v>1</v>
      </c>
      <c r="AF319">
        <v>0</v>
      </c>
      <c r="AG319">
        <v>20.164473684210527</v>
      </c>
    </row>
    <row r="320" spans="1:33">
      <c r="A320" s="1" t="s">
        <v>356</v>
      </c>
      <c r="B320" s="1" t="s">
        <v>1386</v>
      </c>
      <c r="C320" s="2">
        <v>46918</v>
      </c>
      <c r="D320" s="1" t="s">
        <v>34</v>
      </c>
      <c r="E320">
        <v>21769</v>
      </c>
      <c r="F320" s="2">
        <v>46081</v>
      </c>
      <c r="G320" s="1" t="s">
        <v>357</v>
      </c>
      <c r="H320" s="1" t="s">
        <v>43</v>
      </c>
      <c r="I320" s="1" t="s">
        <v>37</v>
      </c>
      <c r="J320" s="1" t="s">
        <v>38</v>
      </c>
      <c r="K320" s="1" t="s">
        <v>39</v>
      </c>
      <c r="L320">
        <v>120</v>
      </c>
      <c r="M320">
        <v>32</v>
      </c>
      <c r="N320">
        <v>33.299999999999997</v>
      </c>
      <c r="O320">
        <v>18.2</v>
      </c>
      <c r="P320">
        <v>1.9390000000000001E-2</v>
      </c>
      <c r="Q320">
        <v>5.53</v>
      </c>
      <c r="R320">
        <v>17.149999999999999</v>
      </c>
      <c r="S320">
        <v>9</v>
      </c>
      <c r="T320">
        <v>4</v>
      </c>
      <c r="U320">
        <v>36</v>
      </c>
      <c r="V320">
        <v>87.8</v>
      </c>
      <c r="W320">
        <v>224.08</v>
      </c>
      <c r="X320">
        <v>0.69803999999999999</v>
      </c>
      <c r="Y320">
        <v>181.40833333333333</v>
      </c>
      <c r="Z320">
        <v>3.5175075833333334</v>
      </c>
      <c r="AA320">
        <v>5.0391203703703704</v>
      </c>
      <c r="AB320">
        <v>373338.35</v>
      </c>
      <c r="AC320">
        <v>6</v>
      </c>
      <c r="AD320" s="1" t="s">
        <v>40</v>
      </c>
      <c r="AE320">
        <v>6</v>
      </c>
      <c r="AF320">
        <v>0</v>
      </c>
      <c r="AG320">
        <v>27.532894736842106</v>
      </c>
    </row>
    <row r="321" spans="1:33">
      <c r="A321" s="1" t="s">
        <v>358</v>
      </c>
      <c r="B321" s="1" t="s">
        <v>1387</v>
      </c>
      <c r="C321" s="2">
        <v>47122</v>
      </c>
      <c r="D321" s="1" t="s">
        <v>34</v>
      </c>
      <c r="E321">
        <v>4968</v>
      </c>
      <c r="F321" s="2">
        <v>46081</v>
      </c>
      <c r="G321" s="1" t="s">
        <v>359</v>
      </c>
      <c r="H321" s="1" t="s">
        <v>52</v>
      </c>
      <c r="I321" s="1" t="s">
        <v>37</v>
      </c>
      <c r="J321" s="1" t="s">
        <v>38</v>
      </c>
      <c r="K321" s="1" t="s">
        <v>39</v>
      </c>
      <c r="L321">
        <v>60</v>
      </c>
      <c r="M321">
        <v>49.2</v>
      </c>
      <c r="N321">
        <v>44.6</v>
      </c>
      <c r="O321">
        <v>26.2</v>
      </c>
      <c r="P321">
        <v>5.7489999999999999E-2</v>
      </c>
      <c r="Q321">
        <v>12.48</v>
      </c>
      <c r="R321">
        <v>18.079999999999998</v>
      </c>
      <c r="S321">
        <v>4</v>
      </c>
      <c r="T321">
        <v>5</v>
      </c>
      <c r="U321">
        <v>20</v>
      </c>
      <c r="V321">
        <v>146</v>
      </c>
      <c r="W321">
        <v>274.60000000000002</v>
      </c>
      <c r="X321">
        <v>1.1497999999999999</v>
      </c>
      <c r="Y321">
        <v>82.8</v>
      </c>
      <c r="Z321">
        <v>4.7601719999999998</v>
      </c>
      <c r="AA321">
        <v>4.1399999999999997</v>
      </c>
      <c r="AB321">
        <v>89821.439999999988</v>
      </c>
      <c r="AC321">
        <v>5</v>
      </c>
      <c r="AD321" s="1" t="s">
        <v>40</v>
      </c>
      <c r="AE321">
        <v>5</v>
      </c>
      <c r="AF321">
        <v>0</v>
      </c>
      <c r="AG321">
        <v>34.243421052631582</v>
      </c>
    </row>
    <row r="322" spans="1:33">
      <c r="A322" s="1" t="s">
        <v>358</v>
      </c>
      <c r="B322" s="1" t="s">
        <v>1388</v>
      </c>
      <c r="C322" s="2">
        <v>46376</v>
      </c>
      <c r="D322" s="1" t="s">
        <v>34</v>
      </c>
      <c r="E322">
        <v>2426</v>
      </c>
      <c r="F322" s="2">
        <v>46081</v>
      </c>
      <c r="G322" s="1" t="s">
        <v>359</v>
      </c>
      <c r="H322" s="1" t="s">
        <v>52</v>
      </c>
      <c r="I322" s="1" t="s">
        <v>37</v>
      </c>
      <c r="J322" s="1" t="s">
        <v>38</v>
      </c>
      <c r="K322" s="1" t="s">
        <v>39</v>
      </c>
      <c r="L322">
        <v>60</v>
      </c>
      <c r="M322">
        <v>49.2</v>
      </c>
      <c r="N322">
        <v>44.6</v>
      </c>
      <c r="O322">
        <v>26.2</v>
      </c>
      <c r="P322">
        <v>5.7489999999999999E-2</v>
      </c>
      <c r="Q322">
        <v>12.48</v>
      </c>
      <c r="R322">
        <v>18.079999999999998</v>
      </c>
      <c r="S322">
        <v>4</v>
      </c>
      <c r="T322">
        <v>5</v>
      </c>
      <c r="U322">
        <v>20</v>
      </c>
      <c r="V322">
        <v>146</v>
      </c>
      <c r="W322">
        <v>274.60000000000002</v>
      </c>
      <c r="X322">
        <v>1.1497999999999999</v>
      </c>
      <c r="Y322">
        <v>40.43333333333333</v>
      </c>
      <c r="Z322">
        <v>2.3245123333333333</v>
      </c>
      <c r="AA322">
        <v>2.0216666666666665</v>
      </c>
      <c r="AB322">
        <v>43862.079999999994</v>
      </c>
      <c r="AC322">
        <v>3</v>
      </c>
      <c r="AD322" s="1" t="s">
        <v>40</v>
      </c>
      <c r="AE322">
        <v>3</v>
      </c>
      <c r="AF322">
        <v>0</v>
      </c>
      <c r="AG322">
        <v>9.7039473684210531</v>
      </c>
    </row>
    <row r="323" spans="1:33">
      <c r="A323" s="1" t="s">
        <v>358</v>
      </c>
      <c r="B323" s="1" t="s">
        <v>1389</v>
      </c>
      <c r="C323" s="2">
        <v>45750</v>
      </c>
      <c r="D323" s="1" t="s">
        <v>73</v>
      </c>
      <c r="E323">
        <v>591</v>
      </c>
      <c r="F323" s="2">
        <v>46081</v>
      </c>
      <c r="G323" s="1" t="s">
        <v>359</v>
      </c>
      <c r="H323" s="1" t="s">
        <v>52</v>
      </c>
      <c r="I323" s="1" t="s">
        <v>37</v>
      </c>
      <c r="J323" s="1" t="s">
        <v>38</v>
      </c>
      <c r="K323" s="1" t="s">
        <v>39</v>
      </c>
      <c r="L323">
        <v>60</v>
      </c>
      <c r="M323">
        <v>49.2</v>
      </c>
      <c r="N323">
        <v>44.6</v>
      </c>
      <c r="O323">
        <v>26.2</v>
      </c>
      <c r="P323">
        <v>5.7489999999999999E-2</v>
      </c>
      <c r="Q323">
        <v>12.48</v>
      </c>
      <c r="R323">
        <v>18.079999999999998</v>
      </c>
      <c r="S323">
        <v>4</v>
      </c>
      <c r="T323">
        <v>5</v>
      </c>
      <c r="U323">
        <v>20</v>
      </c>
      <c r="V323">
        <v>146</v>
      </c>
      <c r="W323">
        <v>274.60000000000002</v>
      </c>
      <c r="X323">
        <v>1.1497999999999999</v>
      </c>
      <c r="Y323">
        <v>9.85</v>
      </c>
      <c r="Z323">
        <v>0.56627649999999996</v>
      </c>
      <c r="AA323">
        <v>0.49249999999999999</v>
      </c>
      <c r="AB323">
        <v>10685.279999999999</v>
      </c>
      <c r="AC323">
        <v>1</v>
      </c>
      <c r="AD323" s="1" t="s">
        <v>74</v>
      </c>
      <c r="AE323">
        <v>0</v>
      </c>
      <c r="AF323">
        <v>0</v>
      </c>
      <c r="AG323">
        <v>-10.888157894736842</v>
      </c>
    </row>
    <row r="324" spans="1:33">
      <c r="A324" s="1" t="s">
        <v>360</v>
      </c>
      <c r="B324" s="1" t="s">
        <v>1390</v>
      </c>
      <c r="C324" s="2">
        <v>46363</v>
      </c>
      <c r="D324" s="1" t="s">
        <v>34</v>
      </c>
      <c r="E324">
        <v>63</v>
      </c>
      <c r="F324" s="2">
        <v>46081</v>
      </c>
      <c r="G324" s="1" t="s">
        <v>361</v>
      </c>
      <c r="H324" s="1" t="s">
        <v>52</v>
      </c>
      <c r="I324" s="1" t="s">
        <v>37</v>
      </c>
      <c r="J324" s="1" t="s">
        <v>38</v>
      </c>
      <c r="K324" s="1" t="s">
        <v>39</v>
      </c>
      <c r="L324">
        <v>100</v>
      </c>
      <c r="M324">
        <v>43</v>
      </c>
      <c r="N324">
        <v>28.8</v>
      </c>
      <c r="O324">
        <v>16.100000000000001</v>
      </c>
      <c r="P324">
        <v>1.9939999999999999E-2</v>
      </c>
      <c r="Q324">
        <v>4.29</v>
      </c>
      <c r="R324">
        <v>3.54</v>
      </c>
      <c r="S324">
        <v>8</v>
      </c>
      <c r="T324">
        <v>9</v>
      </c>
      <c r="U324">
        <v>72</v>
      </c>
      <c r="V324">
        <v>159.9</v>
      </c>
      <c r="W324">
        <v>333.88</v>
      </c>
      <c r="X324">
        <v>1.4356800000000001</v>
      </c>
      <c r="Y324">
        <v>0.63</v>
      </c>
      <c r="Z324">
        <v>1.2562199999999999E-2</v>
      </c>
      <c r="AA324">
        <v>8.7500000000000008E-3</v>
      </c>
      <c r="AB324">
        <v>223.02</v>
      </c>
      <c r="AC324">
        <v>1</v>
      </c>
      <c r="AD324" s="1" t="s">
        <v>44</v>
      </c>
      <c r="AE324">
        <v>0</v>
      </c>
      <c r="AF324">
        <v>1</v>
      </c>
      <c r="AG324">
        <v>9.276315789473685</v>
      </c>
    </row>
    <row r="325" spans="1:33">
      <c r="A325" s="1" t="s">
        <v>360</v>
      </c>
      <c r="B325" s="1" t="s">
        <v>1391</v>
      </c>
      <c r="C325" s="2">
        <v>46514</v>
      </c>
      <c r="D325" s="1" t="s">
        <v>34</v>
      </c>
      <c r="E325">
        <v>118</v>
      </c>
      <c r="F325" s="2">
        <v>46081</v>
      </c>
      <c r="G325" s="1" t="s">
        <v>361</v>
      </c>
      <c r="H325" s="1" t="s">
        <v>52</v>
      </c>
      <c r="I325" s="1" t="s">
        <v>37</v>
      </c>
      <c r="J325" s="1" t="s">
        <v>38</v>
      </c>
      <c r="K325" s="1" t="s">
        <v>39</v>
      </c>
      <c r="L325">
        <v>100</v>
      </c>
      <c r="M325">
        <v>43</v>
      </c>
      <c r="N325">
        <v>28.8</v>
      </c>
      <c r="O325">
        <v>16.100000000000001</v>
      </c>
      <c r="P325">
        <v>1.9939999999999999E-2</v>
      </c>
      <c r="Q325">
        <v>4.29</v>
      </c>
      <c r="R325">
        <v>3.54</v>
      </c>
      <c r="S325">
        <v>8</v>
      </c>
      <c r="T325">
        <v>9</v>
      </c>
      <c r="U325">
        <v>72</v>
      </c>
      <c r="V325">
        <v>159.9</v>
      </c>
      <c r="W325">
        <v>333.88</v>
      </c>
      <c r="X325">
        <v>1.4356800000000001</v>
      </c>
      <c r="Y325">
        <v>1.18</v>
      </c>
      <c r="Z325">
        <v>2.3529199999999997E-2</v>
      </c>
      <c r="AA325">
        <v>1.6388888888888887E-2</v>
      </c>
      <c r="AB325">
        <v>417.72</v>
      </c>
      <c r="AC325">
        <v>1</v>
      </c>
      <c r="AD325" s="1" t="s">
        <v>44</v>
      </c>
      <c r="AE325">
        <v>0</v>
      </c>
      <c r="AF325">
        <v>1</v>
      </c>
      <c r="AG325">
        <v>14.243421052631579</v>
      </c>
    </row>
    <row r="326" spans="1:33">
      <c r="A326" s="1" t="s">
        <v>360</v>
      </c>
      <c r="B326" s="1" t="s">
        <v>1392</v>
      </c>
      <c r="C326" s="2">
        <v>46632</v>
      </c>
      <c r="D326" s="1" t="s">
        <v>34</v>
      </c>
      <c r="E326">
        <v>453</v>
      </c>
      <c r="F326" s="2">
        <v>46081</v>
      </c>
      <c r="G326" s="1" t="s">
        <v>361</v>
      </c>
      <c r="H326" s="1" t="s">
        <v>52</v>
      </c>
      <c r="I326" s="1" t="s">
        <v>37</v>
      </c>
      <c r="J326" s="1" t="s">
        <v>38</v>
      </c>
      <c r="K326" s="1" t="s">
        <v>39</v>
      </c>
      <c r="L326">
        <v>100</v>
      </c>
      <c r="M326">
        <v>43</v>
      </c>
      <c r="N326">
        <v>28.8</v>
      </c>
      <c r="O326">
        <v>16.100000000000001</v>
      </c>
      <c r="P326">
        <v>1.9939999999999999E-2</v>
      </c>
      <c r="Q326">
        <v>4.29</v>
      </c>
      <c r="R326">
        <v>3.54</v>
      </c>
      <c r="S326">
        <v>8</v>
      </c>
      <c r="T326">
        <v>9</v>
      </c>
      <c r="U326">
        <v>72</v>
      </c>
      <c r="V326">
        <v>159.9</v>
      </c>
      <c r="W326">
        <v>333.88</v>
      </c>
      <c r="X326">
        <v>1.4356800000000001</v>
      </c>
      <c r="Y326">
        <v>4.53</v>
      </c>
      <c r="Z326">
        <v>9.0328199999999997E-2</v>
      </c>
      <c r="AA326">
        <v>6.2916666666666676E-2</v>
      </c>
      <c r="AB326">
        <v>1603.6200000000001</v>
      </c>
      <c r="AC326">
        <v>1</v>
      </c>
      <c r="AD326" s="1" t="s">
        <v>44</v>
      </c>
      <c r="AE326">
        <v>0</v>
      </c>
      <c r="AF326">
        <v>1</v>
      </c>
      <c r="AG326">
        <v>18.125</v>
      </c>
    </row>
    <row r="327" spans="1:33">
      <c r="A327" s="1" t="s">
        <v>362</v>
      </c>
      <c r="B327" s="1" t="s">
        <v>1393</v>
      </c>
      <c r="C327" s="2">
        <v>46927</v>
      </c>
      <c r="D327" s="1" t="s">
        <v>34</v>
      </c>
      <c r="E327">
        <v>202</v>
      </c>
      <c r="F327" s="2">
        <v>46081</v>
      </c>
      <c r="G327" s="1" t="s">
        <v>363</v>
      </c>
      <c r="H327" s="1" t="s">
        <v>48</v>
      </c>
      <c r="I327" s="1" t="s">
        <v>37</v>
      </c>
      <c r="J327" s="1" t="s">
        <v>38</v>
      </c>
      <c r="K327" s="1" t="s">
        <v>39</v>
      </c>
      <c r="L327">
        <v>240</v>
      </c>
      <c r="M327">
        <v>46.7</v>
      </c>
      <c r="N327">
        <v>26.8</v>
      </c>
      <c r="O327">
        <v>29.5</v>
      </c>
      <c r="P327">
        <v>3.6920000000000001E-2</v>
      </c>
      <c r="Q327">
        <v>6.11</v>
      </c>
      <c r="R327">
        <v>2.61</v>
      </c>
      <c r="S327">
        <v>8</v>
      </c>
      <c r="T327">
        <v>3</v>
      </c>
      <c r="U327">
        <v>24</v>
      </c>
      <c r="V327">
        <v>103.5</v>
      </c>
      <c r="W327">
        <v>171.64</v>
      </c>
      <c r="X327">
        <v>0.88607999999999998</v>
      </c>
      <c r="Y327">
        <v>0.84166666666666667</v>
      </c>
      <c r="Z327">
        <v>3.1074333333333336E-2</v>
      </c>
      <c r="AA327">
        <v>3.5069444444444445E-2</v>
      </c>
      <c r="AB327">
        <v>527.22</v>
      </c>
      <c r="AC327">
        <v>1</v>
      </c>
      <c r="AD327" s="1" t="s">
        <v>44</v>
      </c>
      <c r="AE327">
        <v>0</v>
      </c>
      <c r="AF327">
        <v>1</v>
      </c>
      <c r="AG327">
        <v>27.828947368421055</v>
      </c>
    </row>
    <row r="328" spans="1:33">
      <c r="A328" s="1" t="s">
        <v>362</v>
      </c>
      <c r="B328" s="1" t="s">
        <v>1394</v>
      </c>
      <c r="C328" s="2">
        <v>46417</v>
      </c>
      <c r="D328" s="1" t="s">
        <v>34</v>
      </c>
      <c r="E328">
        <v>550</v>
      </c>
      <c r="F328" s="2">
        <v>46081</v>
      </c>
      <c r="G328" s="1" t="s">
        <v>363</v>
      </c>
      <c r="H328" s="1" t="s">
        <v>48</v>
      </c>
      <c r="I328" s="1" t="s">
        <v>37</v>
      </c>
      <c r="J328" s="1" t="s">
        <v>38</v>
      </c>
      <c r="K328" s="1" t="s">
        <v>39</v>
      </c>
      <c r="L328">
        <v>240</v>
      </c>
      <c r="M328">
        <v>46.7</v>
      </c>
      <c r="N328">
        <v>26.8</v>
      </c>
      <c r="O328">
        <v>29.5</v>
      </c>
      <c r="P328">
        <v>3.6920000000000001E-2</v>
      </c>
      <c r="Q328">
        <v>6.11</v>
      </c>
      <c r="R328">
        <v>2.61</v>
      </c>
      <c r="S328">
        <v>8</v>
      </c>
      <c r="T328">
        <v>3</v>
      </c>
      <c r="U328">
        <v>24</v>
      </c>
      <c r="V328">
        <v>103.5</v>
      </c>
      <c r="W328">
        <v>171.64</v>
      </c>
      <c r="X328">
        <v>0.88607999999999998</v>
      </c>
      <c r="Y328">
        <v>2.2916666666666665</v>
      </c>
      <c r="Z328">
        <v>8.4608333333333327E-2</v>
      </c>
      <c r="AA328">
        <v>9.5486111111111105E-2</v>
      </c>
      <c r="AB328">
        <v>1435.5</v>
      </c>
      <c r="AC328">
        <v>1</v>
      </c>
      <c r="AD328" s="1" t="s">
        <v>44</v>
      </c>
      <c r="AE328">
        <v>0</v>
      </c>
      <c r="AF328">
        <v>1</v>
      </c>
      <c r="AG328">
        <v>11.052631578947368</v>
      </c>
    </row>
    <row r="329" spans="1:33">
      <c r="A329" s="1" t="s">
        <v>362</v>
      </c>
      <c r="B329" s="1" t="s">
        <v>1395</v>
      </c>
      <c r="C329" s="2">
        <v>46429</v>
      </c>
      <c r="D329" s="1" t="s">
        <v>34</v>
      </c>
      <c r="E329">
        <v>973</v>
      </c>
      <c r="F329" s="2">
        <v>46081</v>
      </c>
      <c r="G329" s="1" t="s">
        <v>363</v>
      </c>
      <c r="H329" s="1" t="s">
        <v>48</v>
      </c>
      <c r="I329" s="1" t="s">
        <v>37</v>
      </c>
      <c r="J329" s="1" t="s">
        <v>38</v>
      </c>
      <c r="K329" s="1" t="s">
        <v>39</v>
      </c>
      <c r="L329">
        <v>240</v>
      </c>
      <c r="M329">
        <v>46.7</v>
      </c>
      <c r="N329">
        <v>26.8</v>
      </c>
      <c r="O329">
        <v>29.5</v>
      </c>
      <c r="P329">
        <v>3.6920000000000001E-2</v>
      </c>
      <c r="Q329">
        <v>6.11</v>
      </c>
      <c r="R329">
        <v>2.61</v>
      </c>
      <c r="S329">
        <v>8</v>
      </c>
      <c r="T329">
        <v>3</v>
      </c>
      <c r="U329">
        <v>24</v>
      </c>
      <c r="V329">
        <v>103.5</v>
      </c>
      <c r="W329">
        <v>171.64</v>
      </c>
      <c r="X329">
        <v>0.88607999999999998</v>
      </c>
      <c r="Y329">
        <v>4.0541666666666663</v>
      </c>
      <c r="Z329">
        <v>0.14967983333333332</v>
      </c>
      <c r="AA329">
        <v>0.16892361111111109</v>
      </c>
      <c r="AB329">
        <v>2539.5299999999997</v>
      </c>
      <c r="AC329">
        <v>1</v>
      </c>
      <c r="AD329" s="1" t="s">
        <v>44</v>
      </c>
      <c r="AE329">
        <v>0</v>
      </c>
      <c r="AF329">
        <v>1</v>
      </c>
      <c r="AG329">
        <v>11.447368421052632</v>
      </c>
    </row>
    <row r="330" spans="1:33">
      <c r="A330" s="1" t="s">
        <v>364</v>
      </c>
      <c r="B330" s="1" t="s">
        <v>1396</v>
      </c>
      <c r="C330" s="2">
        <v>46221</v>
      </c>
      <c r="D330" s="1" t="s">
        <v>34</v>
      </c>
      <c r="E330">
        <v>12723</v>
      </c>
      <c r="F330" s="2">
        <v>46081</v>
      </c>
      <c r="G330" s="1" t="s">
        <v>365</v>
      </c>
      <c r="H330" s="1" t="s">
        <v>70</v>
      </c>
      <c r="I330" s="1" t="s">
        <v>37</v>
      </c>
      <c r="J330" s="1" t="s">
        <v>38</v>
      </c>
      <c r="K330" s="1" t="s">
        <v>39</v>
      </c>
      <c r="L330">
        <v>240</v>
      </c>
      <c r="M330">
        <v>33.700000000000003</v>
      </c>
      <c r="N330">
        <v>43.8</v>
      </c>
      <c r="O330">
        <v>20.5</v>
      </c>
      <c r="P330">
        <v>3.0259999999999999E-2</v>
      </c>
      <c r="Q330">
        <v>5.26</v>
      </c>
      <c r="R330">
        <v>15.66</v>
      </c>
      <c r="S330">
        <v>6</v>
      </c>
      <c r="T330">
        <v>6</v>
      </c>
      <c r="U330">
        <v>36</v>
      </c>
      <c r="V330">
        <v>138</v>
      </c>
      <c r="W330">
        <v>214.36</v>
      </c>
      <c r="X330">
        <v>1.0893600000000001</v>
      </c>
      <c r="Y330">
        <v>53.012500000000003</v>
      </c>
      <c r="Z330">
        <v>1.60415825</v>
      </c>
      <c r="AA330">
        <v>1.4725694444444446</v>
      </c>
      <c r="AB330">
        <v>199242.18</v>
      </c>
      <c r="AC330">
        <v>2</v>
      </c>
      <c r="AD330" s="1" t="s">
        <v>40</v>
      </c>
      <c r="AE330">
        <v>2</v>
      </c>
      <c r="AF330">
        <v>0</v>
      </c>
      <c r="AG330">
        <v>4.6052631578947372</v>
      </c>
    </row>
    <row r="331" spans="1:33">
      <c r="A331" s="1" t="s">
        <v>364</v>
      </c>
      <c r="B331" s="1" t="s">
        <v>1397</v>
      </c>
      <c r="C331" s="2">
        <v>46282</v>
      </c>
      <c r="D331" s="1" t="s">
        <v>34</v>
      </c>
      <c r="E331">
        <v>38651</v>
      </c>
      <c r="F331" s="2">
        <v>46081</v>
      </c>
      <c r="G331" s="1" t="s">
        <v>365</v>
      </c>
      <c r="H331" s="1" t="s">
        <v>70</v>
      </c>
      <c r="I331" s="1" t="s">
        <v>37</v>
      </c>
      <c r="J331" s="1" t="s">
        <v>38</v>
      </c>
      <c r="K331" s="1" t="s">
        <v>39</v>
      </c>
      <c r="L331">
        <v>240</v>
      </c>
      <c r="M331">
        <v>33.700000000000003</v>
      </c>
      <c r="N331">
        <v>43.8</v>
      </c>
      <c r="O331">
        <v>20.5</v>
      </c>
      <c r="P331">
        <v>3.0259999999999999E-2</v>
      </c>
      <c r="Q331">
        <v>5.26</v>
      </c>
      <c r="R331">
        <v>15.66</v>
      </c>
      <c r="S331">
        <v>6</v>
      </c>
      <c r="T331">
        <v>6</v>
      </c>
      <c r="U331">
        <v>36</v>
      </c>
      <c r="V331">
        <v>138</v>
      </c>
      <c r="W331">
        <v>214.36</v>
      </c>
      <c r="X331">
        <v>1.0893600000000001</v>
      </c>
      <c r="Y331">
        <v>161.04583333333332</v>
      </c>
      <c r="Z331">
        <v>4.8732469166666661</v>
      </c>
      <c r="AA331">
        <v>4.4734953703703697</v>
      </c>
      <c r="AB331">
        <v>605274.66</v>
      </c>
      <c r="AC331">
        <v>5</v>
      </c>
      <c r="AD331" s="1" t="s">
        <v>40</v>
      </c>
      <c r="AE331">
        <v>5</v>
      </c>
      <c r="AF331">
        <v>0</v>
      </c>
      <c r="AG331">
        <v>6.6118421052631584</v>
      </c>
    </row>
    <row r="332" spans="1:33">
      <c r="A332" s="1" t="s">
        <v>364</v>
      </c>
      <c r="B332" s="1" t="s">
        <v>1398</v>
      </c>
      <c r="C332" s="2">
        <v>46937</v>
      </c>
      <c r="D332" s="1" t="s">
        <v>34</v>
      </c>
      <c r="E332">
        <v>10015</v>
      </c>
      <c r="F332" s="2">
        <v>46081</v>
      </c>
      <c r="G332" s="1" t="s">
        <v>365</v>
      </c>
      <c r="H332" s="1" t="s">
        <v>70</v>
      </c>
      <c r="I332" s="1" t="s">
        <v>37</v>
      </c>
      <c r="J332" s="1" t="s">
        <v>38</v>
      </c>
      <c r="K332" s="1" t="s">
        <v>39</v>
      </c>
      <c r="L332">
        <v>240</v>
      </c>
      <c r="M332">
        <v>33.700000000000003</v>
      </c>
      <c r="N332">
        <v>43.8</v>
      </c>
      <c r="O332">
        <v>20.5</v>
      </c>
      <c r="P332">
        <v>3.0259999999999999E-2</v>
      </c>
      <c r="Q332">
        <v>5.26</v>
      </c>
      <c r="R332">
        <v>15.66</v>
      </c>
      <c r="S332">
        <v>6</v>
      </c>
      <c r="T332">
        <v>6</v>
      </c>
      <c r="U332">
        <v>36</v>
      </c>
      <c r="V332">
        <v>138</v>
      </c>
      <c r="W332">
        <v>214.36</v>
      </c>
      <c r="X332">
        <v>1.0893600000000001</v>
      </c>
      <c r="Y332">
        <v>41.729166666666664</v>
      </c>
      <c r="Z332">
        <v>1.2627245833333332</v>
      </c>
      <c r="AA332">
        <v>1.1591435185185184</v>
      </c>
      <c r="AB332">
        <v>156834.9</v>
      </c>
      <c r="AC332">
        <v>2</v>
      </c>
      <c r="AD332" s="1" t="s">
        <v>40</v>
      </c>
      <c r="AE332">
        <v>2</v>
      </c>
      <c r="AF332">
        <v>0</v>
      </c>
      <c r="AG332">
        <v>28.157894736842106</v>
      </c>
    </row>
    <row r="333" spans="1:33">
      <c r="A333" s="1" t="s">
        <v>366</v>
      </c>
      <c r="B333" s="1" t="s">
        <v>1399</v>
      </c>
      <c r="C333" s="2">
        <v>46211</v>
      </c>
      <c r="D333" s="1" t="s">
        <v>34</v>
      </c>
      <c r="E333">
        <v>69</v>
      </c>
      <c r="F333" s="2">
        <v>46081</v>
      </c>
      <c r="G333" s="1" t="s">
        <v>367</v>
      </c>
      <c r="H333" s="1" t="s">
        <v>36</v>
      </c>
      <c r="I333" s="1" t="s">
        <v>37</v>
      </c>
      <c r="J333" s="1" t="s">
        <v>38</v>
      </c>
      <c r="K333" s="1" t="s">
        <v>39</v>
      </c>
      <c r="L333">
        <v>100</v>
      </c>
      <c r="M333">
        <v>43.9</v>
      </c>
      <c r="N333">
        <v>44.2</v>
      </c>
      <c r="O333">
        <v>31.6</v>
      </c>
      <c r="P333">
        <v>6.132E-2</v>
      </c>
      <c r="Q333">
        <v>13.35</v>
      </c>
      <c r="R333">
        <v>2.08</v>
      </c>
      <c r="S333">
        <v>4</v>
      </c>
      <c r="T333">
        <v>2</v>
      </c>
      <c r="U333">
        <v>8</v>
      </c>
      <c r="V333">
        <v>78.2</v>
      </c>
      <c r="W333">
        <v>131.80000000000001</v>
      </c>
      <c r="X333">
        <v>0.49056</v>
      </c>
      <c r="Y333">
        <v>0.69</v>
      </c>
      <c r="Z333">
        <v>4.2310799999999996E-2</v>
      </c>
      <c r="AA333">
        <v>8.6249999999999993E-2</v>
      </c>
      <c r="AB333">
        <v>143.52000000000001</v>
      </c>
      <c r="AC333">
        <v>1</v>
      </c>
      <c r="AD333" s="1" t="s">
        <v>44</v>
      </c>
      <c r="AE333">
        <v>0</v>
      </c>
      <c r="AF333">
        <v>1</v>
      </c>
      <c r="AG333">
        <v>4.2763157894736841</v>
      </c>
    </row>
    <row r="334" spans="1:33">
      <c r="A334" s="1" t="s">
        <v>366</v>
      </c>
      <c r="B334" s="1" t="s">
        <v>1400</v>
      </c>
      <c r="C334" s="2">
        <v>46940</v>
      </c>
      <c r="D334" s="1" t="s">
        <v>34</v>
      </c>
      <c r="E334">
        <v>1</v>
      </c>
      <c r="F334" s="2">
        <v>46081</v>
      </c>
      <c r="G334" s="1" t="s">
        <v>367</v>
      </c>
      <c r="H334" s="1" t="s">
        <v>36</v>
      </c>
      <c r="I334" s="1" t="s">
        <v>37</v>
      </c>
      <c r="J334" s="1" t="s">
        <v>38</v>
      </c>
      <c r="K334" s="1" t="s">
        <v>39</v>
      </c>
      <c r="L334">
        <v>100</v>
      </c>
      <c r="M334">
        <v>43.9</v>
      </c>
      <c r="N334">
        <v>44.2</v>
      </c>
      <c r="O334">
        <v>31.6</v>
      </c>
      <c r="P334">
        <v>6.132E-2</v>
      </c>
      <c r="Q334">
        <v>13.35</v>
      </c>
      <c r="R334">
        <v>2.08</v>
      </c>
      <c r="S334">
        <v>4</v>
      </c>
      <c r="T334">
        <v>2</v>
      </c>
      <c r="U334">
        <v>8</v>
      </c>
      <c r="V334">
        <v>78.2</v>
      </c>
      <c r="W334">
        <v>131.80000000000001</v>
      </c>
      <c r="X334">
        <v>0.49056</v>
      </c>
      <c r="Y334">
        <v>0.01</v>
      </c>
      <c r="Z334">
        <v>6.1320000000000005E-4</v>
      </c>
      <c r="AA334">
        <v>1.25E-3</v>
      </c>
      <c r="AB334">
        <v>2.08</v>
      </c>
      <c r="AC334">
        <v>1</v>
      </c>
      <c r="AD334" s="1" t="s">
        <v>44</v>
      </c>
      <c r="AE334">
        <v>0</v>
      </c>
      <c r="AF334">
        <v>1</v>
      </c>
      <c r="AG334">
        <v>28.256578947368421</v>
      </c>
    </row>
    <row r="335" spans="1:33">
      <c r="A335" s="1" t="s">
        <v>368</v>
      </c>
      <c r="B335" s="1" t="s">
        <v>1401</v>
      </c>
      <c r="C335" s="2">
        <v>46211</v>
      </c>
      <c r="D335" s="1" t="s">
        <v>34</v>
      </c>
      <c r="E335">
        <v>2457</v>
      </c>
      <c r="F335" s="2">
        <v>46081</v>
      </c>
      <c r="G335" s="1" t="s">
        <v>369</v>
      </c>
      <c r="H335" s="1" t="s">
        <v>43</v>
      </c>
      <c r="I335" s="1" t="s">
        <v>37</v>
      </c>
      <c r="J335" s="1" t="s">
        <v>38</v>
      </c>
      <c r="K335" s="1" t="s">
        <v>39</v>
      </c>
      <c r="L335">
        <v>180</v>
      </c>
      <c r="M335">
        <v>55.5</v>
      </c>
      <c r="N335">
        <v>30.1</v>
      </c>
      <c r="O335">
        <v>23.6</v>
      </c>
      <c r="P335">
        <v>3.9419999999999997E-2</v>
      </c>
      <c r="Q335">
        <v>9.26</v>
      </c>
      <c r="R335">
        <v>12.57</v>
      </c>
      <c r="S335">
        <v>6</v>
      </c>
      <c r="T335">
        <v>3</v>
      </c>
      <c r="U335">
        <v>18</v>
      </c>
      <c r="V335">
        <v>85.800000000000011</v>
      </c>
      <c r="W335">
        <v>191.68</v>
      </c>
      <c r="X335">
        <v>0.70955999999999997</v>
      </c>
      <c r="Y335">
        <v>13.65</v>
      </c>
      <c r="Z335">
        <v>0.53808299999999998</v>
      </c>
      <c r="AA335">
        <v>0.7583333333333333</v>
      </c>
      <c r="AB335">
        <v>30884.49</v>
      </c>
      <c r="AC335">
        <v>1</v>
      </c>
      <c r="AD335" s="1" t="s">
        <v>40</v>
      </c>
      <c r="AE335">
        <v>1</v>
      </c>
      <c r="AF335">
        <v>0</v>
      </c>
      <c r="AG335">
        <v>4.2763157894736841</v>
      </c>
    </row>
    <row r="336" spans="1:33">
      <c r="A336" s="1" t="s">
        <v>368</v>
      </c>
      <c r="B336" s="1" t="s">
        <v>1402</v>
      </c>
      <c r="C336" s="2">
        <v>46935</v>
      </c>
      <c r="D336" s="1" t="s">
        <v>34</v>
      </c>
      <c r="E336">
        <v>29498</v>
      </c>
      <c r="F336" s="2">
        <v>46081</v>
      </c>
      <c r="G336" s="1" t="s">
        <v>369</v>
      </c>
      <c r="H336" s="1" t="s">
        <v>43</v>
      </c>
      <c r="I336" s="1" t="s">
        <v>37</v>
      </c>
      <c r="J336" s="1" t="s">
        <v>38</v>
      </c>
      <c r="K336" s="1" t="s">
        <v>39</v>
      </c>
      <c r="L336">
        <v>180</v>
      </c>
      <c r="M336">
        <v>55.5</v>
      </c>
      <c r="N336">
        <v>30.1</v>
      </c>
      <c r="O336">
        <v>23.6</v>
      </c>
      <c r="P336">
        <v>3.9419999999999997E-2</v>
      </c>
      <c r="Q336">
        <v>9.26</v>
      </c>
      <c r="R336">
        <v>12.57</v>
      </c>
      <c r="S336">
        <v>6</v>
      </c>
      <c r="T336">
        <v>3</v>
      </c>
      <c r="U336">
        <v>18</v>
      </c>
      <c r="V336">
        <v>85.800000000000011</v>
      </c>
      <c r="W336">
        <v>191.68</v>
      </c>
      <c r="X336">
        <v>0.70955999999999997</v>
      </c>
      <c r="Y336">
        <v>163.87777777777777</v>
      </c>
      <c r="Z336">
        <v>6.4600619999999989</v>
      </c>
      <c r="AA336">
        <v>9.1043209876543205</v>
      </c>
      <c r="AB336">
        <v>370789.86</v>
      </c>
      <c r="AC336">
        <v>10</v>
      </c>
      <c r="AD336" s="1" t="s">
        <v>40</v>
      </c>
      <c r="AE336">
        <v>10</v>
      </c>
      <c r="AF336">
        <v>0</v>
      </c>
      <c r="AG336">
        <v>28.092105263157897</v>
      </c>
    </row>
    <row r="337" spans="1:33">
      <c r="A337" s="1" t="s">
        <v>370</v>
      </c>
      <c r="B337" s="1" t="s">
        <v>1403</v>
      </c>
      <c r="C337" s="2">
        <v>46899</v>
      </c>
      <c r="D337" s="1" t="s">
        <v>34</v>
      </c>
      <c r="E337">
        <v>17345</v>
      </c>
      <c r="F337" s="2">
        <v>46081</v>
      </c>
      <c r="G337" s="1" t="s">
        <v>371</v>
      </c>
      <c r="H337" s="1" t="s">
        <v>36</v>
      </c>
      <c r="I337" s="1" t="s">
        <v>37</v>
      </c>
      <c r="J337" s="1" t="s">
        <v>38</v>
      </c>
      <c r="K337" s="1" t="s">
        <v>39</v>
      </c>
      <c r="L337">
        <v>240</v>
      </c>
      <c r="M337">
        <v>53.3</v>
      </c>
      <c r="N337">
        <v>34.799999999999997</v>
      </c>
      <c r="O337">
        <v>31.9</v>
      </c>
      <c r="P337">
        <v>5.917E-2</v>
      </c>
      <c r="Q337">
        <v>13.22</v>
      </c>
      <c r="R337">
        <v>2.83</v>
      </c>
      <c r="S337">
        <v>4</v>
      </c>
      <c r="T337">
        <v>4</v>
      </c>
      <c r="U337">
        <v>16</v>
      </c>
      <c r="V337">
        <v>142.6</v>
      </c>
      <c r="W337">
        <v>236.52</v>
      </c>
      <c r="X337">
        <v>0.94672000000000001</v>
      </c>
      <c r="Y337">
        <v>72.270833333333329</v>
      </c>
      <c r="Z337">
        <v>4.2762652083333332</v>
      </c>
      <c r="AA337">
        <v>4.516927083333333</v>
      </c>
      <c r="AB337">
        <v>49086.35</v>
      </c>
      <c r="AC337">
        <v>5</v>
      </c>
      <c r="AD337" s="1" t="s">
        <v>40</v>
      </c>
      <c r="AE337">
        <v>5</v>
      </c>
      <c r="AF337">
        <v>0</v>
      </c>
      <c r="AG337">
        <v>26.907894736842106</v>
      </c>
    </row>
    <row r="338" spans="1:33">
      <c r="A338" s="1" t="s">
        <v>370</v>
      </c>
      <c r="B338" s="1" t="s">
        <v>1404</v>
      </c>
      <c r="C338" s="2">
        <v>46491</v>
      </c>
      <c r="D338" s="1" t="s">
        <v>34</v>
      </c>
      <c r="E338">
        <v>22279</v>
      </c>
      <c r="F338" s="2">
        <v>46081</v>
      </c>
      <c r="G338" s="1" t="s">
        <v>371</v>
      </c>
      <c r="H338" s="1" t="s">
        <v>36</v>
      </c>
      <c r="I338" s="1" t="s">
        <v>37</v>
      </c>
      <c r="J338" s="1" t="s">
        <v>38</v>
      </c>
      <c r="K338" s="1" t="s">
        <v>39</v>
      </c>
      <c r="L338">
        <v>240</v>
      </c>
      <c r="M338">
        <v>53.3</v>
      </c>
      <c r="N338">
        <v>34.799999999999997</v>
      </c>
      <c r="O338">
        <v>31.9</v>
      </c>
      <c r="P338">
        <v>5.917E-2</v>
      </c>
      <c r="Q338">
        <v>13.22</v>
      </c>
      <c r="R338">
        <v>2.83</v>
      </c>
      <c r="S338">
        <v>4</v>
      </c>
      <c r="T338">
        <v>4</v>
      </c>
      <c r="U338">
        <v>16</v>
      </c>
      <c r="V338">
        <v>142.6</v>
      </c>
      <c r="W338">
        <v>236.52</v>
      </c>
      <c r="X338">
        <v>0.94672000000000001</v>
      </c>
      <c r="Y338">
        <v>92.829166666666666</v>
      </c>
      <c r="Z338">
        <v>5.4927017916666667</v>
      </c>
      <c r="AA338">
        <v>5.8018229166666666</v>
      </c>
      <c r="AB338">
        <v>63049.57</v>
      </c>
      <c r="AC338">
        <v>6</v>
      </c>
      <c r="AD338" s="1" t="s">
        <v>40</v>
      </c>
      <c r="AE338">
        <v>6</v>
      </c>
      <c r="AF338">
        <v>0</v>
      </c>
      <c r="AG338">
        <v>13.486842105263159</v>
      </c>
    </row>
    <row r="339" spans="1:33">
      <c r="A339" s="1" t="s">
        <v>370</v>
      </c>
      <c r="B339" s="1" t="s">
        <v>1405</v>
      </c>
      <c r="C339" s="2">
        <v>46644</v>
      </c>
      <c r="D339" s="1" t="s">
        <v>45</v>
      </c>
      <c r="E339">
        <v>792</v>
      </c>
      <c r="F339" s="2">
        <v>46081</v>
      </c>
      <c r="G339" s="1" t="s">
        <v>371</v>
      </c>
      <c r="H339" s="1" t="s">
        <v>36</v>
      </c>
      <c r="I339" s="1" t="s">
        <v>37</v>
      </c>
      <c r="J339" s="1" t="s">
        <v>38</v>
      </c>
      <c r="K339" s="1" t="s">
        <v>39</v>
      </c>
      <c r="L339">
        <v>240</v>
      </c>
      <c r="M339">
        <v>53.3</v>
      </c>
      <c r="N339">
        <v>34.799999999999997</v>
      </c>
      <c r="O339">
        <v>31.9</v>
      </c>
      <c r="P339">
        <v>5.917E-2</v>
      </c>
      <c r="Q339">
        <v>13.22</v>
      </c>
      <c r="R339">
        <v>2.83</v>
      </c>
      <c r="S339">
        <v>4</v>
      </c>
      <c r="T339">
        <v>4</v>
      </c>
      <c r="U339">
        <v>16</v>
      </c>
      <c r="V339">
        <v>142.6</v>
      </c>
      <c r="W339">
        <v>236.52</v>
      </c>
      <c r="X339">
        <v>0.94672000000000001</v>
      </c>
      <c r="Y339">
        <v>3.3</v>
      </c>
      <c r="Z339">
        <v>0.19526099999999999</v>
      </c>
      <c r="AA339">
        <v>0.20624999999999999</v>
      </c>
      <c r="AB339">
        <v>2241.36</v>
      </c>
      <c r="AC339">
        <v>1</v>
      </c>
      <c r="AD339" s="1" t="s">
        <v>44</v>
      </c>
      <c r="AE339">
        <v>0</v>
      </c>
      <c r="AF339">
        <v>1</v>
      </c>
      <c r="AG339">
        <v>18.519736842105264</v>
      </c>
    </row>
    <row r="340" spans="1:33">
      <c r="A340" s="1" t="s">
        <v>372</v>
      </c>
      <c r="B340" s="1" t="s">
        <v>1406</v>
      </c>
      <c r="C340" s="2">
        <v>46646</v>
      </c>
      <c r="D340" s="1" t="s">
        <v>34</v>
      </c>
      <c r="E340">
        <v>53613</v>
      </c>
      <c r="F340" s="2">
        <v>46081</v>
      </c>
      <c r="G340" s="1" t="s">
        <v>373</v>
      </c>
      <c r="H340" s="1" t="s">
        <v>43</v>
      </c>
      <c r="I340" s="1" t="s">
        <v>37</v>
      </c>
      <c r="J340" s="1" t="s">
        <v>38</v>
      </c>
      <c r="K340" s="1" t="s">
        <v>39</v>
      </c>
      <c r="L340">
        <v>120</v>
      </c>
      <c r="M340">
        <v>41.6</v>
      </c>
      <c r="N340">
        <v>32.4</v>
      </c>
      <c r="O340">
        <v>31</v>
      </c>
      <c r="P340">
        <v>4.1779999999999998E-2</v>
      </c>
      <c r="Q340">
        <v>11.45</v>
      </c>
      <c r="R340">
        <v>20.68</v>
      </c>
      <c r="S340">
        <v>6</v>
      </c>
      <c r="T340">
        <v>4</v>
      </c>
      <c r="U340">
        <v>24</v>
      </c>
      <c r="V340">
        <v>139</v>
      </c>
      <c r="W340">
        <v>299.79999999999995</v>
      </c>
      <c r="X340">
        <v>1.0027200000000001</v>
      </c>
      <c r="Y340">
        <v>446.77499999999998</v>
      </c>
      <c r="Z340">
        <v>18.666259499999999</v>
      </c>
      <c r="AA340">
        <v>18.615624999999998</v>
      </c>
      <c r="AB340">
        <v>1108716.8400000001</v>
      </c>
      <c r="AC340">
        <v>19</v>
      </c>
      <c r="AD340" s="1" t="s">
        <v>40</v>
      </c>
      <c r="AE340">
        <v>19</v>
      </c>
      <c r="AF340">
        <v>0</v>
      </c>
      <c r="AG340">
        <v>18.585526315789476</v>
      </c>
    </row>
    <row r="341" spans="1:33">
      <c r="A341" s="1" t="s">
        <v>372</v>
      </c>
      <c r="B341" s="1" t="s">
        <v>1407</v>
      </c>
      <c r="C341" s="2">
        <v>46433</v>
      </c>
      <c r="D341" s="1" t="s">
        <v>34</v>
      </c>
      <c r="E341">
        <v>15921</v>
      </c>
      <c r="F341" s="2">
        <v>46081</v>
      </c>
      <c r="G341" s="1" t="s">
        <v>373</v>
      </c>
      <c r="H341" s="1" t="s">
        <v>43</v>
      </c>
      <c r="I341" s="1" t="s">
        <v>37</v>
      </c>
      <c r="J341" s="1" t="s">
        <v>38</v>
      </c>
      <c r="K341" s="1" t="s">
        <v>39</v>
      </c>
      <c r="L341">
        <v>120</v>
      </c>
      <c r="M341">
        <v>41.6</v>
      </c>
      <c r="N341">
        <v>32.4</v>
      </c>
      <c r="O341">
        <v>31</v>
      </c>
      <c r="P341">
        <v>4.1779999999999998E-2</v>
      </c>
      <c r="Q341">
        <v>11.45</v>
      </c>
      <c r="R341">
        <v>20.68</v>
      </c>
      <c r="S341">
        <v>6</v>
      </c>
      <c r="T341">
        <v>4</v>
      </c>
      <c r="U341">
        <v>24</v>
      </c>
      <c r="V341">
        <v>139</v>
      </c>
      <c r="W341">
        <v>299.79999999999995</v>
      </c>
      <c r="X341">
        <v>1.0027200000000001</v>
      </c>
      <c r="Y341">
        <v>132.67500000000001</v>
      </c>
      <c r="Z341">
        <v>5.5431615000000001</v>
      </c>
      <c r="AA341">
        <v>5.5281250000000002</v>
      </c>
      <c r="AB341">
        <v>329246.27999999997</v>
      </c>
      <c r="AC341">
        <v>6</v>
      </c>
      <c r="AD341" s="1" t="s">
        <v>40</v>
      </c>
      <c r="AE341">
        <v>6</v>
      </c>
      <c r="AF341">
        <v>0</v>
      </c>
      <c r="AG341">
        <v>11.578947368421053</v>
      </c>
    </row>
    <row r="342" spans="1:33">
      <c r="A342" s="1" t="s">
        <v>374</v>
      </c>
      <c r="B342" s="1" t="s">
        <v>1408</v>
      </c>
      <c r="C342" s="2">
        <v>47160</v>
      </c>
      <c r="D342" s="1" t="s">
        <v>34</v>
      </c>
      <c r="E342">
        <v>24811</v>
      </c>
      <c r="F342" s="2">
        <v>46081</v>
      </c>
      <c r="G342" s="1" t="s">
        <v>375</v>
      </c>
      <c r="H342" s="1" t="s">
        <v>70</v>
      </c>
      <c r="I342" s="1" t="s">
        <v>37</v>
      </c>
      <c r="J342" s="1" t="s">
        <v>38</v>
      </c>
      <c r="K342" s="1" t="s">
        <v>39</v>
      </c>
      <c r="L342">
        <v>120</v>
      </c>
      <c r="M342">
        <v>32</v>
      </c>
      <c r="N342">
        <v>41</v>
      </c>
      <c r="O342">
        <v>18</v>
      </c>
      <c r="P342">
        <v>2.3619999999999999E-2</v>
      </c>
      <c r="Q342">
        <v>3.83</v>
      </c>
      <c r="R342">
        <v>23.56</v>
      </c>
      <c r="S342">
        <v>6</v>
      </c>
      <c r="T342">
        <v>7</v>
      </c>
      <c r="U342">
        <v>42</v>
      </c>
      <c r="V342">
        <v>141</v>
      </c>
      <c r="W342">
        <v>185.86</v>
      </c>
      <c r="X342">
        <v>0.99204000000000003</v>
      </c>
      <c r="Y342">
        <v>206.75833333333333</v>
      </c>
      <c r="Z342">
        <v>4.8836318333333333</v>
      </c>
      <c r="AA342">
        <v>4.9228174603174599</v>
      </c>
      <c r="AB342">
        <v>584547.15999999992</v>
      </c>
      <c r="AC342">
        <v>5</v>
      </c>
      <c r="AD342" s="1" t="s">
        <v>40</v>
      </c>
      <c r="AE342">
        <v>5</v>
      </c>
      <c r="AF342">
        <v>0</v>
      </c>
      <c r="AG342">
        <v>35.493421052631582</v>
      </c>
    </row>
    <row r="343" spans="1:33">
      <c r="A343" s="1" t="s">
        <v>376</v>
      </c>
      <c r="B343" s="1" t="s">
        <v>1409</v>
      </c>
      <c r="C343" s="2">
        <v>47158</v>
      </c>
      <c r="D343" s="1" t="s">
        <v>34</v>
      </c>
      <c r="E343">
        <v>73</v>
      </c>
      <c r="F343" s="2">
        <v>46081</v>
      </c>
      <c r="G343" s="1" t="s">
        <v>377</v>
      </c>
      <c r="H343" s="1" t="s">
        <v>43</v>
      </c>
      <c r="I343" s="1" t="s">
        <v>37</v>
      </c>
      <c r="J343" s="1" t="s">
        <v>38</v>
      </c>
      <c r="K343" s="1" t="s">
        <v>39</v>
      </c>
      <c r="L343">
        <v>100</v>
      </c>
      <c r="M343">
        <v>55.8</v>
      </c>
      <c r="N343">
        <v>34.1</v>
      </c>
      <c r="O343">
        <v>19.2</v>
      </c>
      <c r="P343">
        <v>3.653E-2</v>
      </c>
      <c r="Q343">
        <v>5.86</v>
      </c>
      <c r="R343">
        <v>9.48</v>
      </c>
      <c r="S343">
        <v>2</v>
      </c>
      <c r="T343">
        <v>3</v>
      </c>
      <c r="U343">
        <v>6</v>
      </c>
      <c r="V343">
        <v>72.599999999999994</v>
      </c>
      <c r="W343">
        <v>60.16</v>
      </c>
      <c r="X343">
        <v>0.2191799999999999</v>
      </c>
      <c r="Y343">
        <v>0.73</v>
      </c>
      <c r="Z343">
        <v>2.66669E-2</v>
      </c>
      <c r="AA343">
        <v>0.12166666666666666</v>
      </c>
      <c r="AB343">
        <v>692.04000000000008</v>
      </c>
      <c r="AC343">
        <v>1</v>
      </c>
      <c r="AD343" s="1" t="s">
        <v>44</v>
      </c>
      <c r="AE343">
        <v>0</v>
      </c>
      <c r="AF343">
        <v>1</v>
      </c>
      <c r="AG343">
        <v>35.42763157894737</v>
      </c>
    </row>
    <row r="344" spans="1:33">
      <c r="A344" s="1" t="s">
        <v>376</v>
      </c>
      <c r="B344" s="1" t="s">
        <v>1410</v>
      </c>
      <c r="C344" s="2">
        <v>46832</v>
      </c>
      <c r="D344" s="1" t="s">
        <v>34</v>
      </c>
      <c r="E344">
        <v>495</v>
      </c>
      <c r="F344" s="2">
        <v>46081</v>
      </c>
      <c r="G344" s="1" t="s">
        <v>377</v>
      </c>
      <c r="H344" s="1" t="s">
        <v>43</v>
      </c>
      <c r="I344" s="1" t="s">
        <v>37</v>
      </c>
      <c r="J344" s="1" t="s">
        <v>38</v>
      </c>
      <c r="K344" s="1" t="s">
        <v>39</v>
      </c>
      <c r="L344">
        <v>100</v>
      </c>
      <c r="M344">
        <v>55.8</v>
      </c>
      <c r="N344">
        <v>34.1</v>
      </c>
      <c r="O344">
        <v>19.2</v>
      </c>
      <c r="P344">
        <v>3.653E-2</v>
      </c>
      <c r="Q344">
        <v>5.86</v>
      </c>
      <c r="R344">
        <v>9.48</v>
      </c>
      <c r="S344">
        <v>2</v>
      </c>
      <c r="T344">
        <v>3</v>
      </c>
      <c r="U344">
        <v>6</v>
      </c>
      <c r="V344">
        <v>72.599999999999994</v>
      </c>
      <c r="W344">
        <v>60.16</v>
      </c>
      <c r="X344">
        <v>0.2191799999999999</v>
      </c>
      <c r="Y344">
        <v>4.95</v>
      </c>
      <c r="Z344">
        <v>0.1808235</v>
      </c>
      <c r="AA344">
        <v>0.82500000000000007</v>
      </c>
      <c r="AB344">
        <v>4692.6000000000004</v>
      </c>
      <c r="AC344">
        <v>1</v>
      </c>
      <c r="AD344" s="1" t="s">
        <v>44</v>
      </c>
      <c r="AE344">
        <v>0</v>
      </c>
      <c r="AF344">
        <v>1</v>
      </c>
      <c r="AG344">
        <v>24.703947368421055</v>
      </c>
    </row>
    <row r="345" spans="1:33">
      <c r="A345" s="1" t="s">
        <v>376</v>
      </c>
      <c r="B345" s="1" t="s">
        <v>1411</v>
      </c>
      <c r="C345" s="2">
        <v>46210</v>
      </c>
      <c r="D345" s="1" t="s">
        <v>34</v>
      </c>
      <c r="E345">
        <v>55</v>
      </c>
      <c r="F345" s="2">
        <v>46081</v>
      </c>
      <c r="G345" s="1" t="s">
        <v>377</v>
      </c>
      <c r="H345" s="1" t="s">
        <v>43</v>
      </c>
      <c r="I345" s="1" t="s">
        <v>37</v>
      </c>
      <c r="J345" s="1" t="s">
        <v>38</v>
      </c>
      <c r="K345" s="1" t="s">
        <v>39</v>
      </c>
      <c r="L345">
        <v>100</v>
      </c>
      <c r="M345">
        <v>55.8</v>
      </c>
      <c r="N345">
        <v>34.1</v>
      </c>
      <c r="O345">
        <v>19.2</v>
      </c>
      <c r="P345">
        <v>3.653E-2</v>
      </c>
      <c r="Q345">
        <v>5.86</v>
      </c>
      <c r="R345">
        <v>9.48</v>
      </c>
      <c r="S345">
        <v>2</v>
      </c>
      <c r="T345">
        <v>3</v>
      </c>
      <c r="U345">
        <v>6</v>
      </c>
      <c r="V345">
        <v>72.599999999999994</v>
      </c>
      <c r="W345">
        <v>60.16</v>
      </c>
      <c r="X345">
        <v>0.2191799999999999</v>
      </c>
      <c r="Y345">
        <v>0.55000000000000004</v>
      </c>
      <c r="Z345">
        <v>2.0091500000000002E-2</v>
      </c>
      <c r="AA345">
        <v>9.1666666666666674E-2</v>
      </c>
      <c r="AB345">
        <v>521.4</v>
      </c>
      <c r="AC345">
        <v>1</v>
      </c>
      <c r="AD345" s="1" t="s">
        <v>44</v>
      </c>
      <c r="AE345">
        <v>0</v>
      </c>
      <c r="AF345">
        <v>1</v>
      </c>
      <c r="AG345">
        <v>4.2434210526315788</v>
      </c>
    </row>
    <row r="346" spans="1:33">
      <c r="A346" s="1" t="s">
        <v>378</v>
      </c>
      <c r="B346" s="1" t="s">
        <v>1412</v>
      </c>
      <c r="C346" s="2">
        <v>46877</v>
      </c>
      <c r="D346" s="1" t="s">
        <v>34</v>
      </c>
      <c r="E346">
        <v>2599</v>
      </c>
      <c r="F346" s="2">
        <v>46081</v>
      </c>
      <c r="G346" s="1" t="s">
        <v>379</v>
      </c>
      <c r="H346" s="1" t="s">
        <v>36</v>
      </c>
      <c r="I346" s="1" t="s">
        <v>37</v>
      </c>
      <c r="J346" s="1" t="s">
        <v>38</v>
      </c>
      <c r="K346" s="1" t="s">
        <v>39</v>
      </c>
      <c r="L346">
        <v>100</v>
      </c>
      <c r="M346">
        <v>31.5</v>
      </c>
      <c r="N346">
        <v>26.1</v>
      </c>
      <c r="O346">
        <v>32.4</v>
      </c>
      <c r="P346">
        <v>2.664E-2</v>
      </c>
      <c r="Q346">
        <v>6.72</v>
      </c>
      <c r="R346">
        <v>9.25</v>
      </c>
      <c r="S346">
        <v>12</v>
      </c>
      <c r="T346">
        <v>2</v>
      </c>
      <c r="U346">
        <v>24</v>
      </c>
      <c r="V346">
        <v>79.8</v>
      </c>
      <c r="W346">
        <v>186.28</v>
      </c>
      <c r="X346">
        <v>0.63936000000000004</v>
      </c>
      <c r="Y346">
        <v>25.99</v>
      </c>
      <c r="Z346">
        <v>0.69237359999999992</v>
      </c>
      <c r="AA346">
        <v>1.0829166666666665</v>
      </c>
      <c r="AB346">
        <v>24040.75</v>
      </c>
      <c r="AC346">
        <v>2</v>
      </c>
      <c r="AD346" s="1" t="s">
        <v>40</v>
      </c>
      <c r="AE346">
        <v>2</v>
      </c>
      <c r="AF346">
        <v>0</v>
      </c>
      <c r="AG346">
        <v>26.184210526315791</v>
      </c>
    </row>
    <row r="347" spans="1:33">
      <c r="A347" s="1" t="s">
        <v>378</v>
      </c>
      <c r="B347" s="1" t="s">
        <v>1413</v>
      </c>
      <c r="C347" s="2">
        <v>47060</v>
      </c>
      <c r="D347" s="1" t="s">
        <v>34</v>
      </c>
      <c r="E347">
        <v>4370</v>
      </c>
      <c r="F347" s="2">
        <v>46081</v>
      </c>
      <c r="G347" s="1" t="s">
        <v>379</v>
      </c>
      <c r="H347" s="1" t="s">
        <v>36</v>
      </c>
      <c r="I347" s="1" t="s">
        <v>37</v>
      </c>
      <c r="J347" s="1" t="s">
        <v>38</v>
      </c>
      <c r="K347" s="1" t="s">
        <v>39</v>
      </c>
      <c r="L347">
        <v>100</v>
      </c>
      <c r="M347">
        <v>31.5</v>
      </c>
      <c r="N347">
        <v>26.1</v>
      </c>
      <c r="O347">
        <v>32.4</v>
      </c>
      <c r="P347">
        <v>2.664E-2</v>
      </c>
      <c r="Q347">
        <v>6.72</v>
      </c>
      <c r="R347">
        <v>9.25</v>
      </c>
      <c r="S347">
        <v>12</v>
      </c>
      <c r="T347">
        <v>2</v>
      </c>
      <c r="U347">
        <v>24</v>
      </c>
      <c r="V347">
        <v>79.8</v>
      </c>
      <c r="W347">
        <v>186.28</v>
      </c>
      <c r="X347">
        <v>0.63936000000000004</v>
      </c>
      <c r="Y347">
        <v>43.7</v>
      </c>
      <c r="Z347">
        <v>1.1641680000000001</v>
      </c>
      <c r="AA347">
        <v>1.8208333333333335</v>
      </c>
      <c r="AB347">
        <v>40422.5</v>
      </c>
      <c r="AC347">
        <v>2</v>
      </c>
      <c r="AD347" s="1" t="s">
        <v>40</v>
      </c>
      <c r="AE347">
        <v>2</v>
      </c>
      <c r="AF347">
        <v>0</v>
      </c>
      <c r="AG347">
        <v>32.203947368421055</v>
      </c>
    </row>
    <row r="348" spans="1:33">
      <c r="A348" s="1" t="s">
        <v>380</v>
      </c>
      <c r="B348" s="1" t="s">
        <v>1414</v>
      </c>
      <c r="C348" s="2">
        <v>46413</v>
      </c>
      <c r="D348" s="1" t="s">
        <v>34</v>
      </c>
      <c r="E348">
        <v>1109</v>
      </c>
      <c r="F348" s="2">
        <v>46081</v>
      </c>
      <c r="G348" s="1" t="s">
        <v>381</v>
      </c>
      <c r="H348" s="1" t="s">
        <v>48</v>
      </c>
      <c r="I348" s="1" t="s">
        <v>37</v>
      </c>
      <c r="J348" s="1" t="s">
        <v>38</v>
      </c>
      <c r="K348" s="1" t="s">
        <v>39</v>
      </c>
      <c r="L348">
        <v>60</v>
      </c>
      <c r="M348">
        <v>50</v>
      </c>
      <c r="N348">
        <v>42.6</v>
      </c>
      <c r="O348">
        <v>33.5</v>
      </c>
      <c r="P348">
        <v>7.1360000000000007E-2</v>
      </c>
      <c r="Q348">
        <v>13</v>
      </c>
      <c r="R348">
        <v>14.96</v>
      </c>
      <c r="S348">
        <v>4</v>
      </c>
      <c r="T348">
        <v>3</v>
      </c>
      <c r="U348">
        <v>12</v>
      </c>
      <c r="V348">
        <v>115.5</v>
      </c>
      <c r="W348">
        <v>181</v>
      </c>
      <c r="X348">
        <v>0.85632000000000008</v>
      </c>
      <c r="Y348">
        <v>18.483333333333334</v>
      </c>
      <c r="Z348">
        <v>1.318970666666667</v>
      </c>
      <c r="AA348">
        <v>1.5402777777777779</v>
      </c>
      <c r="AB348">
        <v>16590.64</v>
      </c>
      <c r="AC348">
        <v>2</v>
      </c>
      <c r="AD348" s="1" t="s">
        <v>40</v>
      </c>
      <c r="AE348">
        <v>2</v>
      </c>
      <c r="AF348">
        <v>0</v>
      </c>
      <c r="AG348">
        <v>10.921052631578949</v>
      </c>
    </row>
    <row r="349" spans="1:33">
      <c r="A349" s="1" t="s">
        <v>380</v>
      </c>
      <c r="B349" s="1" t="s">
        <v>1415</v>
      </c>
      <c r="C349" s="2">
        <v>46483</v>
      </c>
      <c r="D349" s="1" t="s">
        <v>34</v>
      </c>
      <c r="E349">
        <v>465</v>
      </c>
      <c r="F349" s="2">
        <v>46081</v>
      </c>
      <c r="G349" s="1" t="s">
        <v>381</v>
      </c>
      <c r="H349" s="1" t="s">
        <v>48</v>
      </c>
      <c r="I349" s="1" t="s">
        <v>37</v>
      </c>
      <c r="J349" s="1" t="s">
        <v>38</v>
      </c>
      <c r="K349" s="1" t="s">
        <v>39</v>
      </c>
      <c r="L349">
        <v>60</v>
      </c>
      <c r="M349">
        <v>50</v>
      </c>
      <c r="N349">
        <v>42.6</v>
      </c>
      <c r="O349">
        <v>33.5</v>
      </c>
      <c r="P349">
        <v>7.1360000000000007E-2</v>
      </c>
      <c r="Q349">
        <v>13</v>
      </c>
      <c r="R349">
        <v>14.96</v>
      </c>
      <c r="S349">
        <v>4</v>
      </c>
      <c r="T349">
        <v>3</v>
      </c>
      <c r="U349">
        <v>12</v>
      </c>
      <c r="V349">
        <v>115.5</v>
      </c>
      <c r="W349">
        <v>181</v>
      </c>
      <c r="X349">
        <v>0.85632000000000008</v>
      </c>
      <c r="Y349">
        <v>7.75</v>
      </c>
      <c r="Z349">
        <v>0.55304000000000009</v>
      </c>
      <c r="AA349">
        <v>0.64583333333333337</v>
      </c>
      <c r="AB349">
        <v>6956.4000000000015</v>
      </c>
      <c r="AC349">
        <v>1</v>
      </c>
      <c r="AD349" s="1" t="s">
        <v>40</v>
      </c>
      <c r="AE349">
        <v>1</v>
      </c>
      <c r="AF349">
        <v>0</v>
      </c>
      <c r="AG349">
        <v>13.223684210526317</v>
      </c>
    </row>
    <row r="350" spans="1:33">
      <c r="A350" s="1" t="s">
        <v>382</v>
      </c>
      <c r="B350" s="1" t="s">
        <v>1416</v>
      </c>
      <c r="C350" s="2">
        <v>47015</v>
      </c>
      <c r="D350" s="1" t="s">
        <v>34</v>
      </c>
      <c r="E350">
        <v>1330</v>
      </c>
      <c r="F350" s="2">
        <v>46081</v>
      </c>
      <c r="G350" s="1" t="s">
        <v>383</v>
      </c>
      <c r="H350" s="1" t="s">
        <v>70</v>
      </c>
      <c r="I350" s="1" t="s">
        <v>37</v>
      </c>
      <c r="J350" s="1" t="s">
        <v>38</v>
      </c>
      <c r="K350" s="1" t="s">
        <v>39</v>
      </c>
      <c r="L350">
        <v>180</v>
      </c>
      <c r="M350">
        <v>38.5</v>
      </c>
      <c r="N350">
        <v>29.2</v>
      </c>
      <c r="O350">
        <v>24.9</v>
      </c>
      <c r="P350">
        <v>2.7990000000000001E-2</v>
      </c>
      <c r="Q350">
        <v>5.5</v>
      </c>
      <c r="R350">
        <v>10.89</v>
      </c>
      <c r="S350">
        <v>9</v>
      </c>
      <c r="T350">
        <v>5</v>
      </c>
      <c r="U350">
        <v>45</v>
      </c>
      <c r="V350">
        <v>139.5</v>
      </c>
      <c r="W350">
        <v>272.5</v>
      </c>
      <c r="X350">
        <v>1.2595499999999999</v>
      </c>
      <c r="Y350">
        <v>7.3888888888888893</v>
      </c>
      <c r="Z350">
        <v>0.20681500000000003</v>
      </c>
      <c r="AA350">
        <v>0.16419753086419753</v>
      </c>
      <c r="AB350">
        <v>14483.7</v>
      </c>
      <c r="AC350">
        <v>1</v>
      </c>
      <c r="AD350" s="1" t="s">
        <v>44</v>
      </c>
      <c r="AE350">
        <v>0</v>
      </c>
      <c r="AF350">
        <v>1</v>
      </c>
      <c r="AG350">
        <v>30.723684210526319</v>
      </c>
    </row>
    <row r="351" spans="1:33">
      <c r="A351" s="1" t="s">
        <v>382</v>
      </c>
      <c r="B351" s="1" t="s">
        <v>1417</v>
      </c>
      <c r="C351" s="2">
        <v>46902</v>
      </c>
      <c r="D351" s="1" t="s">
        <v>34</v>
      </c>
      <c r="E351">
        <v>6150</v>
      </c>
      <c r="F351" s="2">
        <v>46081</v>
      </c>
      <c r="G351" s="1" t="s">
        <v>383</v>
      </c>
      <c r="H351" s="1" t="s">
        <v>70</v>
      </c>
      <c r="I351" s="1" t="s">
        <v>37</v>
      </c>
      <c r="J351" s="1" t="s">
        <v>38</v>
      </c>
      <c r="K351" s="1" t="s">
        <v>39</v>
      </c>
      <c r="L351">
        <v>180</v>
      </c>
      <c r="M351">
        <v>38.5</v>
      </c>
      <c r="N351">
        <v>29.2</v>
      </c>
      <c r="O351">
        <v>24.9</v>
      </c>
      <c r="P351">
        <v>2.7990000000000001E-2</v>
      </c>
      <c r="Q351">
        <v>5.5</v>
      </c>
      <c r="R351">
        <v>10.89</v>
      </c>
      <c r="S351">
        <v>9</v>
      </c>
      <c r="T351">
        <v>5</v>
      </c>
      <c r="U351">
        <v>45</v>
      </c>
      <c r="V351">
        <v>139.5</v>
      </c>
      <c r="W351">
        <v>272.5</v>
      </c>
      <c r="X351">
        <v>1.2595499999999999</v>
      </c>
      <c r="Y351">
        <v>34.166666666666664</v>
      </c>
      <c r="Z351">
        <v>0.95632499999999998</v>
      </c>
      <c r="AA351">
        <v>0.75925925925925919</v>
      </c>
      <c r="AB351">
        <v>66973.5</v>
      </c>
      <c r="AC351">
        <v>1</v>
      </c>
      <c r="AD351" s="1" t="s">
        <v>40</v>
      </c>
      <c r="AE351">
        <v>1</v>
      </c>
      <c r="AF351">
        <v>0</v>
      </c>
      <c r="AG351">
        <v>27.006578947368421</v>
      </c>
    </row>
    <row r="352" spans="1:33">
      <c r="A352" s="1" t="s">
        <v>382</v>
      </c>
      <c r="B352" s="1" t="s">
        <v>1418</v>
      </c>
      <c r="C352" s="2">
        <v>46053</v>
      </c>
      <c r="D352" s="1" t="s">
        <v>73</v>
      </c>
      <c r="E352">
        <v>598</v>
      </c>
      <c r="F352" s="2">
        <v>46081</v>
      </c>
      <c r="G352" s="1" t="s">
        <v>383</v>
      </c>
      <c r="H352" s="1" t="s">
        <v>70</v>
      </c>
      <c r="I352" s="1" t="s">
        <v>37</v>
      </c>
      <c r="J352" s="1" t="s">
        <v>38</v>
      </c>
      <c r="K352" s="1" t="s">
        <v>39</v>
      </c>
      <c r="L352">
        <v>180</v>
      </c>
      <c r="M352">
        <v>38.5</v>
      </c>
      <c r="N352">
        <v>29.2</v>
      </c>
      <c r="O352">
        <v>24.9</v>
      </c>
      <c r="P352">
        <v>2.7990000000000001E-2</v>
      </c>
      <c r="Q352">
        <v>5.5</v>
      </c>
      <c r="R352">
        <v>10.89</v>
      </c>
      <c r="S352">
        <v>9</v>
      </c>
      <c r="T352">
        <v>5</v>
      </c>
      <c r="U352">
        <v>45</v>
      </c>
      <c r="V352">
        <v>139.5</v>
      </c>
      <c r="W352">
        <v>272.5</v>
      </c>
      <c r="X352">
        <v>1.2595499999999999</v>
      </c>
      <c r="Y352">
        <v>3.3222222222222224</v>
      </c>
      <c r="Z352">
        <v>9.2989000000000002E-2</v>
      </c>
      <c r="AA352">
        <v>7.3827160493827163E-2</v>
      </c>
      <c r="AB352">
        <v>6512.22</v>
      </c>
      <c r="AC352">
        <v>1</v>
      </c>
      <c r="AD352" s="1" t="s">
        <v>74</v>
      </c>
      <c r="AE352">
        <v>0</v>
      </c>
      <c r="AF352">
        <v>0</v>
      </c>
      <c r="AG352">
        <v>-0.92105263157894746</v>
      </c>
    </row>
    <row r="353" spans="1:33">
      <c r="A353" s="1" t="s">
        <v>384</v>
      </c>
      <c r="B353" s="1" t="s">
        <v>1419</v>
      </c>
      <c r="C353" s="2">
        <v>46835</v>
      </c>
      <c r="D353" s="1" t="s">
        <v>34</v>
      </c>
      <c r="E353">
        <v>8832</v>
      </c>
      <c r="F353" s="2">
        <v>46081</v>
      </c>
      <c r="G353" s="1" t="s">
        <v>385</v>
      </c>
      <c r="H353" s="1" t="s">
        <v>70</v>
      </c>
      <c r="I353" s="1" t="s">
        <v>37</v>
      </c>
      <c r="J353" s="1" t="s">
        <v>38</v>
      </c>
      <c r="K353" s="1" t="s">
        <v>39</v>
      </c>
      <c r="L353">
        <v>240</v>
      </c>
      <c r="M353">
        <v>36.799999999999997</v>
      </c>
      <c r="N353">
        <v>39.299999999999997</v>
      </c>
      <c r="O353">
        <v>19.5</v>
      </c>
      <c r="P353">
        <v>2.8199999999999999E-2</v>
      </c>
      <c r="Q353">
        <v>4.97</v>
      </c>
      <c r="R353">
        <v>7.23</v>
      </c>
      <c r="S353">
        <v>6</v>
      </c>
      <c r="T353">
        <v>5</v>
      </c>
      <c r="U353">
        <v>30</v>
      </c>
      <c r="V353">
        <v>112.5</v>
      </c>
      <c r="W353">
        <v>174.1</v>
      </c>
      <c r="X353">
        <v>0.84599999999999997</v>
      </c>
      <c r="Y353">
        <v>36.799999999999997</v>
      </c>
      <c r="Z353">
        <v>1.0377599999999998</v>
      </c>
      <c r="AA353">
        <v>1.2266666666666666</v>
      </c>
      <c r="AB353">
        <v>63855.360000000001</v>
      </c>
      <c r="AC353">
        <v>2</v>
      </c>
      <c r="AD353" s="1" t="s">
        <v>40</v>
      </c>
      <c r="AE353">
        <v>2</v>
      </c>
      <c r="AF353">
        <v>0</v>
      </c>
      <c r="AG353">
        <v>24.80263157894737</v>
      </c>
    </row>
    <row r="354" spans="1:33">
      <c r="A354" s="1" t="s">
        <v>384</v>
      </c>
      <c r="B354" s="1" t="s">
        <v>1420</v>
      </c>
      <c r="C354" s="2">
        <v>47139</v>
      </c>
      <c r="D354" s="1" t="s">
        <v>34</v>
      </c>
      <c r="E354">
        <v>60423</v>
      </c>
      <c r="F354" s="2">
        <v>46081</v>
      </c>
      <c r="G354" s="1" t="s">
        <v>385</v>
      </c>
      <c r="H354" s="1" t="s">
        <v>70</v>
      </c>
      <c r="I354" s="1" t="s">
        <v>37</v>
      </c>
      <c r="J354" s="1" t="s">
        <v>38</v>
      </c>
      <c r="K354" s="1" t="s">
        <v>39</v>
      </c>
      <c r="L354">
        <v>240</v>
      </c>
      <c r="M354">
        <v>36.799999999999997</v>
      </c>
      <c r="N354">
        <v>39.299999999999997</v>
      </c>
      <c r="O354">
        <v>19.5</v>
      </c>
      <c r="P354">
        <v>2.8199999999999999E-2</v>
      </c>
      <c r="Q354">
        <v>4.97</v>
      </c>
      <c r="R354">
        <v>7.23</v>
      </c>
      <c r="S354">
        <v>6</v>
      </c>
      <c r="T354">
        <v>5</v>
      </c>
      <c r="U354">
        <v>30</v>
      </c>
      <c r="V354">
        <v>112.5</v>
      </c>
      <c r="W354">
        <v>174.1</v>
      </c>
      <c r="X354">
        <v>0.84599999999999997</v>
      </c>
      <c r="Y354">
        <v>251.76249999999999</v>
      </c>
      <c r="Z354">
        <v>7.0997024999999994</v>
      </c>
      <c r="AA354">
        <v>8.3920833333333338</v>
      </c>
      <c r="AB354">
        <v>436858.29000000004</v>
      </c>
      <c r="AC354">
        <v>9</v>
      </c>
      <c r="AD354" s="1" t="s">
        <v>40</v>
      </c>
      <c r="AE354">
        <v>9</v>
      </c>
      <c r="AF354">
        <v>0</v>
      </c>
      <c r="AG354">
        <v>34.80263157894737</v>
      </c>
    </row>
    <row r="355" spans="1:33">
      <c r="A355" s="1" t="s">
        <v>384</v>
      </c>
      <c r="B355" s="1" t="s">
        <v>1421</v>
      </c>
      <c r="C355" s="2">
        <v>46940</v>
      </c>
      <c r="D355" s="1" t="s">
        <v>34</v>
      </c>
      <c r="E355">
        <v>19486</v>
      </c>
      <c r="F355" s="2">
        <v>46081</v>
      </c>
      <c r="G355" s="1" t="s">
        <v>385</v>
      </c>
      <c r="H355" s="1" t="s">
        <v>70</v>
      </c>
      <c r="I355" s="1" t="s">
        <v>37</v>
      </c>
      <c r="J355" s="1" t="s">
        <v>38</v>
      </c>
      <c r="K355" s="1" t="s">
        <v>39</v>
      </c>
      <c r="L355">
        <v>240</v>
      </c>
      <c r="M355">
        <v>36.799999999999997</v>
      </c>
      <c r="N355">
        <v>39.299999999999997</v>
      </c>
      <c r="O355">
        <v>19.5</v>
      </c>
      <c r="P355">
        <v>2.8199999999999999E-2</v>
      </c>
      <c r="Q355">
        <v>4.97</v>
      </c>
      <c r="R355">
        <v>7.23</v>
      </c>
      <c r="S355">
        <v>6</v>
      </c>
      <c r="T355">
        <v>5</v>
      </c>
      <c r="U355">
        <v>30</v>
      </c>
      <c r="V355">
        <v>112.5</v>
      </c>
      <c r="W355">
        <v>174.1</v>
      </c>
      <c r="X355">
        <v>0.84599999999999997</v>
      </c>
      <c r="Y355">
        <v>81.191666666666663</v>
      </c>
      <c r="Z355">
        <v>2.2896049999999999</v>
      </c>
      <c r="AA355">
        <v>2.7063888888888887</v>
      </c>
      <c r="AB355">
        <v>140883.78</v>
      </c>
      <c r="AC355">
        <v>3</v>
      </c>
      <c r="AD355" s="1" t="s">
        <v>40</v>
      </c>
      <c r="AE355">
        <v>3</v>
      </c>
      <c r="AF355">
        <v>0</v>
      </c>
      <c r="AG355">
        <v>28.256578947368421</v>
      </c>
    </row>
    <row r="356" spans="1:33">
      <c r="A356" s="1" t="s">
        <v>386</v>
      </c>
      <c r="B356" s="1" t="s">
        <v>1422</v>
      </c>
      <c r="C356" s="2">
        <v>46408</v>
      </c>
      <c r="D356" s="1" t="s">
        <v>34</v>
      </c>
      <c r="E356">
        <v>5987</v>
      </c>
      <c r="F356" s="2">
        <v>46081</v>
      </c>
      <c r="G356" s="1" t="s">
        <v>387</v>
      </c>
      <c r="H356" s="1" t="s">
        <v>36</v>
      </c>
      <c r="I356" s="1" t="s">
        <v>37</v>
      </c>
      <c r="J356" s="1" t="s">
        <v>38</v>
      </c>
      <c r="K356" s="1" t="s">
        <v>39</v>
      </c>
      <c r="L356">
        <v>240</v>
      </c>
      <c r="M356">
        <v>38.200000000000003</v>
      </c>
      <c r="N356">
        <v>31.8</v>
      </c>
      <c r="O356">
        <v>20.6</v>
      </c>
      <c r="P356">
        <v>2.5020000000000001E-2</v>
      </c>
      <c r="Q356">
        <v>3.94</v>
      </c>
      <c r="R356">
        <v>6.64</v>
      </c>
      <c r="S356">
        <v>9</v>
      </c>
      <c r="T356">
        <v>4</v>
      </c>
      <c r="U356">
        <v>36</v>
      </c>
      <c r="V356">
        <v>97.4</v>
      </c>
      <c r="W356">
        <v>166.84</v>
      </c>
      <c r="X356">
        <v>0.90071999999999997</v>
      </c>
      <c r="Y356">
        <v>24.945833333333333</v>
      </c>
      <c r="Z356">
        <v>0.62414475000000003</v>
      </c>
      <c r="AA356">
        <v>0.69293981481481481</v>
      </c>
      <c r="AB356">
        <v>39753.68</v>
      </c>
      <c r="AC356">
        <v>1</v>
      </c>
      <c r="AD356" s="1" t="s">
        <v>40</v>
      </c>
      <c r="AE356">
        <v>1</v>
      </c>
      <c r="AF356">
        <v>0</v>
      </c>
      <c r="AG356">
        <v>10.756578947368421</v>
      </c>
    </row>
    <row r="357" spans="1:33">
      <c r="A357" s="1" t="s">
        <v>388</v>
      </c>
      <c r="B357" s="1" t="s">
        <v>1423</v>
      </c>
      <c r="C357" s="2">
        <v>46566</v>
      </c>
      <c r="D357" s="1" t="s">
        <v>34</v>
      </c>
      <c r="E357">
        <v>1825</v>
      </c>
      <c r="F357" s="2">
        <v>46081</v>
      </c>
      <c r="G357" s="1" t="s">
        <v>389</v>
      </c>
      <c r="H357" s="1" t="s">
        <v>43</v>
      </c>
      <c r="I357" s="1" t="s">
        <v>37</v>
      </c>
      <c r="J357" s="1" t="s">
        <v>38</v>
      </c>
      <c r="K357" s="1" t="s">
        <v>39</v>
      </c>
      <c r="L357">
        <v>240</v>
      </c>
      <c r="M357">
        <v>37.5</v>
      </c>
      <c r="N357">
        <v>40.4</v>
      </c>
      <c r="O357">
        <v>17.600000000000001</v>
      </c>
      <c r="P357">
        <v>2.666E-2</v>
      </c>
      <c r="Q357">
        <v>6.81</v>
      </c>
      <c r="R357">
        <v>6.11</v>
      </c>
      <c r="S357">
        <v>6</v>
      </c>
      <c r="T357">
        <v>6</v>
      </c>
      <c r="U357">
        <v>36</v>
      </c>
      <c r="V357">
        <v>120.6</v>
      </c>
      <c r="W357">
        <v>270.16000000000003</v>
      </c>
      <c r="X357">
        <v>0.95975999999999995</v>
      </c>
      <c r="Y357">
        <v>7.604166666666667</v>
      </c>
      <c r="Z357">
        <v>0.20272708333333334</v>
      </c>
      <c r="AA357">
        <v>0.21122685185185186</v>
      </c>
      <c r="AB357">
        <v>11150.75</v>
      </c>
      <c r="AC357">
        <v>1</v>
      </c>
      <c r="AD357" s="1" t="s">
        <v>44</v>
      </c>
      <c r="AE357">
        <v>0</v>
      </c>
      <c r="AF357">
        <v>1</v>
      </c>
      <c r="AG357">
        <v>15.953947368421053</v>
      </c>
    </row>
    <row r="358" spans="1:33">
      <c r="A358" s="1" t="s">
        <v>388</v>
      </c>
      <c r="B358" s="1" t="s">
        <v>1424</v>
      </c>
      <c r="C358" s="2">
        <v>46400</v>
      </c>
      <c r="D358" s="1" t="s">
        <v>34</v>
      </c>
      <c r="E358">
        <v>1901</v>
      </c>
      <c r="F358" s="2">
        <v>46081</v>
      </c>
      <c r="G358" s="1" t="s">
        <v>389</v>
      </c>
      <c r="H358" s="1" t="s">
        <v>43</v>
      </c>
      <c r="I358" s="1" t="s">
        <v>37</v>
      </c>
      <c r="J358" s="1" t="s">
        <v>38</v>
      </c>
      <c r="K358" s="1" t="s">
        <v>39</v>
      </c>
      <c r="L358">
        <v>240</v>
      </c>
      <c r="M358">
        <v>37.5</v>
      </c>
      <c r="N358">
        <v>40.4</v>
      </c>
      <c r="O358">
        <v>17.600000000000001</v>
      </c>
      <c r="P358">
        <v>2.666E-2</v>
      </c>
      <c r="Q358">
        <v>6.81</v>
      </c>
      <c r="R358">
        <v>6.11</v>
      </c>
      <c r="S358">
        <v>6</v>
      </c>
      <c r="T358">
        <v>6</v>
      </c>
      <c r="U358">
        <v>36</v>
      </c>
      <c r="V358">
        <v>120.6</v>
      </c>
      <c r="W358">
        <v>270.16000000000003</v>
      </c>
      <c r="X358">
        <v>0.95975999999999995</v>
      </c>
      <c r="Y358">
        <v>7.9208333333333334</v>
      </c>
      <c r="Z358">
        <v>0.21116941666666666</v>
      </c>
      <c r="AA358">
        <v>0.22002314814814816</v>
      </c>
      <c r="AB358">
        <v>11615.11</v>
      </c>
      <c r="AC358">
        <v>1</v>
      </c>
      <c r="AD358" s="1" t="s">
        <v>44</v>
      </c>
      <c r="AE358">
        <v>0</v>
      </c>
      <c r="AF358">
        <v>1</v>
      </c>
      <c r="AG358">
        <v>10.493421052631579</v>
      </c>
    </row>
    <row r="359" spans="1:33">
      <c r="A359" s="1" t="s">
        <v>388</v>
      </c>
      <c r="B359" s="1" t="s">
        <v>1425</v>
      </c>
      <c r="C359" s="2">
        <v>46590</v>
      </c>
      <c r="D359" s="1" t="s">
        <v>34</v>
      </c>
      <c r="E359">
        <v>2710</v>
      </c>
      <c r="F359" s="2">
        <v>46081</v>
      </c>
      <c r="G359" s="1" t="s">
        <v>389</v>
      </c>
      <c r="H359" s="1" t="s">
        <v>43</v>
      </c>
      <c r="I359" s="1" t="s">
        <v>37</v>
      </c>
      <c r="J359" s="1" t="s">
        <v>38</v>
      </c>
      <c r="K359" s="1" t="s">
        <v>39</v>
      </c>
      <c r="L359">
        <v>240</v>
      </c>
      <c r="M359">
        <v>37.5</v>
      </c>
      <c r="N359">
        <v>40.4</v>
      </c>
      <c r="O359">
        <v>17.600000000000001</v>
      </c>
      <c r="P359">
        <v>2.666E-2</v>
      </c>
      <c r="Q359">
        <v>6.81</v>
      </c>
      <c r="R359">
        <v>6.11</v>
      </c>
      <c r="S359">
        <v>6</v>
      </c>
      <c r="T359">
        <v>6</v>
      </c>
      <c r="U359">
        <v>36</v>
      </c>
      <c r="V359">
        <v>120.6</v>
      </c>
      <c r="W359">
        <v>270.16000000000003</v>
      </c>
      <c r="X359">
        <v>0.95975999999999995</v>
      </c>
      <c r="Y359">
        <v>11.291666666666666</v>
      </c>
      <c r="Z359">
        <v>0.30103583333333334</v>
      </c>
      <c r="AA359">
        <v>0.31365740740740738</v>
      </c>
      <c r="AB359">
        <v>16558.100000000002</v>
      </c>
      <c r="AC359">
        <v>1</v>
      </c>
      <c r="AD359" s="1" t="s">
        <v>40</v>
      </c>
      <c r="AE359">
        <v>1</v>
      </c>
      <c r="AF359">
        <v>0</v>
      </c>
      <c r="AG359">
        <v>16.743421052631579</v>
      </c>
    </row>
    <row r="360" spans="1:33">
      <c r="A360" s="1" t="s">
        <v>390</v>
      </c>
      <c r="B360" s="1" t="s">
        <v>1426</v>
      </c>
      <c r="C360" s="2">
        <v>46225</v>
      </c>
      <c r="D360" s="1" t="s">
        <v>34</v>
      </c>
      <c r="E360">
        <v>1548</v>
      </c>
      <c r="F360" s="2">
        <v>46081</v>
      </c>
      <c r="G360" s="1" t="s">
        <v>391</v>
      </c>
      <c r="H360" s="1" t="s">
        <v>36</v>
      </c>
      <c r="I360" s="1" t="s">
        <v>37</v>
      </c>
      <c r="J360" s="1" t="s">
        <v>38</v>
      </c>
      <c r="K360" s="1" t="s">
        <v>39</v>
      </c>
      <c r="L360">
        <v>60</v>
      </c>
      <c r="M360">
        <v>49</v>
      </c>
      <c r="N360">
        <v>32</v>
      </c>
      <c r="O360">
        <v>16.5</v>
      </c>
      <c r="P360">
        <v>2.5870000000000001E-2</v>
      </c>
      <c r="Q360">
        <v>6.8</v>
      </c>
      <c r="R360">
        <v>22.78</v>
      </c>
      <c r="S360">
        <v>5</v>
      </c>
      <c r="T360">
        <v>4</v>
      </c>
      <c r="U360">
        <v>20</v>
      </c>
      <c r="V360">
        <v>81</v>
      </c>
      <c r="W360">
        <v>161</v>
      </c>
      <c r="X360">
        <v>0.51739999999999997</v>
      </c>
      <c r="Y360">
        <v>25.8</v>
      </c>
      <c r="Z360">
        <v>0.66744599999999998</v>
      </c>
      <c r="AA360">
        <v>1.29</v>
      </c>
      <c r="AB360">
        <v>35263.440000000002</v>
      </c>
      <c r="AC360">
        <v>2</v>
      </c>
      <c r="AD360" s="1" t="s">
        <v>40</v>
      </c>
      <c r="AE360">
        <v>2</v>
      </c>
      <c r="AF360">
        <v>0</v>
      </c>
      <c r="AG360">
        <v>4.7368421052631584</v>
      </c>
    </row>
    <row r="361" spans="1:33">
      <c r="A361" s="1" t="s">
        <v>390</v>
      </c>
      <c r="B361" s="1" t="s">
        <v>1427</v>
      </c>
      <c r="C361" s="2">
        <v>46557</v>
      </c>
      <c r="D361" s="1" t="s">
        <v>49</v>
      </c>
      <c r="E361">
        <v>77</v>
      </c>
      <c r="F361" s="2">
        <v>46081</v>
      </c>
      <c r="G361" s="1" t="s">
        <v>391</v>
      </c>
      <c r="H361" s="1" t="s">
        <v>36</v>
      </c>
      <c r="I361" s="1" t="s">
        <v>37</v>
      </c>
      <c r="J361" s="1" t="s">
        <v>38</v>
      </c>
      <c r="K361" s="1" t="s">
        <v>39</v>
      </c>
      <c r="L361">
        <v>60</v>
      </c>
      <c r="M361">
        <v>49</v>
      </c>
      <c r="N361">
        <v>32</v>
      </c>
      <c r="O361">
        <v>16.5</v>
      </c>
      <c r="P361">
        <v>2.5870000000000001E-2</v>
      </c>
      <c r="Q361">
        <v>6.8</v>
      </c>
      <c r="R361">
        <v>22.78</v>
      </c>
      <c r="S361">
        <v>5</v>
      </c>
      <c r="T361">
        <v>4</v>
      </c>
      <c r="U361">
        <v>20</v>
      </c>
      <c r="V361">
        <v>81</v>
      </c>
      <c r="W361">
        <v>161</v>
      </c>
      <c r="X361">
        <v>0.51739999999999997</v>
      </c>
      <c r="Y361">
        <v>1.2833333333333334</v>
      </c>
      <c r="Z361">
        <v>3.3199833333333338E-2</v>
      </c>
      <c r="AA361">
        <v>6.4166666666666677E-2</v>
      </c>
      <c r="AB361">
        <v>1754.0600000000002</v>
      </c>
      <c r="AC361">
        <v>1</v>
      </c>
      <c r="AD361" s="1" t="s">
        <v>44</v>
      </c>
      <c r="AE361">
        <v>0</v>
      </c>
      <c r="AF361">
        <v>1</v>
      </c>
      <c r="AG361">
        <v>15.657894736842106</v>
      </c>
    </row>
    <row r="362" spans="1:33">
      <c r="A362" s="1" t="s">
        <v>392</v>
      </c>
      <c r="B362" s="1" t="s">
        <v>1428</v>
      </c>
      <c r="C362" s="2">
        <v>46195</v>
      </c>
      <c r="D362" s="1" t="s">
        <v>34</v>
      </c>
      <c r="E362">
        <v>7014</v>
      </c>
      <c r="F362" s="2">
        <v>46081</v>
      </c>
      <c r="G362" s="1" t="s">
        <v>393</v>
      </c>
      <c r="H362" s="1" t="s">
        <v>48</v>
      </c>
      <c r="I362" s="1" t="s">
        <v>37</v>
      </c>
      <c r="J362" s="1" t="s">
        <v>38</v>
      </c>
      <c r="K362" s="1" t="s">
        <v>39</v>
      </c>
      <c r="L362">
        <v>100</v>
      </c>
      <c r="M362">
        <v>36.299999999999997</v>
      </c>
      <c r="N362">
        <v>34.700000000000003</v>
      </c>
      <c r="O362">
        <v>29.4</v>
      </c>
      <c r="P362">
        <v>3.703E-2</v>
      </c>
      <c r="Q362">
        <v>7.34</v>
      </c>
      <c r="R362">
        <v>8.75</v>
      </c>
      <c r="S362">
        <v>6</v>
      </c>
      <c r="T362">
        <v>3</v>
      </c>
      <c r="U362">
        <v>18</v>
      </c>
      <c r="V362">
        <v>103.2</v>
      </c>
      <c r="W362">
        <v>157.12</v>
      </c>
      <c r="X362">
        <v>0.66654000000000002</v>
      </c>
      <c r="Y362">
        <v>70.14</v>
      </c>
      <c r="Z362">
        <v>2.5972842000000003</v>
      </c>
      <c r="AA362">
        <v>3.8966666666666665</v>
      </c>
      <c r="AB362">
        <v>61372.5</v>
      </c>
      <c r="AC362">
        <v>4</v>
      </c>
      <c r="AD362" s="1" t="s">
        <v>40</v>
      </c>
      <c r="AE362">
        <v>4</v>
      </c>
      <c r="AF362">
        <v>0</v>
      </c>
      <c r="AG362">
        <v>3.75</v>
      </c>
    </row>
    <row r="363" spans="1:33">
      <c r="A363" s="1" t="s">
        <v>394</v>
      </c>
      <c r="B363" s="1" t="s">
        <v>1429</v>
      </c>
      <c r="C363" s="2">
        <v>46585</v>
      </c>
      <c r="D363" s="1" t="s">
        <v>34</v>
      </c>
      <c r="E363">
        <v>1979</v>
      </c>
      <c r="F363" s="2">
        <v>46081</v>
      </c>
      <c r="G363" s="1" t="s">
        <v>395</v>
      </c>
      <c r="H363" s="1" t="s">
        <v>52</v>
      </c>
      <c r="I363" s="1" t="s">
        <v>37</v>
      </c>
      <c r="J363" s="1" t="s">
        <v>38</v>
      </c>
      <c r="K363" s="1" t="s">
        <v>39</v>
      </c>
      <c r="L363">
        <v>60</v>
      </c>
      <c r="M363">
        <v>50.1</v>
      </c>
      <c r="N363">
        <v>37.5</v>
      </c>
      <c r="O363">
        <v>28.7</v>
      </c>
      <c r="P363">
        <v>5.3920000000000003E-2</v>
      </c>
      <c r="Q363">
        <v>8.93</v>
      </c>
      <c r="R363">
        <v>16.670000000000002</v>
      </c>
      <c r="S363">
        <v>4</v>
      </c>
      <c r="T363">
        <v>3</v>
      </c>
      <c r="U363">
        <v>12</v>
      </c>
      <c r="V363">
        <v>101.1</v>
      </c>
      <c r="W363">
        <v>132.16</v>
      </c>
      <c r="X363">
        <v>0.64704000000000006</v>
      </c>
      <c r="Y363">
        <v>32.983333333333334</v>
      </c>
      <c r="Z363">
        <v>1.7784613333333334</v>
      </c>
      <c r="AA363">
        <v>2.7486111111111113</v>
      </c>
      <c r="AB363">
        <v>32989.93</v>
      </c>
      <c r="AC363">
        <v>3</v>
      </c>
      <c r="AD363" s="1" t="s">
        <v>40</v>
      </c>
      <c r="AE363">
        <v>3</v>
      </c>
      <c r="AF363">
        <v>0</v>
      </c>
      <c r="AG363">
        <v>16.578947368421055</v>
      </c>
    </row>
    <row r="364" spans="1:33">
      <c r="A364" s="1" t="s">
        <v>396</v>
      </c>
      <c r="B364" s="1" t="s">
        <v>1430</v>
      </c>
      <c r="C364" s="2">
        <v>46608</v>
      </c>
      <c r="D364" s="1" t="s">
        <v>34</v>
      </c>
      <c r="E364">
        <v>941</v>
      </c>
      <c r="F364" s="2">
        <v>46081</v>
      </c>
      <c r="G364" s="1" t="s">
        <v>397</v>
      </c>
      <c r="H364" s="1" t="s">
        <v>70</v>
      </c>
      <c r="I364" s="1" t="s">
        <v>37</v>
      </c>
      <c r="J364" s="1" t="s">
        <v>38</v>
      </c>
      <c r="K364" s="1" t="s">
        <v>39</v>
      </c>
      <c r="L364">
        <v>180</v>
      </c>
      <c r="M364">
        <v>40.200000000000003</v>
      </c>
      <c r="N364">
        <v>31.4</v>
      </c>
      <c r="O364">
        <v>31.5</v>
      </c>
      <c r="P364">
        <v>3.9759999999999997E-2</v>
      </c>
      <c r="Q364">
        <v>10.38</v>
      </c>
      <c r="R364">
        <v>21.95</v>
      </c>
      <c r="S364">
        <v>6</v>
      </c>
      <c r="T364">
        <v>2</v>
      </c>
      <c r="U364">
        <v>12</v>
      </c>
      <c r="V364">
        <v>78</v>
      </c>
      <c r="W364">
        <v>149.56</v>
      </c>
      <c r="X364">
        <v>0.47711999999999999</v>
      </c>
      <c r="Y364">
        <v>5.2277777777777779</v>
      </c>
      <c r="Z364">
        <v>0.20785644444444443</v>
      </c>
      <c r="AA364">
        <v>0.43564814814814817</v>
      </c>
      <c r="AB364">
        <v>20654.95</v>
      </c>
      <c r="AC364">
        <v>1</v>
      </c>
      <c r="AD364" s="1" t="s">
        <v>44</v>
      </c>
      <c r="AE364">
        <v>0</v>
      </c>
      <c r="AF364">
        <v>1</v>
      </c>
      <c r="AG364">
        <v>17.335526315789476</v>
      </c>
    </row>
    <row r="365" spans="1:33">
      <c r="A365" s="1" t="s">
        <v>396</v>
      </c>
      <c r="B365" s="1" t="s">
        <v>1431</v>
      </c>
      <c r="C365" s="2">
        <v>47096</v>
      </c>
      <c r="D365" s="1" t="s">
        <v>34</v>
      </c>
      <c r="E365">
        <v>4667</v>
      </c>
      <c r="F365" s="2">
        <v>46081</v>
      </c>
      <c r="G365" s="1" t="s">
        <v>397</v>
      </c>
      <c r="H365" s="1" t="s">
        <v>70</v>
      </c>
      <c r="I365" s="1" t="s">
        <v>37</v>
      </c>
      <c r="J365" s="1" t="s">
        <v>38</v>
      </c>
      <c r="K365" s="1" t="s">
        <v>39</v>
      </c>
      <c r="L365">
        <v>180</v>
      </c>
      <c r="M365">
        <v>40.200000000000003</v>
      </c>
      <c r="N365">
        <v>31.4</v>
      </c>
      <c r="O365">
        <v>31.5</v>
      </c>
      <c r="P365">
        <v>3.9759999999999997E-2</v>
      </c>
      <c r="Q365">
        <v>10.38</v>
      </c>
      <c r="R365">
        <v>21.95</v>
      </c>
      <c r="S365">
        <v>6</v>
      </c>
      <c r="T365">
        <v>2</v>
      </c>
      <c r="U365">
        <v>12</v>
      </c>
      <c r="V365">
        <v>78</v>
      </c>
      <c r="W365">
        <v>149.56</v>
      </c>
      <c r="X365">
        <v>0.47711999999999999</v>
      </c>
      <c r="Y365">
        <v>25.927777777777777</v>
      </c>
      <c r="Z365">
        <v>1.0308884444444444</v>
      </c>
      <c r="AA365">
        <v>2.1606481481481481</v>
      </c>
      <c r="AB365">
        <v>102440.65</v>
      </c>
      <c r="AC365">
        <v>3</v>
      </c>
      <c r="AD365" s="1" t="s">
        <v>40</v>
      </c>
      <c r="AE365">
        <v>3</v>
      </c>
      <c r="AF365">
        <v>0</v>
      </c>
      <c r="AG365">
        <v>33.388157894736842</v>
      </c>
    </row>
    <row r="366" spans="1:33">
      <c r="A366" s="1" t="s">
        <v>398</v>
      </c>
      <c r="B366" s="1" t="s">
        <v>1432</v>
      </c>
      <c r="C366" s="2">
        <v>46229</v>
      </c>
      <c r="D366" s="1" t="s">
        <v>34</v>
      </c>
      <c r="E366">
        <v>646</v>
      </c>
      <c r="F366" s="2">
        <v>46081</v>
      </c>
      <c r="G366" s="1" t="s">
        <v>399</v>
      </c>
      <c r="H366" s="1" t="s">
        <v>48</v>
      </c>
      <c r="I366" s="1" t="s">
        <v>37</v>
      </c>
      <c r="J366" s="1" t="s">
        <v>38</v>
      </c>
      <c r="K366" s="1" t="s">
        <v>39</v>
      </c>
      <c r="L366">
        <v>60</v>
      </c>
      <c r="M366">
        <v>50</v>
      </c>
      <c r="N366">
        <v>39.4</v>
      </c>
      <c r="O366">
        <v>17.2</v>
      </c>
      <c r="P366">
        <v>3.388E-2</v>
      </c>
      <c r="Q366">
        <v>9.0500000000000007</v>
      </c>
      <c r="R366">
        <v>4.26</v>
      </c>
      <c r="S366">
        <v>6</v>
      </c>
      <c r="T366">
        <v>4</v>
      </c>
      <c r="U366">
        <v>24</v>
      </c>
      <c r="V366">
        <v>83.8</v>
      </c>
      <c r="W366">
        <v>242.2</v>
      </c>
      <c r="X366">
        <v>0.81312000000000006</v>
      </c>
      <c r="Y366">
        <v>10.766666666666667</v>
      </c>
      <c r="Z366">
        <v>0.36477466666666669</v>
      </c>
      <c r="AA366">
        <v>0.44861111111111113</v>
      </c>
      <c r="AB366">
        <v>2751.96</v>
      </c>
      <c r="AC366">
        <v>1</v>
      </c>
      <c r="AD366" s="1" t="s">
        <v>40</v>
      </c>
      <c r="AE366">
        <v>1</v>
      </c>
      <c r="AF366">
        <v>0</v>
      </c>
      <c r="AG366">
        <v>4.8684210526315788</v>
      </c>
    </row>
    <row r="367" spans="1:33">
      <c r="A367" s="1" t="s">
        <v>398</v>
      </c>
      <c r="B367" s="1" t="s">
        <v>1433</v>
      </c>
      <c r="C367" s="2">
        <v>46351</v>
      </c>
      <c r="D367" s="1" t="s">
        <v>34</v>
      </c>
      <c r="E367">
        <v>685</v>
      </c>
      <c r="F367" s="2">
        <v>46081</v>
      </c>
      <c r="G367" s="1" t="s">
        <v>399</v>
      </c>
      <c r="H367" s="1" t="s">
        <v>48</v>
      </c>
      <c r="I367" s="1" t="s">
        <v>37</v>
      </c>
      <c r="J367" s="1" t="s">
        <v>38</v>
      </c>
      <c r="K367" s="1" t="s">
        <v>39</v>
      </c>
      <c r="L367">
        <v>60</v>
      </c>
      <c r="M367">
        <v>50</v>
      </c>
      <c r="N367">
        <v>39.4</v>
      </c>
      <c r="O367">
        <v>17.2</v>
      </c>
      <c r="P367">
        <v>3.388E-2</v>
      </c>
      <c r="Q367">
        <v>9.0500000000000007</v>
      </c>
      <c r="R367">
        <v>4.26</v>
      </c>
      <c r="S367">
        <v>6</v>
      </c>
      <c r="T367">
        <v>4</v>
      </c>
      <c r="U367">
        <v>24</v>
      </c>
      <c r="V367">
        <v>83.8</v>
      </c>
      <c r="W367">
        <v>242.2</v>
      </c>
      <c r="X367">
        <v>0.81312000000000006</v>
      </c>
      <c r="Y367">
        <v>11.416666666666666</v>
      </c>
      <c r="Z367">
        <v>0.38679666666666668</v>
      </c>
      <c r="AA367">
        <v>0.47569444444444442</v>
      </c>
      <c r="AB367">
        <v>2918.1</v>
      </c>
      <c r="AC367">
        <v>1</v>
      </c>
      <c r="AD367" s="1" t="s">
        <v>40</v>
      </c>
      <c r="AE367">
        <v>1</v>
      </c>
      <c r="AF367">
        <v>0</v>
      </c>
      <c r="AG367">
        <v>8.8815789473684212</v>
      </c>
    </row>
    <row r="368" spans="1:33">
      <c r="A368" s="1" t="s">
        <v>398</v>
      </c>
      <c r="B368" s="1" t="s">
        <v>1434</v>
      </c>
      <c r="C368" s="2">
        <v>47153</v>
      </c>
      <c r="D368" s="1" t="s">
        <v>34</v>
      </c>
      <c r="E368">
        <v>317</v>
      </c>
      <c r="F368" s="2">
        <v>46081</v>
      </c>
      <c r="G368" s="1" t="s">
        <v>399</v>
      </c>
      <c r="H368" s="1" t="s">
        <v>48</v>
      </c>
      <c r="I368" s="1" t="s">
        <v>37</v>
      </c>
      <c r="J368" s="1" t="s">
        <v>38</v>
      </c>
      <c r="K368" s="1" t="s">
        <v>39</v>
      </c>
      <c r="L368">
        <v>60</v>
      </c>
      <c r="M368">
        <v>50</v>
      </c>
      <c r="N368">
        <v>39.4</v>
      </c>
      <c r="O368">
        <v>17.2</v>
      </c>
      <c r="P368">
        <v>3.388E-2</v>
      </c>
      <c r="Q368">
        <v>9.0500000000000007</v>
      </c>
      <c r="R368">
        <v>4.26</v>
      </c>
      <c r="S368">
        <v>6</v>
      </c>
      <c r="T368">
        <v>4</v>
      </c>
      <c r="U368">
        <v>24</v>
      </c>
      <c r="V368">
        <v>83.8</v>
      </c>
      <c r="W368">
        <v>242.2</v>
      </c>
      <c r="X368">
        <v>0.81312000000000006</v>
      </c>
      <c r="Y368">
        <v>5.2833333333333332</v>
      </c>
      <c r="Z368">
        <v>0.17899933333333334</v>
      </c>
      <c r="AA368">
        <v>0.22013888888888888</v>
      </c>
      <c r="AB368">
        <v>1350.4199999999998</v>
      </c>
      <c r="AC368">
        <v>1</v>
      </c>
      <c r="AD368" s="1" t="s">
        <v>44</v>
      </c>
      <c r="AE368">
        <v>0</v>
      </c>
      <c r="AF368">
        <v>1</v>
      </c>
      <c r="AG368">
        <v>35.263157894736842</v>
      </c>
    </row>
    <row r="369" spans="1:33">
      <c r="A369" s="1" t="s">
        <v>400</v>
      </c>
      <c r="B369" s="1" t="s">
        <v>1435</v>
      </c>
      <c r="C369" s="2">
        <v>46489</v>
      </c>
      <c r="D369" s="1" t="s">
        <v>34</v>
      </c>
      <c r="E369">
        <v>43</v>
      </c>
      <c r="F369" s="2">
        <v>46081</v>
      </c>
      <c r="G369" s="1" t="s">
        <v>401</v>
      </c>
      <c r="H369" s="1" t="s">
        <v>36</v>
      </c>
      <c r="I369" s="1" t="s">
        <v>37</v>
      </c>
      <c r="J369" s="1" t="s">
        <v>38</v>
      </c>
      <c r="K369" s="1" t="s">
        <v>39</v>
      </c>
      <c r="L369">
        <v>180</v>
      </c>
      <c r="M369">
        <v>36.200000000000003</v>
      </c>
      <c r="N369">
        <v>44</v>
      </c>
      <c r="O369">
        <v>17.899999999999999</v>
      </c>
      <c r="P369">
        <v>2.8510000000000001E-2</v>
      </c>
      <c r="Q369">
        <v>4.57</v>
      </c>
      <c r="R369">
        <v>18.940000000000001</v>
      </c>
      <c r="S369">
        <v>4</v>
      </c>
      <c r="T369">
        <v>6</v>
      </c>
      <c r="U369">
        <v>24</v>
      </c>
      <c r="V369">
        <v>122.4</v>
      </c>
      <c r="W369">
        <v>134.68</v>
      </c>
      <c r="X369">
        <v>0.68423999999999996</v>
      </c>
      <c r="Y369">
        <v>0.2388888888888889</v>
      </c>
      <c r="Z369">
        <v>6.8107222222222224E-3</v>
      </c>
      <c r="AA369">
        <v>9.9537037037037042E-3</v>
      </c>
      <c r="AB369">
        <v>814.42000000000007</v>
      </c>
      <c r="AC369">
        <v>1</v>
      </c>
      <c r="AD369" s="1" t="s">
        <v>44</v>
      </c>
      <c r="AE369">
        <v>0</v>
      </c>
      <c r="AF369">
        <v>1</v>
      </c>
      <c r="AG369">
        <v>13.421052631578949</v>
      </c>
    </row>
    <row r="370" spans="1:33">
      <c r="A370" s="1" t="s">
        <v>400</v>
      </c>
      <c r="B370" s="1" t="s">
        <v>1436</v>
      </c>
      <c r="C370" s="2">
        <v>47009</v>
      </c>
      <c r="D370" s="1" t="s">
        <v>34</v>
      </c>
      <c r="E370">
        <v>35</v>
      </c>
      <c r="F370" s="2">
        <v>46081</v>
      </c>
      <c r="G370" s="1" t="s">
        <v>401</v>
      </c>
      <c r="H370" s="1" t="s">
        <v>36</v>
      </c>
      <c r="I370" s="1" t="s">
        <v>37</v>
      </c>
      <c r="J370" s="1" t="s">
        <v>38</v>
      </c>
      <c r="K370" s="1" t="s">
        <v>39</v>
      </c>
      <c r="L370">
        <v>180</v>
      </c>
      <c r="M370">
        <v>36.200000000000003</v>
      </c>
      <c r="N370">
        <v>44</v>
      </c>
      <c r="O370">
        <v>17.899999999999999</v>
      </c>
      <c r="P370">
        <v>2.8510000000000001E-2</v>
      </c>
      <c r="Q370">
        <v>4.57</v>
      </c>
      <c r="R370">
        <v>18.940000000000001</v>
      </c>
      <c r="S370">
        <v>4</v>
      </c>
      <c r="T370">
        <v>6</v>
      </c>
      <c r="U370">
        <v>24</v>
      </c>
      <c r="V370">
        <v>122.4</v>
      </c>
      <c r="W370">
        <v>134.68</v>
      </c>
      <c r="X370">
        <v>0.68423999999999996</v>
      </c>
      <c r="Y370">
        <v>0.19444444444444445</v>
      </c>
      <c r="Z370">
        <v>5.5436111111111111E-3</v>
      </c>
      <c r="AA370">
        <v>8.1018518518518514E-3</v>
      </c>
      <c r="AB370">
        <v>662.90000000000009</v>
      </c>
      <c r="AC370">
        <v>1</v>
      </c>
      <c r="AD370" s="1" t="s">
        <v>44</v>
      </c>
      <c r="AE370">
        <v>0</v>
      </c>
      <c r="AF370">
        <v>1</v>
      </c>
      <c r="AG370">
        <v>30.526315789473685</v>
      </c>
    </row>
    <row r="371" spans="1:33">
      <c r="A371" s="1" t="s">
        <v>402</v>
      </c>
      <c r="B371" s="1" t="s">
        <v>1437</v>
      </c>
      <c r="C371" s="2">
        <v>46828</v>
      </c>
      <c r="D371" s="1" t="s">
        <v>34</v>
      </c>
      <c r="E371">
        <v>19223</v>
      </c>
      <c r="F371" s="2">
        <v>46081</v>
      </c>
      <c r="G371" s="1" t="s">
        <v>403</v>
      </c>
      <c r="H371" s="1" t="s">
        <v>67</v>
      </c>
      <c r="I371" s="1" t="s">
        <v>37</v>
      </c>
      <c r="J371" s="1" t="s">
        <v>38</v>
      </c>
      <c r="K371" s="1" t="s">
        <v>39</v>
      </c>
      <c r="L371">
        <v>240</v>
      </c>
      <c r="M371">
        <v>58.5</v>
      </c>
      <c r="N371">
        <v>39</v>
      </c>
      <c r="O371">
        <v>22.3</v>
      </c>
      <c r="P371">
        <v>5.0880000000000002E-2</v>
      </c>
      <c r="Q371">
        <v>12.81</v>
      </c>
      <c r="R371">
        <v>8.16</v>
      </c>
      <c r="S371">
        <v>4</v>
      </c>
      <c r="T371">
        <v>4</v>
      </c>
      <c r="U371">
        <v>16</v>
      </c>
      <c r="V371">
        <v>104.2</v>
      </c>
      <c r="W371">
        <v>229.96</v>
      </c>
      <c r="X371">
        <v>0.81408000000000003</v>
      </c>
      <c r="Y371">
        <v>80.095833333333331</v>
      </c>
      <c r="Z371">
        <v>4.0752759999999997</v>
      </c>
      <c r="AA371">
        <v>5.0059895833333332</v>
      </c>
      <c r="AB371">
        <v>156859.68</v>
      </c>
      <c r="AC371">
        <v>6</v>
      </c>
      <c r="AD371" s="1" t="s">
        <v>40</v>
      </c>
      <c r="AE371">
        <v>6</v>
      </c>
      <c r="AF371">
        <v>0</v>
      </c>
      <c r="AG371">
        <v>24.572368421052634</v>
      </c>
    </row>
    <row r="372" spans="1:33">
      <c r="A372" s="1" t="s">
        <v>402</v>
      </c>
      <c r="B372" s="1" t="s">
        <v>1438</v>
      </c>
      <c r="C372" s="2">
        <v>47062</v>
      </c>
      <c r="D372" s="1" t="s">
        <v>34</v>
      </c>
      <c r="E372">
        <v>432</v>
      </c>
      <c r="F372" s="2">
        <v>46081</v>
      </c>
      <c r="G372" s="1" t="s">
        <v>403</v>
      </c>
      <c r="H372" s="1" t="s">
        <v>67</v>
      </c>
      <c r="I372" s="1" t="s">
        <v>37</v>
      </c>
      <c r="J372" s="1" t="s">
        <v>38</v>
      </c>
      <c r="K372" s="1" t="s">
        <v>39</v>
      </c>
      <c r="L372">
        <v>240</v>
      </c>
      <c r="M372">
        <v>58.5</v>
      </c>
      <c r="N372">
        <v>39</v>
      </c>
      <c r="O372">
        <v>22.3</v>
      </c>
      <c r="P372">
        <v>5.0880000000000002E-2</v>
      </c>
      <c r="Q372">
        <v>12.81</v>
      </c>
      <c r="R372">
        <v>8.16</v>
      </c>
      <c r="S372">
        <v>4</v>
      </c>
      <c r="T372">
        <v>4</v>
      </c>
      <c r="U372">
        <v>16</v>
      </c>
      <c r="V372">
        <v>104.2</v>
      </c>
      <c r="W372">
        <v>229.96</v>
      </c>
      <c r="X372">
        <v>0.81408000000000003</v>
      </c>
      <c r="Y372">
        <v>1.8</v>
      </c>
      <c r="Z372">
        <v>9.1583999999999999E-2</v>
      </c>
      <c r="AA372">
        <v>0.1125</v>
      </c>
      <c r="AB372">
        <v>3525.12</v>
      </c>
      <c r="AC372">
        <v>1</v>
      </c>
      <c r="AD372" s="1" t="s">
        <v>44</v>
      </c>
      <c r="AE372">
        <v>0</v>
      </c>
      <c r="AF372">
        <v>1</v>
      </c>
      <c r="AG372">
        <v>32.269736842105267</v>
      </c>
    </row>
    <row r="373" spans="1:33">
      <c r="A373" s="1" t="s">
        <v>404</v>
      </c>
      <c r="B373" s="1" t="s">
        <v>1439</v>
      </c>
      <c r="C373" s="2">
        <v>46343</v>
      </c>
      <c r="D373" s="1" t="s">
        <v>34</v>
      </c>
      <c r="E373">
        <v>1729</v>
      </c>
      <c r="F373" s="2">
        <v>46081</v>
      </c>
      <c r="G373" s="1" t="s">
        <v>405</v>
      </c>
      <c r="H373" s="1" t="s">
        <v>48</v>
      </c>
      <c r="I373" s="1" t="s">
        <v>37</v>
      </c>
      <c r="J373" s="1" t="s">
        <v>38</v>
      </c>
      <c r="K373" s="1" t="s">
        <v>39</v>
      </c>
      <c r="L373">
        <v>120</v>
      </c>
      <c r="M373">
        <v>52.6</v>
      </c>
      <c r="N373">
        <v>43.1</v>
      </c>
      <c r="O373">
        <v>27.8</v>
      </c>
      <c r="P373">
        <v>6.3020000000000007E-2</v>
      </c>
      <c r="Q373">
        <v>12.5</v>
      </c>
      <c r="R373">
        <v>24.13</v>
      </c>
      <c r="S373">
        <v>2</v>
      </c>
      <c r="T373">
        <v>3</v>
      </c>
      <c r="U373">
        <v>6</v>
      </c>
      <c r="V373">
        <v>98.4</v>
      </c>
      <c r="W373">
        <v>100</v>
      </c>
      <c r="X373">
        <v>0.37812000000000001</v>
      </c>
      <c r="Y373">
        <v>14.408333333333333</v>
      </c>
      <c r="Z373">
        <v>0.90801316666666676</v>
      </c>
      <c r="AA373">
        <v>2.401388888888889</v>
      </c>
      <c r="AB373">
        <v>41720.769999999997</v>
      </c>
      <c r="AC373">
        <v>3</v>
      </c>
      <c r="AD373" s="1" t="s">
        <v>40</v>
      </c>
      <c r="AE373">
        <v>3</v>
      </c>
      <c r="AF373">
        <v>0</v>
      </c>
      <c r="AG373">
        <v>8.6184210526315788</v>
      </c>
    </row>
    <row r="374" spans="1:33">
      <c r="A374" s="1" t="s">
        <v>404</v>
      </c>
      <c r="B374" s="1" t="s">
        <v>1440</v>
      </c>
      <c r="C374" s="2">
        <v>46591</v>
      </c>
      <c r="D374" s="1" t="s">
        <v>34</v>
      </c>
      <c r="E374">
        <v>354</v>
      </c>
      <c r="F374" s="2">
        <v>46081</v>
      </c>
      <c r="G374" s="1" t="s">
        <v>405</v>
      </c>
      <c r="H374" s="1" t="s">
        <v>48</v>
      </c>
      <c r="I374" s="1" t="s">
        <v>37</v>
      </c>
      <c r="J374" s="1" t="s">
        <v>38</v>
      </c>
      <c r="K374" s="1" t="s">
        <v>39</v>
      </c>
      <c r="L374">
        <v>120</v>
      </c>
      <c r="M374">
        <v>52.6</v>
      </c>
      <c r="N374">
        <v>43.1</v>
      </c>
      <c r="O374">
        <v>27.8</v>
      </c>
      <c r="P374">
        <v>6.3020000000000007E-2</v>
      </c>
      <c r="Q374">
        <v>12.5</v>
      </c>
      <c r="R374">
        <v>24.13</v>
      </c>
      <c r="S374">
        <v>2</v>
      </c>
      <c r="T374">
        <v>3</v>
      </c>
      <c r="U374">
        <v>6</v>
      </c>
      <c r="V374">
        <v>98.4</v>
      </c>
      <c r="W374">
        <v>100</v>
      </c>
      <c r="X374">
        <v>0.37812000000000001</v>
      </c>
      <c r="Y374">
        <v>2.95</v>
      </c>
      <c r="Z374">
        <v>0.18590900000000002</v>
      </c>
      <c r="AA374">
        <v>0.4916666666666667</v>
      </c>
      <c r="AB374">
        <v>8542.02</v>
      </c>
      <c r="AC374">
        <v>1</v>
      </c>
      <c r="AD374" s="1" t="s">
        <v>44</v>
      </c>
      <c r="AE374">
        <v>0</v>
      </c>
      <c r="AF374">
        <v>1</v>
      </c>
      <c r="AG374">
        <v>16.776315789473685</v>
      </c>
    </row>
    <row r="375" spans="1:33">
      <c r="A375" s="1" t="s">
        <v>404</v>
      </c>
      <c r="B375" s="1" t="s">
        <v>1441</v>
      </c>
      <c r="C375" s="2">
        <v>46637</v>
      </c>
      <c r="D375" s="1" t="s">
        <v>49</v>
      </c>
      <c r="E375">
        <v>104</v>
      </c>
      <c r="F375" s="2">
        <v>46081</v>
      </c>
      <c r="G375" s="1" t="s">
        <v>405</v>
      </c>
      <c r="H375" s="1" t="s">
        <v>48</v>
      </c>
      <c r="I375" s="1" t="s">
        <v>37</v>
      </c>
      <c r="J375" s="1" t="s">
        <v>38</v>
      </c>
      <c r="K375" s="1" t="s">
        <v>39</v>
      </c>
      <c r="L375">
        <v>120</v>
      </c>
      <c r="M375">
        <v>52.6</v>
      </c>
      <c r="N375">
        <v>43.1</v>
      </c>
      <c r="O375">
        <v>27.8</v>
      </c>
      <c r="P375">
        <v>6.3020000000000007E-2</v>
      </c>
      <c r="Q375">
        <v>12.5</v>
      </c>
      <c r="R375">
        <v>24.13</v>
      </c>
      <c r="S375">
        <v>2</v>
      </c>
      <c r="T375">
        <v>3</v>
      </c>
      <c r="U375">
        <v>6</v>
      </c>
      <c r="V375">
        <v>98.4</v>
      </c>
      <c r="W375">
        <v>100</v>
      </c>
      <c r="X375">
        <v>0.37812000000000001</v>
      </c>
      <c r="Y375">
        <v>0.8666666666666667</v>
      </c>
      <c r="Z375">
        <v>5.4617333333333344E-2</v>
      </c>
      <c r="AA375">
        <v>0.14444444444444446</v>
      </c>
      <c r="AB375">
        <v>2509.52</v>
      </c>
      <c r="AC375">
        <v>1</v>
      </c>
      <c r="AD375" s="1" t="s">
        <v>44</v>
      </c>
      <c r="AE375">
        <v>0</v>
      </c>
      <c r="AF375">
        <v>1</v>
      </c>
      <c r="AG375">
        <v>18.289473684210527</v>
      </c>
    </row>
    <row r="376" spans="1:33">
      <c r="A376" s="1" t="s">
        <v>406</v>
      </c>
      <c r="B376" s="1" t="s">
        <v>1442</v>
      </c>
      <c r="C376" s="2">
        <v>46437</v>
      </c>
      <c r="D376" s="1" t="s">
        <v>34</v>
      </c>
      <c r="E376">
        <v>10646</v>
      </c>
      <c r="F376" s="2">
        <v>46081</v>
      </c>
      <c r="G376" s="1" t="s">
        <v>407</v>
      </c>
      <c r="H376" s="1" t="s">
        <v>67</v>
      </c>
      <c r="I376" s="1" t="s">
        <v>37</v>
      </c>
      <c r="J376" s="1" t="s">
        <v>38</v>
      </c>
      <c r="K376" s="1" t="s">
        <v>39</v>
      </c>
      <c r="L376">
        <v>60</v>
      </c>
      <c r="M376">
        <v>48.6</v>
      </c>
      <c r="N376">
        <v>27</v>
      </c>
      <c r="O376">
        <v>26.2</v>
      </c>
      <c r="P376">
        <v>3.4380000000000001E-2</v>
      </c>
      <c r="Q376">
        <v>6.75</v>
      </c>
      <c r="R376">
        <v>7.73</v>
      </c>
      <c r="S376">
        <v>8</v>
      </c>
      <c r="T376">
        <v>3</v>
      </c>
      <c r="U376">
        <v>24</v>
      </c>
      <c r="V376">
        <v>93.6</v>
      </c>
      <c r="W376">
        <v>187</v>
      </c>
      <c r="X376">
        <v>0.82512000000000008</v>
      </c>
      <c r="Y376">
        <v>177.43333333333334</v>
      </c>
      <c r="Z376">
        <v>6.1001580000000004</v>
      </c>
      <c r="AA376">
        <v>7.3930555555555557</v>
      </c>
      <c r="AB376">
        <v>82293.58</v>
      </c>
      <c r="AC376">
        <v>8</v>
      </c>
      <c r="AD376" s="1" t="s">
        <v>40</v>
      </c>
      <c r="AE376">
        <v>8</v>
      </c>
      <c r="AF376">
        <v>0</v>
      </c>
      <c r="AG376">
        <v>11.710526315789474</v>
      </c>
    </row>
    <row r="377" spans="1:33">
      <c r="A377" s="1" t="s">
        <v>406</v>
      </c>
      <c r="B377" s="1" t="s">
        <v>1443</v>
      </c>
      <c r="C377" s="2">
        <v>46606</v>
      </c>
      <c r="D377" s="1" t="s">
        <v>34</v>
      </c>
      <c r="E377">
        <v>17730</v>
      </c>
      <c r="F377" s="2">
        <v>46081</v>
      </c>
      <c r="G377" s="1" t="s">
        <v>407</v>
      </c>
      <c r="H377" s="1" t="s">
        <v>67</v>
      </c>
      <c r="I377" s="1" t="s">
        <v>37</v>
      </c>
      <c r="J377" s="1" t="s">
        <v>38</v>
      </c>
      <c r="K377" s="1" t="s">
        <v>39</v>
      </c>
      <c r="L377">
        <v>60</v>
      </c>
      <c r="M377">
        <v>48.6</v>
      </c>
      <c r="N377">
        <v>27</v>
      </c>
      <c r="O377">
        <v>26.2</v>
      </c>
      <c r="P377">
        <v>3.4380000000000001E-2</v>
      </c>
      <c r="Q377">
        <v>6.75</v>
      </c>
      <c r="R377">
        <v>7.73</v>
      </c>
      <c r="S377">
        <v>8</v>
      </c>
      <c r="T377">
        <v>3</v>
      </c>
      <c r="U377">
        <v>24</v>
      </c>
      <c r="V377">
        <v>93.6</v>
      </c>
      <c r="W377">
        <v>187</v>
      </c>
      <c r="X377">
        <v>0.82512000000000008</v>
      </c>
      <c r="Y377">
        <v>295.5</v>
      </c>
      <c r="Z377">
        <v>10.15929</v>
      </c>
      <c r="AA377">
        <v>12.3125</v>
      </c>
      <c r="AB377">
        <v>137052.9</v>
      </c>
      <c r="AC377">
        <v>13</v>
      </c>
      <c r="AD377" s="1" t="s">
        <v>40</v>
      </c>
      <c r="AE377">
        <v>13</v>
      </c>
      <c r="AF377">
        <v>0</v>
      </c>
      <c r="AG377">
        <v>17.269736842105264</v>
      </c>
    </row>
    <row r="378" spans="1:33">
      <c r="A378" s="1" t="s">
        <v>406</v>
      </c>
      <c r="B378" s="1" t="s">
        <v>1444</v>
      </c>
      <c r="C378" s="2">
        <v>45773</v>
      </c>
      <c r="D378" s="1" t="s">
        <v>73</v>
      </c>
      <c r="E378">
        <v>2270</v>
      </c>
      <c r="F378" s="2">
        <v>46081</v>
      </c>
      <c r="G378" s="1" t="s">
        <v>407</v>
      </c>
      <c r="H378" s="1" t="s">
        <v>67</v>
      </c>
      <c r="I378" s="1" t="s">
        <v>37</v>
      </c>
      <c r="J378" s="1" t="s">
        <v>38</v>
      </c>
      <c r="K378" s="1" t="s">
        <v>39</v>
      </c>
      <c r="L378">
        <v>60</v>
      </c>
      <c r="M378">
        <v>48.6</v>
      </c>
      <c r="N378">
        <v>27</v>
      </c>
      <c r="O378">
        <v>26.2</v>
      </c>
      <c r="P378">
        <v>3.4380000000000001E-2</v>
      </c>
      <c r="Q378">
        <v>6.75</v>
      </c>
      <c r="R378">
        <v>7.73</v>
      </c>
      <c r="S378">
        <v>8</v>
      </c>
      <c r="T378">
        <v>3</v>
      </c>
      <c r="U378">
        <v>24</v>
      </c>
      <c r="V378">
        <v>93.6</v>
      </c>
      <c r="W378">
        <v>187</v>
      </c>
      <c r="X378">
        <v>0.82512000000000008</v>
      </c>
      <c r="Y378">
        <v>37.833333333333336</v>
      </c>
      <c r="Z378">
        <v>1.30071</v>
      </c>
      <c r="AA378">
        <v>1.5763888888888891</v>
      </c>
      <c r="AB378">
        <v>17547.100000000002</v>
      </c>
      <c r="AC378">
        <v>2</v>
      </c>
      <c r="AD378" s="1" t="s">
        <v>74</v>
      </c>
      <c r="AE378">
        <v>0</v>
      </c>
      <c r="AF378">
        <v>0</v>
      </c>
      <c r="AG378">
        <v>-10.131578947368421</v>
      </c>
    </row>
    <row r="379" spans="1:33">
      <c r="A379" s="1" t="s">
        <v>408</v>
      </c>
      <c r="B379" s="1" t="s">
        <v>1445</v>
      </c>
      <c r="C379" s="2">
        <v>46565</v>
      </c>
      <c r="D379" s="1" t="s">
        <v>34</v>
      </c>
      <c r="E379">
        <v>716</v>
      </c>
      <c r="F379" s="2">
        <v>46081</v>
      </c>
      <c r="G379" s="1" t="s">
        <v>409</v>
      </c>
      <c r="H379" s="1" t="s">
        <v>48</v>
      </c>
      <c r="I379" s="1" t="s">
        <v>37</v>
      </c>
      <c r="J379" s="1" t="s">
        <v>38</v>
      </c>
      <c r="K379" s="1" t="s">
        <v>39</v>
      </c>
      <c r="L379">
        <v>180</v>
      </c>
      <c r="M379">
        <v>38.1</v>
      </c>
      <c r="N379">
        <v>29.4</v>
      </c>
      <c r="O379">
        <v>18.899999999999999</v>
      </c>
      <c r="P379">
        <v>2.1170000000000001E-2</v>
      </c>
      <c r="Q379">
        <v>3.89</v>
      </c>
      <c r="R379">
        <v>21.23</v>
      </c>
      <c r="S379">
        <v>9</v>
      </c>
      <c r="T379">
        <v>6</v>
      </c>
      <c r="U379">
        <v>54</v>
      </c>
      <c r="V379">
        <v>128.39999999999998</v>
      </c>
      <c r="W379">
        <v>235.06</v>
      </c>
      <c r="X379">
        <v>1.1431800000000001</v>
      </c>
      <c r="Y379">
        <v>3.9777777777777779</v>
      </c>
      <c r="Z379">
        <v>8.4209555555555565E-2</v>
      </c>
      <c r="AA379">
        <v>7.3662551440329224E-2</v>
      </c>
      <c r="AB379">
        <v>15200.68</v>
      </c>
      <c r="AC379">
        <v>1</v>
      </c>
      <c r="AD379" s="1" t="s">
        <v>44</v>
      </c>
      <c r="AE379">
        <v>0</v>
      </c>
      <c r="AF379">
        <v>1</v>
      </c>
      <c r="AG379">
        <v>15.921052631578949</v>
      </c>
    </row>
    <row r="380" spans="1:33">
      <c r="A380" s="1" t="s">
        <v>410</v>
      </c>
      <c r="B380" s="1" t="s">
        <v>1446</v>
      </c>
      <c r="C380" s="2">
        <v>46555</v>
      </c>
      <c r="D380" s="1" t="s">
        <v>34</v>
      </c>
      <c r="E380">
        <v>17610</v>
      </c>
      <c r="F380" s="2">
        <v>46081</v>
      </c>
      <c r="G380" s="1" t="s">
        <v>411</v>
      </c>
      <c r="H380" s="1" t="s">
        <v>43</v>
      </c>
      <c r="I380" s="1" t="s">
        <v>37</v>
      </c>
      <c r="J380" s="1" t="s">
        <v>38</v>
      </c>
      <c r="K380" s="1" t="s">
        <v>39</v>
      </c>
      <c r="L380">
        <v>120</v>
      </c>
      <c r="M380">
        <v>43.1</v>
      </c>
      <c r="N380">
        <v>28.1</v>
      </c>
      <c r="O380">
        <v>27.5</v>
      </c>
      <c r="P380">
        <v>3.3309999999999999E-2</v>
      </c>
      <c r="Q380">
        <v>8.89</v>
      </c>
      <c r="R380">
        <v>9.08</v>
      </c>
      <c r="S380">
        <v>7</v>
      </c>
      <c r="T380">
        <v>3</v>
      </c>
      <c r="U380">
        <v>21</v>
      </c>
      <c r="V380">
        <v>97.5</v>
      </c>
      <c r="W380">
        <v>211.69</v>
      </c>
      <c r="X380">
        <v>0.69950999999999997</v>
      </c>
      <c r="Y380">
        <v>146.75</v>
      </c>
      <c r="Z380">
        <v>4.8882424999999996</v>
      </c>
      <c r="AA380">
        <v>6.9880952380952381</v>
      </c>
      <c r="AB380">
        <v>159898.79999999999</v>
      </c>
      <c r="AC380">
        <v>7</v>
      </c>
      <c r="AD380" s="1" t="s">
        <v>40</v>
      </c>
      <c r="AE380">
        <v>7</v>
      </c>
      <c r="AF380">
        <v>0</v>
      </c>
      <c r="AG380">
        <v>15.592105263157896</v>
      </c>
    </row>
    <row r="381" spans="1:33">
      <c r="A381" s="1" t="s">
        <v>410</v>
      </c>
      <c r="B381" s="1" t="s">
        <v>1447</v>
      </c>
      <c r="C381" s="2">
        <v>46507</v>
      </c>
      <c r="D381" s="1" t="s">
        <v>49</v>
      </c>
      <c r="E381">
        <v>880</v>
      </c>
      <c r="F381" s="2">
        <v>46081</v>
      </c>
      <c r="G381" s="1" t="s">
        <v>411</v>
      </c>
      <c r="H381" s="1" t="s">
        <v>43</v>
      </c>
      <c r="I381" s="1" t="s">
        <v>37</v>
      </c>
      <c r="J381" s="1" t="s">
        <v>38</v>
      </c>
      <c r="K381" s="1" t="s">
        <v>39</v>
      </c>
      <c r="L381">
        <v>120</v>
      </c>
      <c r="M381">
        <v>43.1</v>
      </c>
      <c r="N381">
        <v>28.1</v>
      </c>
      <c r="O381">
        <v>27.5</v>
      </c>
      <c r="P381">
        <v>3.3309999999999999E-2</v>
      </c>
      <c r="Q381">
        <v>8.89</v>
      </c>
      <c r="R381">
        <v>9.08</v>
      </c>
      <c r="S381">
        <v>7</v>
      </c>
      <c r="T381">
        <v>3</v>
      </c>
      <c r="U381">
        <v>21</v>
      </c>
      <c r="V381">
        <v>97.5</v>
      </c>
      <c r="W381">
        <v>211.69</v>
      </c>
      <c r="X381">
        <v>0.69950999999999997</v>
      </c>
      <c r="Y381">
        <v>7.333333333333333</v>
      </c>
      <c r="Z381">
        <v>0.24427333333333331</v>
      </c>
      <c r="AA381">
        <v>0.34920634920634919</v>
      </c>
      <c r="AB381">
        <v>7990.4</v>
      </c>
      <c r="AC381">
        <v>1</v>
      </c>
      <c r="AD381" s="1" t="s">
        <v>44</v>
      </c>
      <c r="AE381">
        <v>0</v>
      </c>
      <c r="AF381">
        <v>1</v>
      </c>
      <c r="AG381">
        <v>14.013157894736842</v>
      </c>
    </row>
    <row r="382" spans="1:33">
      <c r="A382" s="1" t="s">
        <v>412</v>
      </c>
      <c r="B382" s="1" t="s">
        <v>1448</v>
      </c>
      <c r="C382" s="2">
        <v>46840</v>
      </c>
      <c r="D382" s="1" t="s">
        <v>34</v>
      </c>
      <c r="E382">
        <v>577</v>
      </c>
      <c r="F382" s="2">
        <v>46081</v>
      </c>
      <c r="G382" s="1" t="s">
        <v>413</v>
      </c>
      <c r="H382" s="1" t="s">
        <v>43</v>
      </c>
      <c r="I382" s="1" t="s">
        <v>37</v>
      </c>
      <c r="J382" s="1" t="s">
        <v>38</v>
      </c>
      <c r="K382" s="1" t="s">
        <v>39</v>
      </c>
      <c r="L382">
        <v>240</v>
      </c>
      <c r="M382">
        <v>48.6</v>
      </c>
      <c r="N382">
        <v>33.9</v>
      </c>
      <c r="O382">
        <v>34.9</v>
      </c>
      <c r="P382">
        <v>5.7500000000000002E-2</v>
      </c>
      <c r="Q382">
        <v>17.22</v>
      </c>
      <c r="R382">
        <v>6.27</v>
      </c>
      <c r="S382">
        <v>6</v>
      </c>
      <c r="T382">
        <v>2</v>
      </c>
      <c r="U382">
        <v>12</v>
      </c>
      <c r="V382">
        <v>84.8</v>
      </c>
      <c r="W382">
        <v>231.64</v>
      </c>
      <c r="X382">
        <v>0.69000000000000006</v>
      </c>
      <c r="Y382">
        <v>2.4041666666666668</v>
      </c>
      <c r="Z382">
        <v>0.13823958333333333</v>
      </c>
      <c r="AA382">
        <v>0.20034722222222223</v>
      </c>
      <c r="AB382">
        <v>3617.79</v>
      </c>
      <c r="AC382">
        <v>1</v>
      </c>
      <c r="AD382" s="1" t="s">
        <v>44</v>
      </c>
      <c r="AE382">
        <v>0</v>
      </c>
      <c r="AF382">
        <v>1</v>
      </c>
      <c r="AG382">
        <v>24.967105263157897</v>
      </c>
    </row>
    <row r="383" spans="1:33">
      <c r="A383" s="1" t="s">
        <v>414</v>
      </c>
      <c r="B383" s="1" t="s">
        <v>1449</v>
      </c>
      <c r="C383" s="2">
        <v>46355</v>
      </c>
      <c r="D383" s="1" t="s">
        <v>34</v>
      </c>
      <c r="E383">
        <v>1066</v>
      </c>
      <c r="F383" s="2">
        <v>46081</v>
      </c>
      <c r="G383" s="1" t="s">
        <v>415</v>
      </c>
      <c r="H383" s="1" t="s">
        <v>48</v>
      </c>
      <c r="I383" s="1" t="s">
        <v>37</v>
      </c>
      <c r="J383" s="1" t="s">
        <v>38</v>
      </c>
      <c r="K383" s="1" t="s">
        <v>39</v>
      </c>
      <c r="L383">
        <v>180</v>
      </c>
      <c r="M383">
        <v>38.799999999999997</v>
      </c>
      <c r="N383">
        <v>27.4</v>
      </c>
      <c r="O383">
        <v>34.799999999999997</v>
      </c>
      <c r="P383">
        <v>3.6999999999999998E-2</v>
      </c>
      <c r="Q383">
        <v>8.57</v>
      </c>
      <c r="R383">
        <v>22.33</v>
      </c>
      <c r="S383">
        <v>8</v>
      </c>
      <c r="T383">
        <v>4</v>
      </c>
      <c r="U383">
        <v>32</v>
      </c>
      <c r="V383">
        <v>154.19999999999999</v>
      </c>
      <c r="W383">
        <v>299.24</v>
      </c>
      <c r="X383">
        <v>1.1839999999999999</v>
      </c>
      <c r="Y383">
        <v>5.9222222222222225</v>
      </c>
      <c r="Z383">
        <v>0.21912222222222222</v>
      </c>
      <c r="AA383">
        <v>0.18506944444444445</v>
      </c>
      <c r="AB383">
        <v>23803.78</v>
      </c>
      <c r="AC383">
        <v>1</v>
      </c>
      <c r="AD383" s="1" t="s">
        <v>44</v>
      </c>
      <c r="AE383">
        <v>0</v>
      </c>
      <c r="AF383">
        <v>1</v>
      </c>
      <c r="AG383">
        <v>9.0131578947368425</v>
      </c>
    </row>
    <row r="384" spans="1:33">
      <c r="A384" s="1" t="s">
        <v>414</v>
      </c>
      <c r="B384" s="1" t="s">
        <v>1450</v>
      </c>
      <c r="C384" s="2">
        <v>46990</v>
      </c>
      <c r="D384" s="1" t="s">
        <v>34</v>
      </c>
      <c r="E384">
        <v>268</v>
      </c>
      <c r="F384" s="2">
        <v>46081</v>
      </c>
      <c r="G384" s="1" t="s">
        <v>415</v>
      </c>
      <c r="H384" s="1" t="s">
        <v>48</v>
      </c>
      <c r="I384" s="1" t="s">
        <v>37</v>
      </c>
      <c r="J384" s="1" t="s">
        <v>38</v>
      </c>
      <c r="K384" s="1" t="s">
        <v>39</v>
      </c>
      <c r="L384">
        <v>180</v>
      </c>
      <c r="M384">
        <v>38.799999999999997</v>
      </c>
      <c r="N384">
        <v>27.4</v>
      </c>
      <c r="O384">
        <v>34.799999999999997</v>
      </c>
      <c r="P384">
        <v>3.6999999999999998E-2</v>
      </c>
      <c r="Q384">
        <v>8.57</v>
      </c>
      <c r="R384">
        <v>22.33</v>
      </c>
      <c r="S384">
        <v>8</v>
      </c>
      <c r="T384">
        <v>4</v>
      </c>
      <c r="U384">
        <v>32</v>
      </c>
      <c r="V384">
        <v>154.19999999999999</v>
      </c>
      <c r="W384">
        <v>299.24</v>
      </c>
      <c r="X384">
        <v>1.1839999999999999</v>
      </c>
      <c r="Y384">
        <v>1.4888888888888889</v>
      </c>
      <c r="Z384">
        <v>5.5088888888888889E-2</v>
      </c>
      <c r="AA384">
        <v>4.6527777777777779E-2</v>
      </c>
      <c r="AB384">
        <v>5984.44</v>
      </c>
      <c r="AC384">
        <v>1</v>
      </c>
      <c r="AD384" s="1" t="s">
        <v>44</v>
      </c>
      <c r="AE384">
        <v>0</v>
      </c>
      <c r="AF384">
        <v>1</v>
      </c>
      <c r="AG384">
        <v>29.901315789473685</v>
      </c>
    </row>
    <row r="385" spans="1:33">
      <c r="A385" s="1" t="s">
        <v>416</v>
      </c>
      <c r="B385" s="1" t="s">
        <v>1451</v>
      </c>
      <c r="C385" s="2">
        <v>46936</v>
      </c>
      <c r="D385" s="1" t="s">
        <v>34</v>
      </c>
      <c r="E385">
        <v>5416</v>
      </c>
      <c r="F385" s="2">
        <v>46081</v>
      </c>
      <c r="G385" s="1" t="s">
        <v>417</v>
      </c>
      <c r="H385" s="1" t="s">
        <v>70</v>
      </c>
      <c r="I385" s="1" t="s">
        <v>37</v>
      </c>
      <c r="J385" s="1" t="s">
        <v>38</v>
      </c>
      <c r="K385" s="1" t="s">
        <v>39</v>
      </c>
      <c r="L385">
        <v>120</v>
      </c>
      <c r="M385">
        <v>46.4</v>
      </c>
      <c r="N385">
        <v>25.3</v>
      </c>
      <c r="O385">
        <v>21.5</v>
      </c>
      <c r="P385">
        <v>2.5239999999999999E-2</v>
      </c>
      <c r="Q385">
        <v>5.1100000000000003</v>
      </c>
      <c r="R385">
        <v>11.84</v>
      </c>
      <c r="S385">
        <v>8</v>
      </c>
      <c r="T385">
        <v>3</v>
      </c>
      <c r="U385">
        <v>24</v>
      </c>
      <c r="V385">
        <v>79.5</v>
      </c>
      <c r="W385">
        <v>147.63999999999999</v>
      </c>
      <c r="X385">
        <v>0.60575999999999997</v>
      </c>
      <c r="Y385">
        <v>45.133333333333333</v>
      </c>
      <c r="Z385">
        <v>1.1391653333333334</v>
      </c>
      <c r="AA385">
        <v>1.8805555555555555</v>
      </c>
      <c r="AB385">
        <v>64125.440000000002</v>
      </c>
      <c r="AC385">
        <v>2</v>
      </c>
      <c r="AD385" s="1" t="s">
        <v>40</v>
      </c>
      <c r="AE385">
        <v>2</v>
      </c>
      <c r="AF385">
        <v>0</v>
      </c>
      <c r="AG385">
        <v>28.125</v>
      </c>
    </row>
    <row r="386" spans="1:33">
      <c r="A386" s="1" t="s">
        <v>418</v>
      </c>
      <c r="B386" s="1" t="s">
        <v>1452</v>
      </c>
      <c r="C386" s="2">
        <v>46382</v>
      </c>
      <c r="D386" s="1" t="s">
        <v>34</v>
      </c>
      <c r="E386">
        <v>184</v>
      </c>
      <c r="F386" s="2">
        <v>46081</v>
      </c>
      <c r="G386" s="1" t="s">
        <v>419</v>
      </c>
      <c r="H386" s="1" t="s">
        <v>43</v>
      </c>
      <c r="I386" s="1" t="s">
        <v>37</v>
      </c>
      <c r="J386" s="1" t="s">
        <v>38</v>
      </c>
      <c r="K386" s="1" t="s">
        <v>39</v>
      </c>
      <c r="L386">
        <v>100</v>
      </c>
      <c r="M386">
        <v>30.3</v>
      </c>
      <c r="N386">
        <v>37.5</v>
      </c>
      <c r="O386">
        <v>32</v>
      </c>
      <c r="P386">
        <v>3.6360000000000003E-2</v>
      </c>
      <c r="Q386">
        <v>7.62</v>
      </c>
      <c r="R386">
        <v>8.07</v>
      </c>
      <c r="S386">
        <v>9</v>
      </c>
      <c r="T386">
        <v>4</v>
      </c>
      <c r="U386">
        <v>36</v>
      </c>
      <c r="V386">
        <v>143</v>
      </c>
      <c r="W386">
        <v>299.32</v>
      </c>
      <c r="X386">
        <v>1.3089599999999999</v>
      </c>
      <c r="Y386">
        <v>1.84</v>
      </c>
      <c r="Z386">
        <v>6.6902400000000015E-2</v>
      </c>
      <c r="AA386">
        <v>5.1111111111111114E-2</v>
      </c>
      <c r="AB386">
        <v>1484.88</v>
      </c>
      <c r="AC386">
        <v>1</v>
      </c>
      <c r="AD386" s="1" t="s">
        <v>44</v>
      </c>
      <c r="AE386">
        <v>0</v>
      </c>
      <c r="AF386">
        <v>1</v>
      </c>
      <c r="AG386">
        <v>9.901315789473685</v>
      </c>
    </row>
    <row r="387" spans="1:33">
      <c r="A387" s="1" t="s">
        <v>418</v>
      </c>
      <c r="B387" s="1" t="s">
        <v>1453</v>
      </c>
      <c r="C387" s="2">
        <v>46464</v>
      </c>
      <c r="D387" s="1" t="s">
        <v>34</v>
      </c>
      <c r="E387">
        <v>100</v>
      </c>
      <c r="F387" s="2">
        <v>46081</v>
      </c>
      <c r="G387" s="1" t="s">
        <v>419</v>
      </c>
      <c r="H387" s="1" t="s">
        <v>43</v>
      </c>
      <c r="I387" s="1" t="s">
        <v>37</v>
      </c>
      <c r="J387" s="1" t="s">
        <v>38</v>
      </c>
      <c r="K387" s="1" t="s">
        <v>39</v>
      </c>
      <c r="L387">
        <v>100</v>
      </c>
      <c r="M387">
        <v>30.3</v>
      </c>
      <c r="N387">
        <v>37.5</v>
      </c>
      <c r="O387">
        <v>32</v>
      </c>
      <c r="P387">
        <v>3.6360000000000003E-2</v>
      </c>
      <c r="Q387">
        <v>7.62</v>
      </c>
      <c r="R387">
        <v>8.07</v>
      </c>
      <c r="S387">
        <v>9</v>
      </c>
      <c r="T387">
        <v>4</v>
      </c>
      <c r="U387">
        <v>36</v>
      </c>
      <c r="V387">
        <v>143</v>
      </c>
      <c r="W387">
        <v>299.32</v>
      </c>
      <c r="X387">
        <v>1.3089599999999999</v>
      </c>
      <c r="Y387">
        <v>1</v>
      </c>
      <c r="Z387">
        <v>3.6360000000000003E-2</v>
      </c>
      <c r="AA387">
        <v>2.7777777777777776E-2</v>
      </c>
      <c r="AB387">
        <v>807</v>
      </c>
      <c r="AC387">
        <v>1</v>
      </c>
      <c r="AD387" s="1" t="s">
        <v>44</v>
      </c>
      <c r="AE387">
        <v>0</v>
      </c>
      <c r="AF387">
        <v>1</v>
      </c>
      <c r="AG387">
        <v>12.598684210526317</v>
      </c>
    </row>
    <row r="388" spans="1:33">
      <c r="A388" s="1" t="s">
        <v>420</v>
      </c>
      <c r="B388" s="1" t="s">
        <v>1454</v>
      </c>
      <c r="C388" s="2">
        <v>46210</v>
      </c>
      <c r="D388" s="1" t="s">
        <v>34</v>
      </c>
      <c r="E388">
        <v>958</v>
      </c>
      <c r="F388" s="2">
        <v>46081</v>
      </c>
      <c r="G388" s="1" t="s">
        <v>421</v>
      </c>
      <c r="H388" s="1" t="s">
        <v>36</v>
      </c>
      <c r="I388" s="1" t="s">
        <v>37</v>
      </c>
      <c r="J388" s="1" t="s">
        <v>38</v>
      </c>
      <c r="K388" s="1" t="s">
        <v>39</v>
      </c>
      <c r="L388">
        <v>180</v>
      </c>
      <c r="M388">
        <v>47.2</v>
      </c>
      <c r="N388">
        <v>28.6</v>
      </c>
      <c r="O388">
        <v>21.1</v>
      </c>
      <c r="P388">
        <v>2.8479999999999998E-2</v>
      </c>
      <c r="Q388">
        <v>5.44</v>
      </c>
      <c r="R388">
        <v>7.47</v>
      </c>
      <c r="S388">
        <v>8</v>
      </c>
      <c r="T388">
        <v>5</v>
      </c>
      <c r="U388">
        <v>40</v>
      </c>
      <c r="V388">
        <v>120.5</v>
      </c>
      <c r="W388">
        <v>242.6</v>
      </c>
      <c r="X388">
        <v>1.1392</v>
      </c>
      <c r="Y388">
        <v>5.322222222222222</v>
      </c>
      <c r="Z388">
        <v>0.15157688888888887</v>
      </c>
      <c r="AA388">
        <v>0.13305555555555554</v>
      </c>
      <c r="AB388">
        <v>7156.2599999999993</v>
      </c>
      <c r="AC388">
        <v>1</v>
      </c>
      <c r="AD388" s="1" t="s">
        <v>44</v>
      </c>
      <c r="AE388">
        <v>0</v>
      </c>
      <c r="AF388">
        <v>1</v>
      </c>
      <c r="AG388">
        <v>4.2434210526315788</v>
      </c>
    </row>
    <row r="389" spans="1:33">
      <c r="A389" s="1" t="s">
        <v>420</v>
      </c>
      <c r="B389" s="1" t="s">
        <v>1455</v>
      </c>
      <c r="C389" s="2">
        <v>46889</v>
      </c>
      <c r="D389" s="1" t="s">
        <v>34</v>
      </c>
      <c r="E389">
        <v>1576</v>
      </c>
      <c r="F389" s="2">
        <v>46081</v>
      </c>
      <c r="G389" s="1" t="s">
        <v>421</v>
      </c>
      <c r="H389" s="1" t="s">
        <v>36</v>
      </c>
      <c r="I389" s="1" t="s">
        <v>37</v>
      </c>
      <c r="J389" s="1" t="s">
        <v>38</v>
      </c>
      <c r="K389" s="1" t="s">
        <v>39</v>
      </c>
      <c r="L389">
        <v>180</v>
      </c>
      <c r="M389">
        <v>47.2</v>
      </c>
      <c r="N389">
        <v>28.6</v>
      </c>
      <c r="O389">
        <v>21.1</v>
      </c>
      <c r="P389">
        <v>2.8479999999999998E-2</v>
      </c>
      <c r="Q389">
        <v>5.44</v>
      </c>
      <c r="R389">
        <v>7.47</v>
      </c>
      <c r="S389">
        <v>8</v>
      </c>
      <c r="T389">
        <v>5</v>
      </c>
      <c r="U389">
        <v>40</v>
      </c>
      <c r="V389">
        <v>120.5</v>
      </c>
      <c r="W389">
        <v>242.6</v>
      </c>
      <c r="X389">
        <v>1.1392</v>
      </c>
      <c r="Y389">
        <v>8.7555555555555564</v>
      </c>
      <c r="Z389">
        <v>0.24935822222222223</v>
      </c>
      <c r="AA389">
        <v>0.21888888888888891</v>
      </c>
      <c r="AB389">
        <v>11772.72</v>
      </c>
      <c r="AC389">
        <v>1</v>
      </c>
      <c r="AD389" s="1" t="s">
        <v>44</v>
      </c>
      <c r="AE389">
        <v>0</v>
      </c>
      <c r="AF389">
        <v>1</v>
      </c>
      <c r="AG389">
        <v>26.578947368421055</v>
      </c>
    </row>
    <row r="390" spans="1:33">
      <c r="A390" s="1" t="s">
        <v>420</v>
      </c>
      <c r="B390" s="1" t="s">
        <v>1456</v>
      </c>
      <c r="C390" s="2">
        <v>46483</v>
      </c>
      <c r="D390" s="1" t="s">
        <v>34</v>
      </c>
      <c r="E390">
        <v>1119</v>
      </c>
      <c r="F390" s="2">
        <v>46081</v>
      </c>
      <c r="G390" s="1" t="s">
        <v>421</v>
      </c>
      <c r="H390" s="1" t="s">
        <v>36</v>
      </c>
      <c r="I390" s="1" t="s">
        <v>37</v>
      </c>
      <c r="J390" s="1" t="s">
        <v>38</v>
      </c>
      <c r="K390" s="1" t="s">
        <v>39</v>
      </c>
      <c r="L390">
        <v>180</v>
      </c>
      <c r="M390">
        <v>47.2</v>
      </c>
      <c r="N390">
        <v>28.6</v>
      </c>
      <c r="O390">
        <v>21.1</v>
      </c>
      <c r="P390">
        <v>2.8479999999999998E-2</v>
      </c>
      <c r="Q390">
        <v>5.44</v>
      </c>
      <c r="R390">
        <v>7.47</v>
      </c>
      <c r="S390">
        <v>8</v>
      </c>
      <c r="T390">
        <v>5</v>
      </c>
      <c r="U390">
        <v>40</v>
      </c>
      <c r="V390">
        <v>120.5</v>
      </c>
      <c r="W390">
        <v>242.6</v>
      </c>
      <c r="X390">
        <v>1.1392</v>
      </c>
      <c r="Y390">
        <v>6.2166666666666668</v>
      </c>
      <c r="Z390">
        <v>0.17705066666666666</v>
      </c>
      <c r="AA390">
        <v>0.15541666666666668</v>
      </c>
      <c r="AB390">
        <v>8358.93</v>
      </c>
      <c r="AC390">
        <v>1</v>
      </c>
      <c r="AD390" s="1" t="s">
        <v>44</v>
      </c>
      <c r="AE390">
        <v>0</v>
      </c>
      <c r="AF390">
        <v>1</v>
      </c>
      <c r="AG390">
        <v>13.223684210526317</v>
      </c>
    </row>
    <row r="391" spans="1:33">
      <c r="A391" s="1" t="s">
        <v>422</v>
      </c>
      <c r="B391" s="1" t="s">
        <v>1457</v>
      </c>
      <c r="C391" s="2">
        <v>47153</v>
      </c>
      <c r="D391" s="1" t="s">
        <v>34</v>
      </c>
      <c r="E391">
        <v>51370</v>
      </c>
      <c r="F391" s="2">
        <v>46081</v>
      </c>
      <c r="G391" s="1" t="s">
        <v>423</v>
      </c>
      <c r="H391" s="1" t="s">
        <v>43</v>
      </c>
      <c r="I391" s="1" t="s">
        <v>37</v>
      </c>
      <c r="J391" s="1" t="s">
        <v>38</v>
      </c>
      <c r="K391" s="1" t="s">
        <v>39</v>
      </c>
      <c r="L391">
        <v>240</v>
      </c>
      <c r="M391">
        <v>46.1</v>
      </c>
      <c r="N391">
        <v>41.2</v>
      </c>
      <c r="O391">
        <v>30.9</v>
      </c>
      <c r="P391">
        <v>5.8689999999999999E-2</v>
      </c>
      <c r="Q391">
        <v>11.73</v>
      </c>
      <c r="R391">
        <v>11.25</v>
      </c>
      <c r="S391">
        <v>3</v>
      </c>
      <c r="T391">
        <v>4</v>
      </c>
      <c r="U391">
        <v>12</v>
      </c>
      <c r="V391">
        <v>138.6</v>
      </c>
      <c r="W391">
        <v>165.76</v>
      </c>
      <c r="X391">
        <v>0.70428000000000002</v>
      </c>
      <c r="Y391">
        <v>214.04166666666666</v>
      </c>
      <c r="Z391">
        <v>12.562105416666666</v>
      </c>
      <c r="AA391">
        <v>17.836805555555554</v>
      </c>
      <c r="AB391">
        <v>577912.5</v>
      </c>
      <c r="AC391">
        <v>18</v>
      </c>
      <c r="AD391" s="1" t="s">
        <v>40</v>
      </c>
      <c r="AE391">
        <v>18</v>
      </c>
      <c r="AF391">
        <v>0</v>
      </c>
      <c r="AG391">
        <v>35.263157894736842</v>
      </c>
    </row>
    <row r="392" spans="1:33">
      <c r="A392" s="1" t="s">
        <v>424</v>
      </c>
      <c r="B392" s="1" t="s">
        <v>1458</v>
      </c>
      <c r="C392" s="2">
        <v>46446</v>
      </c>
      <c r="D392" s="1" t="s">
        <v>34</v>
      </c>
      <c r="E392">
        <v>324</v>
      </c>
      <c r="F392" s="2">
        <v>46081</v>
      </c>
      <c r="G392" s="1" t="s">
        <v>425</v>
      </c>
      <c r="H392" s="1" t="s">
        <v>48</v>
      </c>
      <c r="I392" s="1" t="s">
        <v>37</v>
      </c>
      <c r="J392" s="1" t="s">
        <v>38</v>
      </c>
      <c r="K392" s="1" t="s">
        <v>39</v>
      </c>
      <c r="L392">
        <v>100</v>
      </c>
      <c r="M392">
        <v>35.700000000000003</v>
      </c>
      <c r="N392">
        <v>28.5</v>
      </c>
      <c r="O392">
        <v>29.8</v>
      </c>
      <c r="P392">
        <v>3.032E-2</v>
      </c>
      <c r="Q392">
        <v>4.7</v>
      </c>
      <c r="R392">
        <v>18.55</v>
      </c>
      <c r="S392">
        <v>9</v>
      </c>
      <c r="T392">
        <v>5</v>
      </c>
      <c r="U392">
        <v>45</v>
      </c>
      <c r="V392">
        <v>164</v>
      </c>
      <c r="W392">
        <v>236.5</v>
      </c>
      <c r="X392">
        <v>1.3644000000000001</v>
      </c>
      <c r="Y392">
        <v>3.24</v>
      </c>
      <c r="Z392">
        <v>9.8236799999999999E-2</v>
      </c>
      <c r="AA392">
        <v>7.2000000000000008E-2</v>
      </c>
      <c r="AB392">
        <v>6010.2</v>
      </c>
      <c r="AC392">
        <v>1</v>
      </c>
      <c r="AD392" s="1" t="s">
        <v>44</v>
      </c>
      <c r="AE392">
        <v>0</v>
      </c>
      <c r="AF392">
        <v>1</v>
      </c>
      <c r="AG392">
        <v>12.006578947368421</v>
      </c>
    </row>
    <row r="393" spans="1:33">
      <c r="A393" s="1" t="s">
        <v>424</v>
      </c>
      <c r="B393" s="1" t="s">
        <v>1459</v>
      </c>
      <c r="C393" s="2">
        <v>46361</v>
      </c>
      <c r="D393" s="1" t="s">
        <v>34</v>
      </c>
      <c r="E393">
        <v>218</v>
      </c>
      <c r="F393" s="2">
        <v>46081</v>
      </c>
      <c r="G393" s="1" t="s">
        <v>425</v>
      </c>
      <c r="H393" s="1" t="s">
        <v>48</v>
      </c>
      <c r="I393" s="1" t="s">
        <v>37</v>
      </c>
      <c r="J393" s="1" t="s">
        <v>38</v>
      </c>
      <c r="K393" s="1" t="s">
        <v>39</v>
      </c>
      <c r="L393">
        <v>100</v>
      </c>
      <c r="M393">
        <v>35.700000000000003</v>
      </c>
      <c r="N393">
        <v>28.5</v>
      </c>
      <c r="O393">
        <v>29.8</v>
      </c>
      <c r="P393">
        <v>3.032E-2</v>
      </c>
      <c r="Q393">
        <v>4.7</v>
      </c>
      <c r="R393">
        <v>18.55</v>
      </c>
      <c r="S393">
        <v>9</v>
      </c>
      <c r="T393">
        <v>5</v>
      </c>
      <c r="U393">
        <v>45</v>
      </c>
      <c r="V393">
        <v>164</v>
      </c>
      <c r="W393">
        <v>236.5</v>
      </c>
      <c r="X393">
        <v>1.3644000000000001</v>
      </c>
      <c r="Y393">
        <v>2.1800000000000002</v>
      </c>
      <c r="Z393">
        <v>6.6097600000000006E-2</v>
      </c>
      <c r="AA393">
        <v>4.844444444444445E-2</v>
      </c>
      <c r="AB393">
        <v>4043.9</v>
      </c>
      <c r="AC393">
        <v>1</v>
      </c>
      <c r="AD393" s="1" t="s">
        <v>44</v>
      </c>
      <c r="AE393">
        <v>0</v>
      </c>
      <c r="AF393">
        <v>1</v>
      </c>
      <c r="AG393">
        <v>9.2105263157894743</v>
      </c>
    </row>
    <row r="394" spans="1:33">
      <c r="A394" s="1" t="s">
        <v>424</v>
      </c>
      <c r="B394" s="1" t="s">
        <v>1460</v>
      </c>
      <c r="C394" s="2">
        <v>46483</v>
      </c>
      <c r="D394" s="1" t="s">
        <v>34</v>
      </c>
      <c r="E394">
        <v>360</v>
      </c>
      <c r="F394" s="2">
        <v>46081</v>
      </c>
      <c r="G394" s="1" t="s">
        <v>425</v>
      </c>
      <c r="H394" s="1" t="s">
        <v>48</v>
      </c>
      <c r="I394" s="1" t="s">
        <v>37</v>
      </c>
      <c r="J394" s="1" t="s">
        <v>38</v>
      </c>
      <c r="K394" s="1" t="s">
        <v>39</v>
      </c>
      <c r="L394">
        <v>100</v>
      </c>
      <c r="M394">
        <v>35.700000000000003</v>
      </c>
      <c r="N394">
        <v>28.5</v>
      </c>
      <c r="O394">
        <v>29.8</v>
      </c>
      <c r="P394">
        <v>3.032E-2</v>
      </c>
      <c r="Q394">
        <v>4.7</v>
      </c>
      <c r="R394">
        <v>18.55</v>
      </c>
      <c r="S394">
        <v>9</v>
      </c>
      <c r="T394">
        <v>5</v>
      </c>
      <c r="U394">
        <v>45</v>
      </c>
      <c r="V394">
        <v>164</v>
      </c>
      <c r="W394">
        <v>236.5</v>
      </c>
      <c r="X394">
        <v>1.3644000000000001</v>
      </c>
      <c r="Y394">
        <v>3.6</v>
      </c>
      <c r="Z394">
        <v>0.109152</v>
      </c>
      <c r="AA394">
        <v>0.08</v>
      </c>
      <c r="AB394">
        <v>6678</v>
      </c>
      <c r="AC394">
        <v>1</v>
      </c>
      <c r="AD394" s="1" t="s">
        <v>44</v>
      </c>
      <c r="AE394">
        <v>0</v>
      </c>
      <c r="AF394">
        <v>1</v>
      </c>
      <c r="AG394">
        <v>13.223684210526317</v>
      </c>
    </row>
    <row r="395" spans="1:33">
      <c r="A395" s="1" t="s">
        <v>426</v>
      </c>
      <c r="B395" s="1" t="s">
        <v>1461</v>
      </c>
      <c r="C395" s="2">
        <v>46894</v>
      </c>
      <c r="D395" s="1" t="s">
        <v>34</v>
      </c>
      <c r="E395">
        <v>81597</v>
      </c>
      <c r="F395" s="2">
        <v>46081</v>
      </c>
      <c r="G395" s="1" t="s">
        <v>427</v>
      </c>
      <c r="H395" s="1" t="s">
        <v>43</v>
      </c>
      <c r="I395" s="1" t="s">
        <v>37</v>
      </c>
      <c r="J395" s="1" t="s">
        <v>38</v>
      </c>
      <c r="K395" s="1" t="s">
        <v>39</v>
      </c>
      <c r="L395">
        <v>120</v>
      </c>
      <c r="M395">
        <v>35.4</v>
      </c>
      <c r="N395">
        <v>33.299999999999997</v>
      </c>
      <c r="O395">
        <v>23.7</v>
      </c>
      <c r="P395">
        <v>2.794E-2</v>
      </c>
      <c r="Q395">
        <v>5.37</v>
      </c>
      <c r="R395">
        <v>15.9</v>
      </c>
      <c r="S395">
        <v>9</v>
      </c>
      <c r="T395">
        <v>4</v>
      </c>
      <c r="U395">
        <v>36</v>
      </c>
      <c r="V395">
        <v>109.8</v>
      </c>
      <c r="W395">
        <v>218.32</v>
      </c>
      <c r="X395">
        <v>1.0058400000000001</v>
      </c>
      <c r="Y395">
        <v>679.97500000000002</v>
      </c>
      <c r="Z395">
        <v>18.9985015</v>
      </c>
      <c r="AA395">
        <v>18.888194444444444</v>
      </c>
      <c r="AB395">
        <v>1297392.3</v>
      </c>
      <c r="AC395">
        <v>19</v>
      </c>
      <c r="AD395" s="1" t="s">
        <v>40</v>
      </c>
      <c r="AE395">
        <v>19</v>
      </c>
      <c r="AF395">
        <v>0</v>
      </c>
      <c r="AG395">
        <v>26.743421052631579</v>
      </c>
    </row>
    <row r="396" spans="1:33">
      <c r="A396" s="1" t="s">
        <v>428</v>
      </c>
      <c r="B396" s="1" t="s">
        <v>1462</v>
      </c>
      <c r="C396" s="2">
        <v>46255</v>
      </c>
      <c r="D396" s="1" t="s">
        <v>34</v>
      </c>
      <c r="E396">
        <v>9432</v>
      </c>
      <c r="F396" s="2">
        <v>46081</v>
      </c>
      <c r="G396" s="1" t="s">
        <v>429</v>
      </c>
      <c r="H396" s="1" t="s">
        <v>43</v>
      </c>
      <c r="I396" s="1" t="s">
        <v>37</v>
      </c>
      <c r="J396" s="1" t="s">
        <v>38</v>
      </c>
      <c r="K396" s="1" t="s">
        <v>39</v>
      </c>
      <c r="L396">
        <v>120</v>
      </c>
      <c r="M396">
        <v>37.700000000000003</v>
      </c>
      <c r="N396">
        <v>36.700000000000003</v>
      </c>
      <c r="O396">
        <v>32</v>
      </c>
      <c r="P396">
        <v>4.4269999999999997E-2</v>
      </c>
      <c r="Q396">
        <v>7.33</v>
      </c>
      <c r="R396">
        <v>15.71</v>
      </c>
      <c r="S396">
        <v>6</v>
      </c>
      <c r="T396">
        <v>3</v>
      </c>
      <c r="U396">
        <v>18</v>
      </c>
      <c r="V396">
        <v>111</v>
      </c>
      <c r="W396">
        <v>156.94</v>
      </c>
      <c r="X396">
        <v>0.7968599999999999</v>
      </c>
      <c r="Y396">
        <v>78.599999999999994</v>
      </c>
      <c r="Z396">
        <v>3.4796219999999995</v>
      </c>
      <c r="AA396">
        <v>4.3666666666666663</v>
      </c>
      <c r="AB396">
        <v>148176.72</v>
      </c>
      <c r="AC396">
        <v>5</v>
      </c>
      <c r="AD396" s="1" t="s">
        <v>40</v>
      </c>
      <c r="AE396">
        <v>5</v>
      </c>
      <c r="AF396">
        <v>0</v>
      </c>
      <c r="AG396">
        <v>5.7236842105263159</v>
      </c>
    </row>
    <row r="397" spans="1:33">
      <c r="A397" s="1" t="s">
        <v>428</v>
      </c>
      <c r="B397" s="1" t="s">
        <v>1463</v>
      </c>
      <c r="C397" s="2">
        <v>46861</v>
      </c>
      <c r="D397" s="1" t="s">
        <v>34</v>
      </c>
      <c r="E397">
        <v>369</v>
      </c>
      <c r="F397" s="2">
        <v>46081</v>
      </c>
      <c r="G397" s="1" t="s">
        <v>429</v>
      </c>
      <c r="H397" s="1" t="s">
        <v>43</v>
      </c>
      <c r="I397" s="1" t="s">
        <v>37</v>
      </c>
      <c r="J397" s="1" t="s">
        <v>38</v>
      </c>
      <c r="K397" s="1" t="s">
        <v>39</v>
      </c>
      <c r="L397">
        <v>120</v>
      </c>
      <c r="M397">
        <v>37.700000000000003</v>
      </c>
      <c r="N397">
        <v>36.700000000000003</v>
      </c>
      <c r="O397">
        <v>32</v>
      </c>
      <c r="P397">
        <v>4.4269999999999997E-2</v>
      </c>
      <c r="Q397">
        <v>7.33</v>
      </c>
      <c r="R397">
        <v>15.71</v>
      </c>
      <c r="S397">
        <v>6</v>
      </c>
      <c r="T397">
        <v>3</v>
      </c>
      <c r="U397">
        <v>18</v>
      </c>
      <c r="V397">
        <v>111</v>
      </c>
      <c r="W397">
        <v>156.94</v>
      </c>
      <c r="X397">
        <v>0.7968599999999999</v>
      </c>
      <c r="Y397">
        <v>3.0750000000000002</v>
      </c>
      <c r="Z397">
        <v>0.13613025000000001</v>
      </c>
      <c r="AA397">
        <v>0.17083333333333334</v>
      </c>
      <c r="AB397">
        <v>5796.9900000000007</v>
      </c>
      <c r="AC397">
        <v>1</v>
      </c>
      <c r="AD397" s="1" t="s">
        <v>44</v>
      </c>
      <c r="AE397">
        <v>0</v>
      </c>
      <c r="AF397">
        <v>1</v>
      </c>
      <c r="AG397">
        <v>25.657894736842106</v>
      </c>
    </row>
    <row r="398" spans="1:33">
      <c r="A398" s="1" t="s">
        <v>430</v>
      </c>
      <c r="B398" s="1" t="s">
        <v>1464</v>
      </c>
      <c r="C398" s="2">
        <v>46324</v>
      </c>
      <c r="D398" s="1" t="s">
        <v>34</v>
      </c>
      <c r="E398">
        <v>358</v>
      </c>
      <c r="F398" s="2">
        <v>46081</v>
      </c>
      <c r="G398" s="1" t="s">
        <v>431</v>
      </c>
      <c r="H398" s="1" t="s">
        <v>43</v>
      </c>
      <c r="I398" s="1" t="s">
        <v>37</v>
      </c>
      <c r="J398" s="1" t="s">
        <v>38</v>
      </c>
      <c r="K398" s="1" t="s">
        <v>39</v>
      </c>
      <c r="L398">
        <v>120</v>
      </c>
      <c r="M398">
        <v>60</v>
      </c>
      <c r="N398">
        <v>41.1</v>
      </c>
      <c r="O398">
        <v>25.4</v>
      </c>
      <c r="P398">
        <v>6.2640000000000001E-2</v>
      </c>
      <c r="Q398">
        <v>17.63</v>
      </c>
      <c r="R398">
        <v>18.98</v>
      </c>
      <c r="S398">
        <v>4</v>
      </c>
      <c r="T398">
        <v>2</v>
      </c>
      <c r="U398">
        <v>8</v>
      </c>
      <c r="V398">
        <v>65.8</v>
      </c>
      <c r="W398">
        <v>166.04</v>
      </c>
      <c r="X398">
        <v>0.50112000000000001</v>
      </c>
      <c r="Y398">
        <v>2.9833333333333334</v>
      </c>
      <c r="Z398">
        <v>0.18687600000000001</v>
      </c>
      <c r="AA398">
        <v>0.37291666666666667</v>
      </c>
      <c r="AB398">
        <v>6794.84</v>
      </c>
      <c r="AC398">
        <v>1</v>
      </c>
      <c r="AD398" s="1" t="s">
        <v>44</v>
      </c>
      <c r="AE398">
        <v>0</v>
      </c>
      <c r="AF398">
        <v>1</v>
      </c>
      <c r="AG398">
        <v>7.9934210526315796</v>
      </c>
    </row>
    <row r="399" spans="1:33">
      <c r="A399" s="1" t="s">
        <v>430</v>
      </c>
      <c r="B399" s="1" t="s">
        <v>1465</v>
      </c>
      <c r="C399" s="2">
        <v>46285</v>
      </c>
      <c r="D399" s="1" t="s">
        <v>34</v>
      </c>
      <c r="E399">
        <v>421</v>
      </c>
      <c r="F399" s="2">
        <v>46081</v>
      </c>
      <c r="G399" s="1" t="s">
        <v>431</v>
      </c>
      <c r="H399" s="1" t="s">
        <v>43</v>
      </c>
      <c r="I399" s="1" t="s">
        <v>37</v>
      </c>
      <c r="J399" s="1" t="s">
        <v>38</v>
      </c>
      <c r="K399" s="1" t="s">
        <v>39</v>
      </c>
      <c r="L399">
        <v>120</v>
      </c>
      <c r="M399">
        <v>60</v>
      </c>
      <c r="N399">
        <v>41.1</v>
      </c>
      <c r="O399">
        <v>25.4</v>
      </c>
      <c r="P399">
        <v>6.2640000000000001E-2</v>
      </c>
      <c r="Q399">
        <v>17.63</v>
      </c>
      <c r="R399">
        <v>18.98</v>
      </c>
      <c r="S399">
        <v>4</v>
      </c>
      <c r="T399">
        <v>2</v>
      </c>
      <c r="U399">
        <v>8</v>
      </c>
      <c r="V399">
        <v>65.8</v>
      </c>
      <c r="W399">
        <v>166.04</v>
      </c>
      <c r="X399">
        <v>0.50112000000000001</v>
      </c>
      <c r="Y399">
        <v>3.5083333333333333</v>
      </c>
      <c r="Z399">
        <v>0.21976200000000001</v>
      </c>
      <c r="AA399">
        <v>0.43854166666666666</v>
      </c>
      <c r="AB399">
        <v>7990.58</v>
      </c>
      <c r="AC399">
        <v>1</v>
      </c>
      <c r="AD399" s="1" t="s">
        <v>44</v>
      </c>
      <c r="AE399">
        <v>0</v>
      </c>
      <c r="AF399">
        <v>1</v>
      </c>
      <c r="AG399">
        <v>6.7105263157894743</v>
      </c>
    </row>
    <row r="400" spans="1:33">
      <c r="A400" s="1" t="s">
        <v>430</v>
      </c>
      <c r="B400" s="1" t="s">
        <v>1466</v>
      </c>
      <c r="C400" s="2">
        <v>46482</v>
      </c>
      <c r="D400" s="1" t="s">
        <v>49</v>
      </c>
      <c r="E400">
        <v>39</v>
      </c>
      <c r="F400" s="2">
        <v>46081</v>
      </c>
      <c r="G400" s="1" t="s">
        <v>431</v>
      </c>
      <c r="H400" s="1" t="s">
        <v>43</v>
      </c>
      <c r="I400" s="1" t="s">
        <v>37</v>
      </c>
      <c r="J400" s="1" t="s">
        <v>38</v>
      </c>
      <c r="K400" s="1" t="s">
        <v>39</v>
      </c>
      <c r="L400">
        <v>120</v>
      </c>
      <c r="M400">
        <v>60</v>
      </c>
      <c r="N400">
        <v>41.1</v>
      </c>
      <c r="O400">
        <v>25.4</v>
      </c>
      <c r="P400">
        <v>6.2640000000000001E-2</v>
      </c>
      <c r="Q400">
        <v>17.63</v>
      </c>
      <c r="R400">
        <v>18.98</v>
      </c>
      <c r="S400">
        <v>4</v>
      </c>
      <c r="T400">
        <v>2</v>
      </c>
      <c r="U400">
        <v>8</v>
      </c>
      <c r="V400">
        <v>65.8</v>
      </c>
      <c r="W400">
        <v>166.04</v>
      </c>
      <c r="X400">
        <v>0.50112000000000001</v>
      </c>
      <c r="Y400">
        <v>0.32500000000000001</v>
      </c>
      <c r="Z400">
        <v>2.0358000000000001E-2</v>
      </c>
      <c r="AA400">
        <v>4.0625000000000001E-2</v>
      </c>
      <c r="AB400">
        <v>740.22</v>
      </c>
      <c r="AC400">
        <v>1</v>
      </c>
      <c r="AD400" s="1" t="s">
        <v>44</v>
      </c>
      <c r="AE400">
        <v>0</v>
      </c>
      <c r="AF400">
        <v>1</v>
      </c>
      <c r="AG400">
        <v>13.190789473684211</v>
      </c>
    </row>
    <row r="401" spans="1:33">
      <c r="A401" s="1" t="s">
        <v>432</v>
      </c>
      <c r="B401" s="1" t="s">
        <v>1467</v>
      </c>
      <c r="C401" s="2">
        <v>46780</v>
      </c>
      <c r="D401" s="1" t="s">
        <v>34</v>
      </c>
      <c r="E401">
        <v>70486</v>
      </c>
      <c r="F401" s="2">
        <v>46081</v>
      </c>
      <c r="G401" s="1" t="s">
        <v>433</v>
      </c>
      <c r="H401" s="1" t="s">
        <v>70</v>
      </c>
      <c r="I401" s="1" t="s">
        <v>37</v>
      </c>
      <c r="J401" s="1" t="s">
        <v>38</v>
      </c>
      <c r="K401" s="1" t="s">
        <v>39</v>
      </c>
      <c r="L401">
        <v>60</v>
      </c>
      <c r="M401">
        <v>53.1</v>
      </c>
      <c r="N401">
        <v>34.4</v>
      </c>
      <c r="O401">
        <v>16</v>
      </c>
      <c r="P401">
        <v>2.9229999999999999E-2</v>
      </c>
      <c r="Q401">
        <v>6.08</v>
      </c>
      <c r="R401">
        <v>16.920000000000002</v>
      </c>
      <c r="S401">
        <v>4</v>
      </c>
      <c r="T401">
        <v>9</v>
      </c>
      <c r="U401">
        <v>36</v>
      </c>
      <c r="V401">
        <v>159</v>
      </c>
      <c r="W401">
        <v>243.88</v>
      </c>
      <c r="X401">
        <v>1.0522800000000001</v>
      </c>
      <c r="Y401">
        <v>1174.7666666666667</v>
      </c>
      <c r="Z401">
        <v>34.338429666666663</v>
      </c>
      <c r="AA401">
        <v>32.632407407407406</v>
      </c>
      <c r="AB401">
        <v>1192623.1200000001</v>
      </c>
      <c r="AC401">
        <v>33</v>
      </c>
      <c r="AD401" s="1" t="s">
        <v>40</v>
      </c>
      <c r="AE401">
        <v>33</v>
      </c>
      <c r="AF401">
        <v>0</v>
      </c>
      <c r="AG401">
        <v>22.993421052631579</v>
      </c>
    </row>
    <row r="402" spans="1:33">
      <c r="A402" s="1" t="s">
        <v>434</v>
      </c>
      <c r="B402" s="1" t="s">
        <v>1468</v>
      </c>
      <c r="C402" s="2">
        <v>46799</v>
      </c>
      <c r="D402" s="1" t="s">
        <v>34</v>
      </c>
      <c r="E402">
        <v>38535</v>
      </c>
      <c r="F402" s="2">
        <v>46081</v>
      </c>
      <c r="G402" s="1" t="s">
        <v>435</v>
      </c>
      <c r="H402" s="1" t="s">
        <v>36</v>
      </c>
      <c r="I402" s="1" t="s">
        <v>37</v>
      </c>
      <c r="J402" s="1" t="s">
        <v>38</v>
      </c>
      <c r="K402" s="1" t="s">
        <v>39</v>
      </c>
      <c r="L402">
        <v>60</v>
      </c>
      <c r="M402">
        <v>34</v>
      </c>
      <c r="N402">
        <v>30.4</v>
      </c>
      <c r="O402">
        <v>19.5</v>
      </c>
      <c r="P402">
        <v>2.0160000000000001E-2</v>
      </c>
      <c r="Q402">
        <v>4.96</v>
      </c>
      <c r="R402">
        <v>11.19</v>
      </c>
      <c r="S402">
        <v>9</v>
      </c>
      <c r="T402">
        <v>3</v>
      </c>
      <c r="U402">
        <v>27</v>
      </c>
      <c r="V402">
        <v>73.5</v>
      </c>
      <c r="W402">
        <v>158.91999999999999</v>
      </c>
      <c r="X402">
        <v>0.54432000000000003</v>
      </c>
      <c r="Y402">
        <v>642.25</v>
      </c>
      <c r="Z402">
        <v>12.947760000000001</v>
      </c>
      <c r="AA402">
        <v>23.787037037037038</v>
      </c>
      <c r="AB402">
        <v>431206.64999999997</v>
      </c>
      <c r="AC402">
        <v>24</v>
      </c>
      <c r="AD402" s="1" t="s">
        <v>40</v>
      </c>
      <c r="AE402">
        <v>24</v>
      </c>
      <c r="AF402">
        <v>0</v>
      </c>
      <c r="AG402">
        <v>23.618421052631579</v>
      </c>
    </row>
    <row r="403" spans="1:33">
      <c r="A403" s="1" t="s">
        <v>436</v>
      </c>
      <c r="B403" s="1" t="s">
        <v>1469</v>
      </c>
      <c r="C403" s="2">
        <v>47104</v>
      </c>
      <c r="D403" s="1" t="s">
        <v>34</v>
      </c>
      <c r="E403">
        <v>228</v>
      </c>
      <c r="F403" s="2">
        <v>46081</v>
      </c>
      <c r="G403" s="1" t="s">
        <v>437</v>
      </c>
      <c r="H403" s="1" t="s">
        <v>67</v>
      </c>
      <c r="I403" s="1" t="s">
        <v>37</v>
      </c>
      <c r="J403" s="1" t="s">
        <v>38</v>
      </c>
      <c r="K403" s="1" t="s">
        <v>39</v>
      </c>
      <c r="L403">
        <v>120</v>
      </c>
      <c r="M403">
        <v>42.8</v>
      </c>
      <c r="N403">
        <v>27.5</v>
      </c>
      <c r="O403">
        <v>23.6</v>
      </c>
      <c r="P403">
        <v>2.7779999999999999E-2</v>
      </c>
      <c r="Q403">
        <v>7.53</v>
      </c>
      <c r="R403">
        <v>3.46</v>
      </c>
      <c r="S403">
        <v>8</v>
      </c>
      <c r="T403">
        <v>6</v>
      </c>
      <c r="U403">
        <v>48</v>
      </c>
      <c r="V403">
        <v>156.60000000000002</v>
      </c>
      <c r="W403">
        <v>386.44</v>
      </c>
      <c r="X403">
        <v>1.33344</v>
      </c>
      <c r="Y403">
        <v>1.9</v>
      </c>
      <c r="Z403">
        <v>5.2781999999999996E-2</v>
      </c>
      <c r="AA403">
        <v>3.9583333333333331E-2</v>
      </c>
      <c r="AB403">
        <v>788.88</v>
      </c>
      <c r="AC403">
        <v>1</v>
      </c>
      <c r="AD403" s="1" t="s">
        <v>44</v>
      </c>
      <c r="AE403">
        <v>0</v>
      </c>
      <c r="AF403">
        <v>1</v>
      </c>
      <c r="AG403">
        <v>33.651315789473685</v>
      </c>
    </row>
    <row r="404" spans="1:33">
      <c r="A404" s="1" t="s">
        <v>436</v>
      </c>
      <c r="B404" s="1" t="s">
        <v>1470</v>
      </c>
      <c r="C404" s="2">
        <v>46503</v>
      </c>
      <c r="D404" s="1" t="s">
        <v>34</v>
      </c>
      <c r="E404">
        <v>253</v>
      </c>
      <c r="F404" s="2">
        <v>46081</v>
      </c>
      <c r="G404" s="1" t="s">
        <v>437</v>
      </c>
      <c r="H404" s="1" t="s">
        <v>67</v>
      </c>
      <c r="I404" s="1" t="s">
        <v>37</v>
      </c>
      <c r="J404" s="1" t="s">
        <v>38</v>
      </c>
      <c r="K404" s="1" t="s">
        <v>39</v>
      </c>
      <c r="L404">
        <v>120</v>
      </c>
      <c r="M404">
        <v>42.8</v>
      </c>
      <c r="N404">
        <v>27.5</v>
      </c>
      <c r="O404">
        <v>23.6</v>
      </c>
      <c r="P404">
        <v>2.7779999999999999E-2</v>
      </c>
      <c r="Q404">
        <v>7.53</v>
      </c>
      <c r="R404">
        <v>3.46</v>
      </c>
      <c r="S404">
        <v>8</v>
      </c>
      <c r="T404">
        <v>6</v>
      </c>
      <c r="U404">
        <v>48</v>
      </c>
      <c r="V404">
        <v>156.60000000000002</v>
      </c>
      <c r="W404">
        <v>386.44</v>
      </c>
      <c r="X404">
        <v>1.33344</v>
      </c>
      <c r="Y404">
        <v>2.1083333333333334</v>
      </c>
      <c r="Z404">
        <v>5.8569499999999997E-2</v>
      </c>
      <c r="AA404">
        <v>4.3923611111111115E-2</v>
      </c>
      <c r="AB404">
        <v>875.38</v>
      </c>
      <c r="AC404">
        <v>1</v>
      </c>
      <c r="AD404" s="1" t="s">
        <v>44</v>
      </c>
      <c r="AE404">
        <v>0</v>
      </c>
      <c r="AF404">
        <v>1</v>
      </c>
      <c r="AG404">
        <v>13.881578947368421</v>
      </c>
    </row>
    <row r="405" spans="1:33">
      <c r="A405" s="1" t="s">
        <v>438</v>
      </c>
      <c r="B405" s="1" t="s">
        <v>1471</v>
      </c>
      <c r="C405" s="2">
        <v>46253</v>
      </c>
      <c r="D405" s="1" t="s">
        <v>34</v>
      </c>
      <c r="E405">
        <v>216</v>
      </c>
      <c r="F405" s="2">
        <v>46081</v>
      </c>
      <c r="G405" s="1" t="s">
        <v>439</v>
      </c>
      <c r="H405" s="1" t="s">
        <v>52</v>
      </c>
      <c r="I405" s="1" t="s">
        <v>37</v>
      </c>
      <c r="J405" s="1" t="s">
        <v>38</v>
      </c>
      <c r="K405" s="1" t="s">
        <v>39</v>
      </c>
      <c r="L405">
        <v>180</v>
      </c>
      <c r="M405">
        <v>54</v>
      </c>
      <c r="N405">
        <v>40.9</v>
      </c>
      <c r="O405">
        <v>28.2</v>
      </c>
      <c r="P405">
        <v>6.2280000000000002E-2</v>
      </c>
      <c r="Q405">
        <v>10.18</v>
      </c>
      <c r="R405">
        <v>23.19</v>
      </c>
      <c r="S405">
        <v>4</v>
      </c>
      <c r="T405">
        <v>3</v>
      </c>
      <c r="U405">
        <v>12</v>
      </c>
      <c r="V405">
        <v>99.6</v>
      </c>
      <c r="W405">
        <v>147.16</v>
      </c>
      <c r="X405">
        <v>0.74736000000000002</v>
      </c>
      <c r="Y405">
        <v>1.2</v>
      </c>
      <c r="Z405">
        <v>7.4735999999999997E-2</v>
      </c>
      <c r="AA405">
        <v>9.9999999999999992E-2</v>
      </c>
      <c r="AB405">
        <v>5009.04</v>
      </c>
      <c r="AC405">
        <v>1</v>
      </c>
      <c r="AD405" s="1" t="s">
        <v>44</v>
      </c>
      <c r="AE405">
        <v>0</v>
      </c>
      <c r="AF405">
        <v>1</v>
      </c>
      <c r="AG405">
        <v>5.6578947368421053</v>
      </c>
    </row>
    <row r="406" spans="1:33">
      <c r="A406" s="1" t="s">
        <v>438</v>
      </c>
      <c r="B406" s="1" t="s">
        <v>1472</v>
      </c>
      <c r="C406" s="2">
        <v>47077</v>
      </c>
      <c r="D406" s="1" t="s">
        <v>34</v>
      </c>
      <c r="E406">
        <v>1982</v>
      </c>
      <c r="F406" s="2">
        <v>46081</v>
      </c>
      <c r="G406" s="1" t="s">
        <v>439</v>
      </c>
      <c r="H406" s="1" t="s">
        <v>52</v>
      </c>
      <c r="I406" s="1" t="s">
        <v>37</v>
      </c>
      <c r="J406" s="1" t="s">
        <v>38</v>
      </c>
      <c r="K406" s="1" t="s">
        <v>39</v>
      </c>
      <c r="L406">
        <v>180</v>
      </c>
      <c r="M406">
        <v>54</v>
      </c>
      <c r="N406">
        <v>40.9</v>
      </c>
      <c r="O406">
        <v>28.2</v>
      </c>
      <c r="P406">
        <v>6.2280000000000002E-2</v>
      </c>
      <c r="Q406">
        <v>10.18</v>
      </c>
      <c r="R406">
        <v>23.19</v>
      </c>
      <c r="S406">
        <v>4</v>
      </c>
      <c r="T406">
        <v>3</v>
      </c>
      <c r="U406">
        <v>12</v>
      </c>
      <c r="V406">
        <v>99.6</v>
      </c>
      <c r="W406">
        <v>147.16</v>
      </c>
      <c r="X406">
        <v>0.74736000000000002</v>
      </c>
      <c r="Y406">
        <v>11.011111111111111</v>
      </c>
      <c r="Z406">
        <v>0.68577200000000005</v>
      </c>
      <c r="AA406">
        <v>0.91759259259259263</v>
      </c>
      <c r="AB406">
        <v>45962.58</v>
      </c>
      <c r="AC406">
        <v>1</v>
      </c>
      <c r="AD406" s="1" t="s">
        <v>40</v>
      </c>
      <c r="AE406">
        <v>1</v>
      </c>
      <c r="AF406">
        <v>0</v>
      </c>
      <c r="AG406">
        <v>32.763157894736842</v>
      </c>
    </row>
    <row r="407" spans="1:33">
      <c r="A407" s="1" t="s">
        <v>438</v>
      </c>
      <c r="B407" s="1" t="s">
        <v>1473</v>
      </c>
      <c r="C407" s="2">
        <v>46738</v>
      </c>
      <c r="D407" s="1" t="s">
        <v>34</v>
      </c>
      <c r="E407">
        <v>457</v>
      </c>
      <c r="F407" s="2">
        <v>46081</v>
      </c>
      <c r="G407" s="1" t="s">
        <v>439</v>
      </c>
      <c r="H407" s="1" t="s">
        <v>52</v>
      </c>
      <c r="I407" s="1" t="s">
        <v>37</v>
      </c>
      <c r="J407" s="1" t="s">
        <v>38</v>
      </c>
      <c r="K407" s="1" t="s">
        <v>39</v>
      </c>
      <c r="L407">
        <v>180</v>
      </c>
      <c r="M407">
        <v>54</v>
      </c>
      <c r="N407">
        <v>40.9</v>
      </c>
      <c r="O407">
        <v>28.2</v>
      </c>
      <c r="P407">
        <v>6.2280000000000002E-2</v>
      </c>
      <c r="Q407">
        <v>10.18</v>
      </c>
      <c r="R407">
        <v>23.19</v>
      </c>
      <c r="S407">
        <v>4</v>
      </c>
      <c r="T407">
        <v>3</v>
      </c>
      <c r="U407">
        <v>12</v>
      </c>
      <c r="V407">
        <v>99.6</v>
      </c>
      <c r="W407">
        <v>147.16</v>
      </c>
      <c r="X407">
        <v>0.74736000000000002</v>
      </c>
      <c r="Y407">
        <v>2.5388888888888888</v>
      </c>
      <c r="Z407">
        <v>0.15812199999999998</v>
      </c>
      <c r="AA407">
        <v>0.21157407407407405</v>
      </c>
      <c r="AB407">
        <v>10597.83</v>
      </c>
      <c r="AC407">
        <v>1</v>
      </c>
      <c r="AD407" s="1" t="s">
        <v>44</v>
      </c>
      <c r="AE407">
        <v>0</v>
      </c>
      <c r="AF407">
        <v>1</v>
      </c>
      <c r="AG407">
        <v>21.611842105263158</v>
      </c>
    </row>
    <row r="408" spans="1:33">
      <c r="A408" s="1" t="s">
        <v>440</v>
      </c>
      <c r="B408" s="1" t="s">
        <v>1474</v>
      </c>
      <c r="C408" s="2">
        <v>47049</v>
      </c>
      <c r="D408" s="1" t="s">
        <v>34</v>
      </c>
      <c r="E408">
        <v>47626</v>
      </c>
      <c r="F408" s="2">
        <v>46081</v>
      </c>
      <c r="G408" s="1" t="s">
        <v>441</v>
      </c>
      <c r="H408" s="1" t="s">
        <v>48</v>
      </c>
      <c r="I408" s="1" t="s">
        <v>37</v>
      </c>
      <c r="J408" s="1" t="s">
        <v>38</v>
      </c>
      <c r="K408" s="1" t="s">
        <v>39</v>
      </c>
      <c r="L408">
        <v>120</v>
      </c>
      <c r="M408">
        <v>42.3</v>
      </c>
      <c r="N408">
        <v>43.9</v>
      </c>
      <c r="O408">
        <v>24.5</v>
      </c>
      <c r="P408">
        <v>4.5499999999999999E-2</v>
      </c>
      <c r="Q408">
        <v>8.0399999999999991</v>
      </c>
      <c r="R408">
        <v>11.88</v>
      </c>
      <c r="S408">
        <v>4</v>
      </c>
      <c r="T408">
        <v>5</v>
      </c>
      <c r="U408">
        <v>20</v>
      </c>
      <c r="V408">
        <v>137.5</v>
      </c>
      <c r="W408">
        <v>185.8</v>
      </c>
      <c r="X408">
        <v>0.91</v>
      </c>
      <c r="Y408">
        <v>396.88333333333333</v>
      </c>
      <c r="Z408">
        <v>18.058191666666666</v>
      </c>
      <c r="AA408">
        <v>19.844166666666666</v>
      </c>
      <c r="AB408">
        <v>565796.88</v>
      </c>
      <c r="AC408">
        <v>20</v>
      </c>
      <c r="AD408" s="1" t="s">
        <v>40</v>
      </c>
      <c r="AE408">
        <v>20</v>
      </c>
      <c r="AF408">
        <v>0</v>
      </c>
      <c r="AG408">
        <v>31.842105263157897</v>
      </c>
    </row>
    <row r="409" spans="1:33">
      <c r="A409" s="1" t="s">
        <v>440</v>
      </c>
      <c r="B409" s="1" t="s">
        <v>1475</v>
      </c>
      <c r="C409" s="2">
        <v>46495</v>
      </c>
      <c r="D409" s="1" t="s">
        <v>49</v>
      </c>
      <c r="E409">
        <v>2381</v>
      </c>
      <c r="F409" s="2">
        <v>46081</v>
      </c>
      <c r="G409" s="1" t="s">
        <v>441</v>
      </c>
      <c r="H409" s="1" t="s">
        <v>48</v>
      </c>
      <c r="I409" s="1" t="s">
        <v>37</v>
      </c>
      <c r="J409" s="1" t="s">
        <v>38</v>
      </c>
      <c r="K409" s="1" t="s">
        <v>39</v>
      </c>
      <c r="L409">
        <v>120</v>
      </c>
      <c r="M409">
        <v>42.3</v>
      </c>
      <c r="N409">
        <v>43.9</v>
      </c>
      <c r="O409">
        <v>24.5</v>
      </c>
      <c r="P409">
        <v>4.5499999999999999E-2</v>
      </c>
      <c r="Q409">
        <v>8.0399999999999991</v>
      </c>
      <c r="R409">
        <v>11.88</v>
      </c>
      <c r="S409">
        <v>4</v>
      </c>
      <c r="T409">
        <v>5</v>
      </c>
      <c r="U409">
        <v>20</v>
      </c>
      <c r="V409">
        <v>137.5</v>
      </c>
      <c r="W409">
        <v>185.8</v>
      </c>
      <c r="X409">
        <v>0.91</v>
      </c>
      <c r="Y409">
        <v>19.841666666666665</v>
      </c>
      <c r="Z409">
        <v>0.90279583333333324</v>
      </c>
      <c r="AA409">
        <v>0.99208333333333321</v>
      </c>
      <c r="AB409">
        <v>28286.280000000002</v>
      </c>
      <c r="AC409">
        <v>1</v>
      </c>
      <c r="AD409" s="1" t="s">
        <v>40</v>
      </c>
      <c r="AE409">
        <v>1</v>
      </c>
      <c r="AF409">
        <v>0</v>
      </c>
      <c r="AG409">
        <v>13.618421052631579</v>
      </c>
    </row>
    <row r="410" spans="1:33">
      <c r="A410" s="1" t="s">
        <v>442</v>
      </c>
      <c r="B410" s="1" t="s">
        <v>1476</v>
      </c>
      <c r="C410" s="2">
        <v>46889</v>
      </c>
      <c r="D410" s="1" t="s">
        <v>34</v>
      </c>
      <c r="E410">
        <v>2315</v>
      </c>
      <c r="F410" s="2">
        <v>46081</v>
      </c>
      <c r="G410" s="1" t="s">
        <v>443</v>
      </c>
      <c r="H410" s="1" t="s">
        <v>43</v>
      </c>
      <c r="I410" s="1" t="s">
        <v>37</v>
      </c>
      <c r="J410" s="1" t="s">
        <v>38</v>
      </c>
      <c r="K410" s="1" t="s">
        <v>39</v>
      </c>
      <c r="L410">
        <v>120</v>
      </c>
      <c r="M410">
        <v>36.200000000000003</v>
      </c>
      <c r="N410">
        <v>43.1</v>
      </c>
      <c r="O410">
        <v>32</v>
      </c>
      <c r="P410">
        <v>4.9930000000000002E-2</v>
      </c>
      <c r="Q410">
        <v>13.57</v>
      </c>
      <c r="R410">
        <v>2.54</v>
      </c>
      <c r="S410">
        <v>6</v>
      </c>
      <c r="T410">
        <v>4</v>
      </c>
      <c r="U410">
        <v>24</v>
      </c>
      <c r="V410">
        <v>143</v>
      </c>
      <c r="W410">
        <v>350.68</v>
      </c>
      <c r="X410">
        <v>1.1983200000000001</v>
      </c>
      <c r="Y410">
        <v>19.291666666666668</v>
      </c>
      <c r="Z410">
        <v>0.96323291666666677</v>
      </c>
      <c r="AA410">
        <v>0.80381944444444453</v>
      </c>
      <c r="AB410">
        <v>5880.1</v>
      </c>
      <c r="AC410">
        <v>1</v>
      </c>
      <c r="AD410" s="1" t="s">
        <v>40</v>
      </c>
      <c r="AE410">
        <v>1</v>
      </c>
      <c r="AF410">
        <v>0</v>
      </c>
      <c r="AG410">
        <v>26.578947368421055</v>
      </c>
    </row>
    <row r="411" spans="1:33">
      <c r="A411" s="1" t="s">
        <v>444</v>
      </c>
      <c r="B411" s="1" t="s">
        <v>1477</v>
      </c>
      <c r="C411" s="2">
        <v>46595</v>
      </c>
      <c r="D411" s="1" t="s">
        <v>34</v>
      </c>
      <c r="E411">
        <v>461</v>
      </c>
      <c r="F411" s="2">
        <v>46081</v>
      </c>
      <c r="G411" s="1" t="s">
        <v>445</v>
      </c>
      <c r="H411" s="1" t="s">
        <v>48</v>
      </c>
      <c r="I411" s="1" t="s">
        <v>37</v>
      </c>
      <c r="J411" s="1" t="s">
        <v>38</v>
      </c>
      <c r="K411" s="1" t="s">
        <v>39</v>
      </c>
      <c r="L411">
        <v>180</v>
      </c>
      <c r="M411">
        <v>30.1</v>
      </c>
      <c r="N411">
        <v>28.7</v>
      </c>
      <c r="O411">
        <v>33.6</v>
      </c>
      <c r="P411">
        <v>2.903E-2</v>
      </c>
      <c r="Q411">
        <v>4.95</v>
      </c>
      <c r="R411">
        <v>15.19</v>
      </c>
      <c r="S411">
        <v>12</v>
      </c>
      <c r="T411">
        <v>3</v>
      </c>
      <c r="U411">
        <v>36</v>
      </c>
      <c r="V411">
        <v>115.8</v>
      </c>
      <c r="W411">
        <v>203.2</v>
      </c>
      <c r="X411">
        <v>1.04508</v>
      </c>
      <c r="Y411">
        <v>2.5611111111111109</v>
      </c>
      <c r="Z411">
        <v>7.4349055555555543E-2</v>
      </c>
      <c r="AA411">
        <v>7.1141975308641969E-2</v>
      </c>
      <c r="AB411">
        <v>7002.59</v>
      </c>
      <c r="AC411">
        <v>1</v>
      </c>
      <c r="AD411" s="1" t="s">
        <v>44</v>
      </c>
      <c r="AE411">
        <v>0</v>
      </c>
      <c r="AF411">
        <v>1</v>
      </c>
      <c r="AG411">
        <v>16.907894736842106</v>
      </c>
    </row>
    <row r="412" spans="1:33">
      <c r="A412" s="1" t="s">
        <v>444</v>
      </c>
      <c r="B412" s="1" t="s">
        <v>1478</v>
      </c>
      <c r="C412" s="2">
        <v>47048</v>
      </c>
      <c r="D412" s="1" t="s">
        <v>34</v>
      </c>
      <c r="E412">
        <v>690</v>
      </c>
      <c r="F412" s="2">
        <v>46081</v>
      </c>
      <c r="G412" s="1" t="s">
        <v>445</v>
      </c>
      <c r="H412" s="1" t="s">
        <v>48</v>
      </c>
      <c r="I412" s="1" t="s">
        <v>37</v>
      </c>
      <c r="J412" s="1" t="s">
        <v>38</v>
      </c>
      <c r="K412" s="1" t="s">
        <v>39</v>
      </c>
      <c r="L412">
        <v>180</v>
      </c>
      <c r="M412">
        <v>30.1</v>
      </c>
      <c r="N412">
        <v>28.7</v>
      </c>
      <c r="O412">
        <v>33.6</v>
      </c>
      <c r="P412">
        <v>2.903E-2</v>
      </c>
      <c r="Q412">
        <v>4.95</v>
      </c>
      <c r="R412">
        <v>15.19</v>
      </c>
      <c r="S412">
        <v>12</v>
      </c>
      <c r="T412">
        <v>3</v>
      </c>
      <c r="U412">
        <v>36</v>
      </c>
      <c r="V412">
        <v>115.8</v>
      </c>
      <c r="W412">
        <v>203.2</v>
      </c>
      <c r="X412">
        <v>1.04508</v>
      </c>
      <c r="Y412">
        <v>3.8333333333333335</v>
      </c>
      <c r="Z412">
        <v>0.11128166666666667</v>
      </c>
      <c r="AA412">
        <v>0.10648148148148148</v>
      </c>
      <c r="AB412">
        <v>10481.1</v>
      </c>
      <c r="AC412">
        <v>1</v>
      </c>
      <c r="AD412" s="1" t="s">
        <v>44</v>
      </c>
      <c r="AE412">
        <v>0</v>
      </c>
      <c r="AF412">
        <v>1</v>
      </c>
      <c r="AG412">
        <v>31.809210526315791</v>
      </c>
    </row>
    <row r="413" spans="1:33">
      <c r="A413" s="1" t="s">
        <v>444</v>
      </c>
      <c r="B413" s="1" t="s">
        <v>1479</v>
      </c>
      <c r="C413" s="2">
        <v>46501</v>
      </c>
      <c r="D413" s="1" t="s">
        <v>34</v>
      </c>
      <c r="E413">
        <v>555</v>
      </c>
      <c r="F413" s="2">
        <v>46081</v>
      </c>
      <c r="G413" s="1" t="s">
        <v>445</v>
      </c>
      <c r="H413" s="1" t="s">
        <v>48</v>
      </c>
      <c r="I413" s="1" t="s">
        <v>37</v>
      </c>
      <c r="J413" s="1" t="s">
        <v>38</v>
      </c>
      <c r="K413" s="1" t="s">
        <v>39</v>
      </c>
      <c r="L413">
        <v>180</v>
      </c>
      <c r="M413">
        <v>30.1</v>
      </c>
      <c r="N413">
        <v>28.7</v>
      </c>
      <c r="O413">
        <v>33.6</v>
      </c>
      <c r="P413">
        <v>2.903E-2</v>
      </c>
      <c r="Q413">
        <v>4.95</v>
      </c>
      <c r="R413">
        <v>15.19</v>
      </c>
      <c r="S413">
        <v>12</v>
      </c>
      <c r="T413">
        <v>3</v>
      </c>
      <c r="U413">
        <v>36</v>
      </c>
      <c r="V413">
        <v>115.8</v>
      </c>
      <c r="W413">
        <v>203.2</v>
      </c>
      <c r="X413">
        <v>1.04508</v>
      </c>
      <c r="Y413">
        <v>3.0833333333333335</v>
      </c>
      <c r="Z413">
        <v>8.9509166666666667E-2</v>
      </c>
      <c r="AA413">
        <v>8.5648148148148154E-2</v>
      </c>
      <c r="AB413">
        <v>8430.4499999999989</v>
      </c>
      <c r="AC413">
        <v>1</v>
      </c>
      <c r="AD413" s="1" t="s">
        <v>44</v>
      </c>
      <c r="AE413">
        <v>0</v>
      </c>
      <c r="AF413">
        <v>1</v>
      </c>
      <c r="AG413">
        <v>13.815789473684211</v>
      </c>
    </row>
    <row r="414" spans="1:33">
      <c r="A414" s="1" t="s">
        <v>446</v>
      </c>
      <c r="B414" s="1" t="s">
        <v>1480</v>
      </c>
      <c r="C414" s="2">
        <v>46381</v>
      </c>
      <c r="D414" s="1" t="s">
        <v>34</v>
      </c>
      <c r="E414">
        <v>670</v>
      </c>
      <c r="F414" s="2">
        <v>46081</v>
      </c>
      <c r="G414" s="1" t="s">
        <v>447</v>
      </c>
      <c r="H414" s="1" t="s">
        <v>70</v>
      </c>
      <c r="I414" s="1" t="s">
        <v>37</v>
      </c>
      <c r="J414" s="1" t="s">
        <v>38</v>
      </c>
      <c r="K414" s="1" t="s">
        <v>39</v>
      </c>
      <c r="L414">
        <v>100</v>
      </c>
      <c r="M414">
        <v>36</v>
      </c>
      <c r="N414">
        <v>37.4</v>
      </c>
      <c r="O414">
        <v>34.5</v>
      </c>
      <c r="P414">
        <v>4.6449999999999998E-2</v>
      </c>
      <c r="Q414">
        <v>8.11</v>
      </c>
      <c r="R414">
        <v>8.48</v>
      </c>
      <c r="S414">
        <v>6</v>
      </c>
      <c r="T414">
        <v>3</v>
      </c>
      <c r="U414">
        <v>18</v>
      </c>
      <c r="V414">
        <v>118.5</v>
      </c>
      <c r="W414">
        <v>170.98</v>
      </c>
      <c r="X414">
        <v>0.83609999999999995</v>
      </c>
      <c r="Y414">
        <v>6.7</v>
      </c>
      <c r="Z414">
        <v>0.31121500000000002</v>
      </c>
      <c r="AA414">
        <v>0.37222222222222223</v>
      </c>
      <c r="AB414">
        <v>5681.6</v>
      </c>
      <c r="AC414">
        <v>1</v>
      </c>
      <c r="AD414" s="1" t="s">
        <v>40</v>
      </c>
      <c r="AE414">
        <v>1</v>
      </c>
      <c r="AF414">
        <v>0</v>
      </c>
      <c r="AG414">
        <v>9.8684210526315788</v>
      </c>
    </row>
    <row r="415" spans="1:33">
      <c r="A415" s="1" t="s">
        <v>446</v>
      </c>
      <c r="B415" s="1" t="s">
        <v>1481</v>
      </c>
      <c r="C415" s="2">
        <v>46299</v>
      </c>
      <c r="D415" s="1" t="s">
        <v>34</v>
      </c>
      <c r="E415">
        <v>83</v>
      </c>
      <c r="F415" s="2">
        <v>46081</v>
      </c>
      <c r="G415" s="1" t="s">
        <v>447</v>
      </c>
      <c r="H415" s="1" t="s">
        <v>70</v>
      </c>
      <c r="I415" s="1" t="s">
        <v>37</v>
      </c>
      <c r="J415" s="1" t="s">
        <v>38</v>
      </c>
      <c r="K415" s="1" t="s">
        <v>39</v>
      </c>
      <c r="L415">
        <v>100</v>
      </c>
      <c r="M415">
        <v>36</v>
      </c>
      <c r="N415">
        <v>37.4</v>
      </c>
      <c r="O415">
        <v>34.5</v>
      </c>
      <c r="P415">
        <v>4.6449999999999998E-2</v>
      </c>
      <c r="Q415">
        <v>8.11</v>
      </c>
      <c r="R415">
        <v>8.48</v>
      </c>
      <c r="S415">
        <v>6</v>
      </c>
      <c r="T415">
        <v>3</v>
      </c>
      <c r="U415">
        <v>18</v>
      </c>
      <c r="V415">
        <v>118.5</v>
      </c>
      <c r="W415">
        <v>170.98</v>
      </c>
      <c r="X415">
        <v>0.83609999999999995</v>
      </c>
      <c r="Y415">
        <v>0.83</v>
      </c>
      <c r="Z415">
        <v>3.8553499999999997E-2</v>
      </c>
      <c r="AA415">
        <v>4.611111111111111E-2</v>
      </c>
      <c r="AB415">
        <v>703.84</v>
      </c>
      <c r="AC415">
        <v>1</v>
      </c>
      <c r="AD415" s="1" t="s">
        <v>44</v>
      </c>
      <c r="AE415">
        <v>0</v>
      </c>
      <c r="AF415">
        <v>1</v>
      </c>
      <c r="AG415">
        <v>7.1710526315789478</v>
      </c>
    </row>
    <row r="416" spans="1:33">
      <c r="A416" s="1" t="s">
        <v>448</v>
      </c>
      <c r="B416" s="1" t="s">
        <v>1482</v>
      </c>
      <c r="C416" s="2">
        <v>46991</v>
      </c>
      <c r="D416" s="1" t="s">
        <v>34</v>
      </c>
      <c r="E416">
        <v>3862</v>
      </c>
      <c r="F416" s="2">
        <v>46081</v>
      </c>
      <c r="G416" s="1" t="s">
        <v>449</v>
      </c>
      <c r="H416" s="1" t="s">
        <v>36</v>
      </c>
      <c r="I416" s="1" t="s">
        <v>37</v>
      </c>
      <c r="J416" s="1" t="s">
        <v>38</v>
      </c>
      <c r="K416" s="1" t="s">
        <v>39</v>
      </c>
      <c r="L416">
        <v>180</v>
      </c>
      <c r="M416">
        <v>44.4</v>
      </c>
      <c r="N416">
        <v>29.3</v>
      </c>
      <c r="O416">
        <v>15.1</v>
      </c>
      <c r="P416">
        <v>1.9640000000000001E-2</v>
      </c>
      <c r="Q416">
        <v>4.1100000000000003</v>
      </c>
      <c r="R416">
        <v>7.22</v>
      </c>
      <c r="S416">
        <v>8</v>
      </c>
      <c r="T416">
        <v>5</v>
      </c>
      <c r="U416">
        <v>40</v>
      </c>
      <c r="V416">
        <v>90.5</v>
      </c>
      <c r="W416">
        <v>189.4</v>
      </c>
      <c r="X416">
        <v>0.78560000000000008</v>
      </c>
      <c r="Y416">
        <v>21.455555555555556</v>
      </c>
      <c r="Z416">
        <v>0.42138711111111116</v>
      </c>
      <c r="AA416">
        <v>0.53638888888888892</v>
      </c>
      <c r="AB416">
        <v>27883.64</v>
      </c>
      <c r="AC416">
        <v>1</v>
      </c>
      <c r="AD416" s="1" t="s">
        <v>40</v>
      </c>
      <c r="AE416">
        <v>1</v>
      </c>
      <c r="AF416">
        <v>0</v>
      </c>
      <c r="AG416">
        <v>29.934210526315791</v>
      </c>
    </row>
    <row r="417" spans="1:33">
      <c r="A417" s="1" t="s">
        <v>450</v>
      </c>
      <c r="B417" s="1" t="s">
        <v>1483</v>
      </c>
      <c r="C417" s="2">
        <v>46531</v>
      </c>
      <c r="D417" s="1" t="s">
        <v>34</v>
      </c>
      <c r="E417">
        <v>27564</v>
      </c>
      <c r="F417" s="2">
        <v>46081</v>
      </c>
      <c r="G417" s="1" t="s">
        <v>451</v>
      </c>
      <c r="H417" s="1" t="s">
        <v>52</v>
      </c>
      <c r="I417" s="1" t="s">
        <v>37</v>
      </c>
      <c r="J417" s="1" t="s">
        <v>38</v>
      </c>
      <c r="K417" s="1" t="s">
        <v>39</v>
      </c>
      <c r="L417">
        <v>180</v>
      </c>
      <c r="M417">
        <v>48.2</v>
      </c>
      <c r="N417">
        <v>33.299999999999997</v>
      </c>
      <c r="O417">
        <v>20.6</v>
      </c>
      <c r="P417">
        <v>3.3059999999999999E-2</v>
      </c>
      <c r="Q417">
        <v>8.85</v>
      </c>
      <c r="R417">
        <v>22.64</v>
      </c>
      <c r="S417">
        <v>6</v>
      </c>
      <c r="T417">
        <v>5</v>
      </c>
      <c r="U417">
        <v>30</v>
      </c>
      <c r="V417">
        <v>118</v>
      </c>
      <c r="W417">
        <v>290.5</v>
      </c>
      <c r="X417">
        <v>0.99180000000000001</v>
      </c>
      <c r="Y417">
        <v>153.13333333333333</v>
      </c>
      <c r="Z417">
        <v>5.0625879999999999</v>
      </c>
      <c r="AA417">
        <v>5.1044444444444439</v>
      </c>
      <c r="AB417">
        <v>624048.96</v>
      </c>
      <c r="AC417">
        <v>6</v>
      </c>
      <c r="AD417" s="1" t="s">
        <v>40</v>
      </c>
      <c r="AE417">
        <v>6</v>
      </c>
      <c r="AF417">
        <v>0</v>
      </c>
      <c r="AG417">
        <v>14.80263157894737</v>
      </c>
    </row>
    <row r="418" spans="1:33">
      <c r="A418" s="1" t="s">
        <v>450</v>
      </c>
      <c r="B418" s="1" t="s">
        <v>1484</v>
      </c>
      <c r="C418" s="2">
        <v>46865</v>
      </c>
      <c r="D418" s="1" t="s">
        <v>34</v>
      </c>
      <c r="E418">
        <v>6073</v>
      </c>
      <c r="F418" s="2">
        <v>46081</v>
      </c>
      <c r="G418" s="1" t="s">
        <v>451</v>
      </c>
      <c r="H418" s="1" t="s">
        <v>52</v>
      </c>
      <c r="I418" s="1" t="s">
        <v>37</v>
      </c>
      <c r="J418" s="1" t="s">
        <v>38</v>
      </c>
      <c r="K418" s="1" t="s">
        <v>39</v>
      </c>
      <c r="L418">
        <v>180</v>
      </c>
      <c r="M418">
        <v>48.2</v>
      </c>
      <c r="N418">
        <v>33.299999999999997</v>
      </c>
      <c r="O418">
        <v>20.6</v>
      </c>
      <c r="P418">
        <v>3.3059999999999999E-2</v>
      </c>
      <c r="Q418">
        <v>8.85</v>
      </c>
      <c r="R418">
        <v>22.64</v>
      </c>
      <c r="S418">
        <v>6</v>
      </c>
      <c r="T418">
        <v>5</v>
      </c>
      <c r="U418">
        <v>30</v>
      </c>
      <c r="V418">
        <v>118</v>
      </c>
      <c r="W418">
        <v>290.5</v>
      </c>
      <c r="X418">
        <v>0.99180000000000001</v>
      </c>
      <c r="Y418">
        <v>33.738888888888887</v>
      </c>
      <c r="Z418">
        <v>1.1154076666666666</v>
      </c>
      <c r="AA418">
        <v>1.1246296296296296</v>
      </c>
      <c r="AB418">
        <v>137492.72</v>
      </c>
      <c r="AC418">
        <v>2</v>
      </c>
      <c r="AD418" s="1" t="s">
        <v>40</v>
      </c>
      <c r="AE418">
        <v>2</v>
      </c>
      <c r="AF418">
        <v>0</v>
      </c>
      <c r="AG418">
        <v>25.789473684210527</v>
      </c>
    </row>
    <row r="419" spans="1:33">
      <c r="A419" s="1" t="s">
        <v>452</v>
      </c>
      <c r="B419" s="1" t="s">
        <v>1485</v>
      </c>
      <c r="C419" s="2">
        <v>46790</v>
      </c>
      <c r="D419" s="1" t="s">
        <v>34</v>
      </c>
      <c r="E419">
        <v>8255</v>
      </c>
      <c r="F419" s="2">
        <v>46081</v>
      </c>
      <c r="G419" s="1" t="s">
        <v>453</v>
      </c>
      <c r="H419" s="1" t="s">
        <v>36</v>
      </c>
      <c r="I419" s="1" t="s">
        <v>37</v>
      </c>
      <c r="J419" s="1" t="s">
        <v>38</v>
      </c>
      <c r="K419" s="1" t="s">
        <v>39</v>
      </c>
      <c r="L419">
        <v>100</v>
      </c>
      <c r="M419">
        <v>47.8</v>
      </c>
      <c r="N419">
        <v>30</v>
      </c>
      <c r="O419">
        <v>31.9</v>
      </c>
      <c r="P419">
        <v>4.5740000000000003E-2</v>
      </c>
      <c r="Q419">
        <v>13.32</v>
      </c>
      <c r="R419">
        <v>10.59</v>
      </c>
      <c r="S419">
        <v>8</v>
      </c>
      <c r="T419">
        <v>2</v>
      </c>
      <c r="U419">
        <v>16</v>
      </c>
      <c r="V419">
        <v>78.8</v>
      </c>
      <c r="W419">
        <v>238.12</v>
      </c>
      <c r="X419">
        <v>0.73184000000000005</v>
      </c>
      <c r="Y419">
        <v>82.55</v>
      </c>
      <c r="Z419">
        <v>3.7758370000000001</v>
      </c>
      <c r="AA419">
        <v>5.1593749999999998</v>
      </c>
      <c r="AB419">
        <v>87420.45</v>
      </c>
      <c r="AC419">
        <v>6</v>
      </c>
      <c r="AD419" s="1" t="s">
        <v>40</v>
      </c>
      <c r="AE419">
        <v>6</v>
      </c>
      <c r="AF419">
        <v>0</v>
      </c>
      <c r="AG419">
        <v>23.322368421052634</v>
      </c>
    </row>
    <row r="420" spans="1:33">
      <c r="A420" s="1" t="s">
        <v>452</v>
      </c>
      <c r="B420" s="1" t="s">
        <v>1486</v>
      </c>
      <c r="C420" s="2">
        <v>47081</v>
      </c>
      <c r="D420" s="1" t="s">
        <v>34</v>
      </c>
      <c r="E420">
        <v>4410</v>
      </c>
      <c r="F420" s="2">
        <v>46081</v>
      </c>
      <c r="G420" s="1" t="s">
        <v>453</v>
      </c>
      <c r="H420" s="1" t="s">
        <v>36</v>
      </c>
      <c r="I420" s="1" t="s">
        <v>37</v>
      </c>
      <c r="J420" s="1" t="s">
        <v>38</v>
      </c>
      <c r="K420" s="1" t="s">
        <v>39</v>
      </c>
      <c r="L420">
        <v>100</v>
      </c>
      <c r="M420">
        <v>47.8</v>
      </c>
      <c r="N420">
        <v>30</v>
      </c>
      <c r="O420">
        <v>31.9</v>
      </c>
      <c r="P420">
        <v>4.5740000000000003E-2</v>
      </c>
      <c r="Q420">
        <v>13.32</v>
      </c>
      <c r="R420">
        <v>10.59</v>
      </c>
      <c r="S420">
        <v>8</v>
      </c>
      <c r="T420">
        <v>2</v>
      </c>
      <c r="U420">
        <v>16</v>
      </c>
      <c r="V420">
        <v>78.8</v>
      </c>
      <c r="W420">
        <v>238.12</v>
      </c>
      <c r="X420">
        <v>0.73184000000000005</v>
      </c>
      <c r="Y420">
        <v>44.1</v>
      </c>
      <c r="Z420">
        <v>2.017134</v>
      </c>
      <c r="AA420">
        <v>2.7562500000000001</v>
      </c>
      <c r="AB420">
        <v>46701.9</v>
      </c>
      <c r="AC420">
        <v>3</v>
      </c>
      <c r="AD420" s="1" t="s">
        <v>40</v>
      </c>
      <c r="AE420">
        <v>3</v>
      </c>
      <c r="AF420">
        <v>0</v>
      </c>
      <c r="AG420">
        <v>32.894736842105267</v>
      </c>
    </row>
    <row r="421" spans="1:33">
      <c r="A421" s="1" t="s">
        <v>452</v>
      </c>
      <c r="B421" s="1" t="s">
        <v>1487</v>
      </c>
      <c r="C421" s="2">
        <v>46716</v>
      </c>
      <c r="D421" s="1" t="s">
        <v>34</v>
      </c>
      <c r="E421">
        <v>11549</v>
      </c>
      <c r="F421" s="2">
        <v>46081</v>
      </c>
      <c r="G421" s="1" t="s">
        <v>453</v>
      </c>
      <c r="H421" s="1" t="s">
        <v>36</v>
      </c>
      <c r="I421" s="1" t="s">
        <v>37</v>
      </c>
      <c r="J421" s="1" t="s">
        <v>38</v>
      </c>
      <c r="K421" s="1" t="s">
        <v>39</v>
      </c>
      <c r="L421">
        <v>100</v>
      </c>
      <c r="M421">
        <v>47.8</v>
      </c>
      <c r="N421">
        <v>30</v>
      </c>
      <c r="O421">
        <v>31.9</v>
      </c>
      <c r="P421">
        <v>4.5740000000000003E-2</v>
      </c>
      <c r="Q421">
        <v>13.32</v>
      </c>
      <c r="R421">
        <v>10.59</v>
      </c>
      <c r="S421">
        <v>8</v>
      </c>
      <c r="T421">
        <v>2</v>
      </c>
      <c r="U421">
        <v>16</v>
      </c>
      <c r="V421">
        <v>78.8</v>
      </c>
      <c r="W421">
        <v>238.12</v>
      </c>
      <c r="X421">
        <v>0.73184000000000005</v>
      </c>
      <c r="Y421">
        <v>115.49</v>
      </c>
      <c r="Z421">
        <v>5.2825126000000004</v>
      </c>
      <c r="AA421">
        <v>7.2181249999999997</v>
      </c>
      <c r="AB421">
        <v>122303.91</v>
      </c>
      <c r="AC421">
        <v>8</v>
      </c>
      <c r="AD421" s="1" t="s">
        <v>40</v>
      </c>
      <c r="AE421">
        <v>8</v>
      </c>
      <c r="AF421">
        <v>0</v>
      </c>
      <c r="AG421">
        <v>20.888157894736842</v>
      </c>
    </row>
    <row r="422" spans="1:33">
      <c r="A422" s="1" t="s">
        <v>454</v>
      </c>
      <c r="B422" s="1" t="s">
        <v>1488</v>
      </c>
      <c r="C422" s="2">
        <v>46355</v>
      </c>
      <c r="D422" s="1" t="s">
        <v>34</v>
      </c>
      <c r="E422">
        <v>79</v>
      </c>
      <c r="F422" s="2">
        <v>46081</v>
      </c>
      <c r="G422" s="1" t="s">
        <v>455</v>
      </c>
      <c r="H422" s="1" t="s">
        <v>43</v>
      </c>
      <c r="I422" s="1" t="s">
        <v>37</v>
      </c>
      <c r="J422" s="1" t="s">
        <v>38</v>
      </c>
      <c r="K422" s="1" t="s">
        <v>39</v>
      </c>
      <c r="L422">
        <v>240</v>
      </c>
      <c r="M422">
        <v>43.4</v>
      </c>
      <c r="N422">
        <v>33.200000000000003</v>
      </c>
      <c r="O422">
        <v>25.1</v>
      </c>
      <c r="P422">
        <v>3.6170000000000001E-2</v>
      </c>
      <c r="Q422">
        <v>10.52</v>
      </c>
      <c r="R422">
        <v>17.43</v>
      </c>
      <c r="S422">
        <v>6</v>
      </c>
      <c r="T422">
        <v>2</v>
      </c>
      <c r="U422">
        <v>12</v>
      </c>
      <c r="V422">
        <v>65.2</v>
      </c>
      <c r="W422">
        <v>151.24</v>
      </c>
      <c r="X422">
        <v>0.43403999999999998</v>
      </c>
      <c r="Y422">
        <v>0.32916666666666666</v>
      </c>
      <c r="Z422">
        <v>1.1905958333333333E-2</v>
      </c>
      <c r="AA422">
        <v>2.7430555555555555E-2</v>
      </c>
      <c r="AB422">
        <v>1376.97</v>
      </c>
      <c r="AC422">
        <v>1</v>
      </c>
      <c r="AD422" s="1" t="s">
        <v>44</v>
      </c>
      <c r="AE422">
        <v>0</v>
      </c>
      <c r="AF422">
        <v>1</v>
      </c>
      <c r="AG422">
        <v>9.0131578947368425</v>
      </c>
    </row>
    <row r="423" spans="1:33">
      <c r="A423" s="1" t="s">
        <v>454</v>
      </c>
      <c r="B423" s="1" t="s">
        <v>1489</v>
      </c>
      <c r="C423" s="2">
        <v>46953</v>
      </c>
      <c r="D423" s="1" t="s">
        <v>34</v>
      </c>
      <c r="E423">
        <v>82</v>
      </c>
      <c r="F423" s="2">
        <v>46081</v>
      </c>
      <c r="G423" s="1" t="s">
        <v>455</v>
      </c>
      <c r="H423" s="1" t="s">
        <v>43</v>
      </c>
      <c r="I423" s="1" t="s">
        <v>37</v>
      </c>
      <c r="J423" s="1" t="s">
        <v>38</v>
      </c>
      <c r="K423" s="1" t="s">
        <v>39</v>
      </c>
      <c r="L423">
        <v>240</v>
      </c>
      <c r="M423">
        <v>43.4</v>
      </c>
      <c r="N423">
        <v>33.200000000000003</v>
      </c>
      <c r="O423">
        <v>25.1</v>
      </c>
      <c r="P423">
        <v>3.6170000000000001E-2</v>
      </c>
      <c r="Q423">
        <v>10.52</v>
      </c>
      <c r="R423">
        <v>17.43</v>
      </c>
      <c r="S423">
        <v>6</v>
      </c>
      <c r="T423">
        <v>2</v>
      </c>
      <c r="U423">
        <v>12</v>
      </c>
      <c r="V423">
        <v>65.2</v>
      </c>
      <c r="W423">
        <v>151.24</v>
      </c>
      <c r="X423">
        <v>0.43403999999999998</v>
      </c>
      <c r="Y423">
        <v>0.34166666666666667</v>
      </c>
      <c r="Z423">
        <v>1.2358083333333334E-2</v>
      </c>
      <c r="AA423">
        <v>2.8472222222222222E-2</v>
      </c>
      <c r="AB423">
        <v>1429.26</v>
      </c>
      <c r="AC423">
        <v>1</v>
      </c>
      <c r="AD423" s="1" t="s">
        <v>44</v>
      </c>
      <c r="AE423">
        <v>0</v>
      </c>
      <c r="AF423">
        <v>1</v>
      </c>
      <c r="AG423">
        <v>28.684210526315791</v>
      </c>
    </row>
    <row r="424" spans="1:33">
      <c r="A424" s="1" t="s">
        <v>456</v>
      </c>
      <c r="B424" s="1" t="s">
        <v>1490</v>
      </c>
      <c r="C424" s="2">
        <v>46245</v>
      </c>
      <c r="D424" s="1" t="s">
        <v>34</v>
      </c>
      <c r="E424">
        <v>6046</v>
      </c>
      <c r="F424" s="2">
        <v>46081</v>
      </c>
      <c r="G424" s="1" t="s">
        <v>457</v>
      </c>
      <c r="H424" s="1" t="s">
        <v>36</v>
      </c>
      <c r="I424" s="1" t="s">
        <v>37</v>
      </c>
      <c r="J424" s="1" t="s">
        <v>38</v>
      </c>
      <c r="K424" s="1" t="s">
        <v>39</v>
      </c>
      <c r="L424">
        <v>120</v>
      </c>
      <c r="M424">
        <v>59.6</v>
      </c>
      <c r="N424">
        <v>39</v>
      </c>
      <c r="O424">
        <v>21.5</v>
      </c>
      <c r="P424">
        <v>4.9970000000000001E-2</v>
      </c>
      <c r="Q424">
        <v>10.38</v>
      </c>
      <c r="R424">
        <v>11.58</v>
      </c>
      <c r="S424">
        <v>3</v>
      </c>
      <c r="T424">
        <v>4</v>
      </c>
      <c r="U424">
        <v>12</v>
      </c>
      <c r="V424">
        <v>101</v>
      </c>
      <c r="W424">
        <v>149.56</v>
      </c>
      <c r="X424">
        <v>0.59963999999999995</v>
      </c>
      <c r="Y424">
        <v>50.383333333333333</v>
      </c>
      <c r="Z424">
        <v>2.5176551666666667</v>
      </c>
      <c r="AA424">
        <v>4.1986111111111111</v>
      </c>
      <c r="AB424">
        <v>70012.680000000008</v>
      </c>
      <c r="AC424">
        <v>5</v>
      </c>
      <c r="AD424" s="1" t="s">
        <v>40</v>
      </c>
      <c r="AE424">
        <v>5</v>
      </c>
      <c r="AF424">
        <v>0</v>
      </c>
      <c r="AG424">
        <v>5.3947368421052637</v>
      </c>
    </row>
    <row r="425" spans="1:33">
      <c r="A425" s="1" t="s">
        <v>456</v>
      </c>
      <c r="B425" s="1" t="s">
        <v>1491</v>
      </c>
      <c r="C425" s="2">
        <v>46234</v>
      </c>
      <c r="D425" s="1" t="s">
        <v>34</v>
      </c>
      <c r="E425">
        <v>2673</v>
      </c>
      <c r="F425" s="2">
        <v>46081</v>
      </c>
      <c r="G425" s="1" t="s">
        <v>457</v>
      </c>
      <c r="H425" s="1" t="s">
        <v>36</v>
      </c>
      <c r="I425" s="1" t="s">
        <v>37</v>
      </c>
      <c r="J425" s="1" t="s">
        <v>38</v>
      </c>
      <c r="K425" s="1" t="s">
        <v>39</v>
      </c>
      <c r="L425">
        <v>120</v>
      </c>
      <c r="M425">
        <v>59.6</v>
      </c>
      <c r="N425">
        <v>39</v>
      </c>
      <c r="O425">
        <v>21.5</v>
      </c>
      <c r="P425">
        <v>4.9970000000000001E-2</v>
      </c>
      <c r="Q425">
        <v>10.38</v>
      </c>
      <c r="R425">
        <v>11.58</v>
      </c>
      <c r="S425">
        <v>3</v>
      </c>
      <c r="T425">
        <v>4</v>
      </c>
      <c r="U425">
        <v>12</v>
      </c>
      <c r="V425">
        <v>101</v>
      </c>
      <c r="W425">
        <v>149.56</v>
      </c>
      <c r="X425">
        <v>0.59963999999999995</v>
      </c>
      <c r="Y425">
        <v>22.274999999999999</v>
      </c>
      <c r="Z425">
        <v>1.1130817499999999</v>
      </c>
      <c r="AA425">
        <v>1.85625</v>
      </c>
      <c r="AB425">
        <v>30953.34</v>
      </c>
      <c r="AC425">
        <v>2</v>
      </c>
      <c r="AD425" s="1" t="s">
        <v>40</v>
      </c>
      <c r="AE425">
        <v>2</v>
      </c>
      <c r="AF425">
        <v>0</v>
      </c>
      <c r="AG425">
        <v>5.0328947368421053</v>
      </c>
    </row>
    <row r="426" spans="1:33">
      <c r="A426" s="1" t="s">
        <v>456</v>
      </c>
      <c r="B426" s="1" t="s">
        <v>1492</v>
      </c>
      <c r="C426" s="2">
        <v>46431</v>
      </c>
      <c r="D426" s="1" t="s">
        <v>49</v>
      </c>
      <c r="E426">
        <v>436</v>
      </c>
      <c r="F426" s="2">
        <v>46081</v>
      </c>
      <c r="G426" s="1" t="s">
        <v>457</v>
      </c>
      <c r="H426" s="1" t="s">
        <v>36</v>
      </c>
      <c r="I426" s="1" t="s">
        <v>37</v>
      </c>
      <c r="J426" s="1" t="s">
        <v>38</v>
      </c>
      <c r="K426" s="1" t="s">
        <v>39</v>
      </c>
      <c r="L426">
        <v>120</v>
      </c>
      <c r="M426">
        <v>59.6</v>
      </c>
      <c r="N426">
        <v>39</v>
      </c>
      <c r="O426">
        <v>21.5</v>
      </c>
      <c r="P426">
        <v>4.9970000000000001E-2</v>
      </c>
      <c r="Q426">
        <v>10.38</v>
      </c>
      <c r="R426">
        <v>11.58</v>
      </c>
      <c r="S426">
        <v>3</v>
      </c>
      <c r="T426">
        <v>4</v>
      </c>
      <c r="U426">
        <v>12</v>
      </c>
      <c r="V426">
        <v>101</v>
      </c>
      <c r="W426">
        <v>149.56</v>
      </c>
      <c r="X426">
        <v>0.59963999999999995</v>
      </c>
      <c r="Y426">
        <v>3.6333333333333333</v>
      </c>
      <c r="Z426">
        <v>0.18155766666666667</v>
      </c>
      <c r="AA426">
        <v>0.30277777777777776</v>
      </c>
      <c r="AB426">
        <v>5048.88</v>
      </c>
      <c r="AC426">
        <v>1</v>
      </c>
      <c r="AD426" s="1" t="s">
        <v>44</v>
      </c>
      <c r="AE426">
        <v>0</v>
      </c>
      <c r="AF426">
        <v>1</v>
      </c>
      <c r="AG426">
        <v>11.513157894736842</v>
      </c>
    </row>
    <row r="427" spans="1:33">
      <c r="A427" s="1" t="s">
        <v>456</v>
      </c>
      <c r="B427" s="1" t="s">
        <v>1493</v>
      </c>
      <c r="C427" s="2">
        <v>45928</v>
      </c>
      <c r="D427" s="1" t="s">
        <v>73</v>
      </c>
      <c r="E427">
        <v>697</v>
      </c>
      <c r="F427" s="2">
        <v>46081</v>
      </c>
      <c r="G427" s="1" t="s">
        <v>457</v>
      </c>
      <c r="H427" s="1" t="s">
        <v>36</v>
      </c>
      <c r="I427" s="1" t="s">
        <v>37</v>
      </c>
      <c r="J427" s="1" t="s">
        <v>38</v>
      </c>
      <c r="K427" s="1" t="s">
        <v>39</v>
      </c>
      <c r="L427">
        <v>120</v>
      </c>
      <c r="M427">
        <v>59.6</v>
      </c>
      <c r="N427">
        <v>39</v>
      </c>
      <c r="O427">
        <v>21.5</v>
      </c>
      <c r="P427">
        <v>4.9970000000000001E-2</v>
      </c>
      <c r="Q427">
        <v>10.38</v>
      </c>
      <c r="R427">
        <v>11.58</v>
      </c>
      <c r="S427">
        <v>3</v>
      </c>
      <c r="T427">
        <v>4</v>
      </c>
      <c r="U427">
        <v>12</v>
      </c>
      <c r="V427">
        <v>101</v>
      </c>
      <c r="W427">
        <v>149.56</v>
      </c>
      <c r="X427">
        <v>0.59963999999999995</v>
      </c>
      <c r="Y427">
        <v>5.8083333333333336</v>
      </c>
      <c r="Z427">
        <v>0.29024241666666667</v>
      </c>
      <c r="AA427">
        <v>0.48402777777777778</v>
      </c>
      <c r="AB427">
        <v>8071.26</v>
      </c>
      <c r="AC427">
        <v>1</v>
      </c>
      <c r="AD427" s="1" t="s">
        <v>74</v>
      </c>
      <c r="AE427">
        <v>0</v>
      </c>
      <c r="AF427">
        <v>0</v>
      </c>
      <c r="AG427">
        <v>-5.0328947368421053</v>
      </c>
    </row>
    <row r="428" spans="1:33">
      <c r="A428" s="1" t="s">
        <v>458</v>
      </c>
      <c r="B428" s="1" t="s">
        <v>1494</v>
      </c>
      <c r="C428" s="2">
        <v>46975</v>
      </c>
      <c r="D428" s="1" t="s">
        <v>34</v>
      </c>
      <c r="E428">
        <v>57368</v>
      </c>
      <c r="F428" s="2">
        <v>46081</v>
      </c>
      <c r="G428" s="1" t="s">
        <v>459</v>
      </c>
      <c r="H428" s="1" t="s">
        <v>48</v>
      </c>
      <c r="I428" s="1" t="s">
        <v>37</v>
      </c>
      <c r="J428" s="1" t="s">
        <v>38</v>
      </c>
      <c r="K428" s="1" t="s">
        <v>39</v>
      </c>
      <c r="L428">
        <v>240</v>
      </c>
      <c r="M428">
        <v>50.7</v>
      </c>
      <c r="N428">
        <v>31.1</v>
      </c>
      <c r="O428">
        <v>23.9</v>
      </c>
      <c r="P428">
        <v>3.7679999999999998E-2</v>
      </c>
      <c r="Q428">
        <v>8.98</v>
      </c>
      <c r="R428">
        <v>15.24</v>
      </c>
      <c r="S428">
        <v>6</v>
      </c>
      <c r="T428">
        <v>3</v>
      </c>
      <c r="U428">
        <v>18</v>
      </c>
      <c r="V428">
        <v>86.699999999999989</v>
      </c>
      <c r="W428">
        <v>186.64</v>
      </c>
      <c r="X428">
        <v>0.67823999999999995</v>
      </c>
      <c r="Y428">
        <v>239.03333333333333</v>
      </c>
      <c r="Z428">
        <v>9.0067760000000003</v>
      </c>
      <c r="AA428">
        <v>13.27962962962963</v>
      </c>
      <c r="AB428">
        <v>874288.32000000007</v>
      </c>
      <c r="AC428">
        <v>14</v>
      </c>
      <c r="AD428" s="1" t="s">
        <v>40</v>
      </c>
      <c r="AE428">
        <v>14</v>
      </c>
      <c r="AF428">
        <v>0</v>
      </c>
      <c r="AG428">
        <v>29.407894736842106</v>
      </c>
    </row>
    <row r="429" spans="1:33">
      <c r="A429" s="1" t="s">
        <v>458</v>
      </c>
      <c r="B429" s="1" t="s">
        <v>1495</v>
      </c>
      <c r="C429" s="2">
        <v>45798</v>
      </c>
      <c r="D429" s="1" t="s">
        <v>73</v>
      </c>
      <c r="E429">
        <v>4589</v>
      </c>
      <c r="F429" s="2">
        <v>46081</v>
      </c>
      <c r="G429" s="1" t="s">
        <v>459</v>
      </c>
      <c r="H429" s="1" t="s">
        <v>48</v>
      </c>
      <c r="I429" s="1" t="s">
        <v>37</v>
      </c>
      <c r="J429" s="1" t="s">
        <v>38</v>
      </c>
      <c r="K429" s="1" t="s">
        <v>39</v>
      </c>
      <c r="L429">
        <v>240</v>
      </c>
      <c r="M429">
        <v>50.7</v>
      </c>
      <c r="N429">
        <v>31.1</v>
      </c>
      <c r="O429">
        <v>23.9</v>
      </c>
      <c r="P429">
        <v>3.7679999999999998E-2</v>
      </c>
      <c r="Q429">
        <v>8.98</v>
      </c>
      <c r="R429">
        <v>15.24</v>
      </c>
      <c r="S429">
        <v>6</v>
      </c>
      <c r="T429">
        <v>3</v>
      </c>
      <c r="U429">
        <v>18</v>
      </c>
      <c r="V429">
        <v>86.699999999999989</v>
      </c>
      <c r="W429">
        <v>186.64</v>
      </c>
      <c r="X429">
        <v>0.67823999999999995</v>
      </c>
      <c r="Y429">
        <v>19.120833333333334</v>
      </c>
      <c r="Z429">
        <v>0.72047300000000003</v>
      </c>
      <c r="AA429">
        <v>1.0622685185185186</v>
      </c>
      <c r="AB429">
        <v>69936.36</v>
      </c>
      <c r="AC429">
        <v>2</v>
      </c>
      <c r="AD429" s="1" t="s">
        <v>74</v>
      </c>
      <c r="AE429">
        <v>0</v>
      </c>
      <c r="AF429">
        <v>0</v>
      </c>
      <c r="AG429">
        <v>-9.3092105263157894</v>
      </c>
    </row>
    <row r="430" spans="1:33">
      <c r="A430" s="1" t="s">
        <v>460</v>
      </c>
      <c r="B430" s="1" t="s">
        <v>1496</v>
      </c>
      <c r="C430" s="2">
        <v>46519</v>
      </c>
      <c r="D430" s="1" t="s">
        <v>34</v>
      </c>
      <c r="E430">
        <v>1346</v>
      </c>
      <c r="F430" s="2">
        <v>46081</v>
      </c>
      <c r="G430" s="1" t="s">
        <v>461</v>
      </c>
      <c r="H430" s="1" t="s">
        <v>48</v>
      </c>
      <c r="I430" s="1" t="s">
        <v>37</v>
      </c>
      <c r="J430" s="1" t="s">
        <v>38</v>
      </c>
      <c r="K430" s="1" t="s">
        <v>39</v>
      </c>
      <c r="L430">
        <v>60</v>
      </c>
      <c r="M430">
        <v>40.5</v>
      </c>
      <c r="N430">
        <v>32.4</v>
      </c>
      <c r="O430">
        <v>15.8</v>
      </c>
      <c r="P430">
        <v>2.0729999999999998E-2</v>
      </c>
      <c r="Q430">
        <v>3.69</v>
      </c>
      <c r="R430">
        <v>5.05</v>
      </c>
      <c r="S430">
        <v>6</v>
      </c>
      <c r="T430">
        <v>9</v>
      </c>
      <c r="U430">
        <v>54</v>
      </c>
      <c r="V430">
        <v>157.20000000000002</v>
      </c>
      <c r="W430">
        <v>224.26</v>
      </c>
      <c r="X430">
        <v>1.1194200000000001</v>
      </c>
      <c r="Y430">
        <v>22.433333333333334</v>
      </c>
      <c r="Z430">
        <v>0.46504299999999998</v>
      </c>
      <c r="AA430">
        <v>0.41543209876543208</v>
      </c>
      <c r="AB430">
        <v>6797.3</v>
      </c>
      <c r="AC430">
        <v>1</v>
      </c>
      <c r="AD430" s="1" t="s">
        <v>40</v>
      </c>
      <c r="AE430">
        <v>1</v>
      </c>
      <c r="AF430">
        <v>0</v>
      </c>
      <c r="AG430">
        <v>14.407894736842106</v>
      </c>
    </row>
    <row r="431" spans="1:33">
      <c r="A431" s="1" t="s">
        <v>460</v>
      </c>
      <c r="B431" s="1" t="s">
        <v>1497</v>
      </c>
      <c r="C431" s="2">
        <v>46374</v>
      </c>
      <c r="D431" s="1" t="s">
        <v>34</v>
      </c>
      <c r="E431">
        <v>1086</v>
      </c>
      <c r="F431" s="2">
        <v>46081</v>
      </c>
      <c r="G431" s="1" t="s">
        <v>461</v>
      </c>
      <c r="H431" s="1" t="s">
        <v>48</v>
      </c>
      <c r="I431" s="1" t="s">
        <v>37</v>
      </c>
      <c r="J431" s="1" t="s">
        <v>38</v>
      </c>
      <c r="K431" s="1" t="s">
        <v>39</v>
      </c>
      <c r="L431">
        <v>60</v>
      </c>
      <c r="M431">
        <v>40.5</v>
      </c>
      <c r="N431">
        <v>32.4</v>
      </c>
      <c r="O431">
        <v>15.8</v>
      </c>
      <c r="P431">
        <v>2.0729999999999998E-2</v>
      </c>
      <c r="Q431">
        <v>3.69</v>
      </c>
      <c r="R431">
        <v>5.05</v>
      </c>
      <c r="S431">
        <v>6</v>
      </c>
      <c r="T431">
        <v>9</v>
      </c>
      <c r="U431">
        <v>54</v>
      </c>
      <c r="V431">
        <v>157.20000000000002</v>
      </c>
      <c r="W431">
        <v>224.26</v>
      </c>
      <c r="X431">
        <v>1.1194200000000001</v>
      </c>
      <c r="Y431">
        <v>18.100000000000001</v>
      </c>
      <c r="Z431">
        <v>0.37521300000000002</v>
      </c>
      <c r="AA431">
        <v>0.3351851851851852</v>
      </c>
      <c r="AB431">
        <v>5484.3</v>
      </c>
      <c r="AC431">
        <v>1</v>
      </c>
      <c r="AD431" s="1" t="s">
        <v>40</v>
      </c>
      <c r="AE431">
        <v>1</v>
      </c>
      <c r="AF431">
        <v>0</v>
      </c>
      <c r="AG431">
        <v>9.6381578947368425</v>
      </c>
    </row>
    <row r="432" spans="1:33">
      <c r="A432" s="1" t="s">
        <v>460</v>
      </c>
      <c r="B432" s="1" t="s">
        <v>1498</v>
      </c>
      <c r="C432" s="2">
        <v>46444</v>
      </c>
      <c r="D432" s="1" t="s">
        <v>153</v>
      </c>
      <c r="E432">
        <v>72</v>
      </c>
      <c r="F432" s="2">
        <v>46081</v>
      </c>
      <c r="G432" s="1" t="s">
        <v>461</v>
      </c>
      <c r="H432" s="1" t="s">
        <v>48</v>
      </c>
      <c r="I432" s="1" t="s">
        <v>37</v>
      </c>
      <c r="J432" s="1" t="s">
        <v>38</v>
      </c>
      <c r="K432" s="1" t="s">
        <v>39</v>
      </c>
      <c r="L432">
        <v>60</v>
      </c>
      <c r="M432">
        <v>40.5</v>
      </c>
      <c r="N432">
        <v>32.4</v>
      </c>
      <c r="O432">
        <v>15.8</v>
      </c>
      <c r="P432">
        <v>2.0729999999999998E-2</v>
      </c>
      <c r="Q432">
        <v>3.69</v>
      </c>
      <c r="R432">
        <v>5.05</v>
      </c>
      <c r="S432">
        <v>6</v>
      </c>
      <c r="T432">
        <v>9</v>
      </c>
      <c r="U432">
        <v>54</v>
      </c>
      <c r="V432">
        <v>157.20000000000002</v>
      </c>
      <c r="W432">
        <v>224.26</v>
      </c>
      <c r="X432">
        <v>1.1194200000000001</v>
      </c>
      <c r="Y432">
        <v>1.2</v>
      </c>
      <c r="Z432">
        <v>2.4875999999999999E-2</v>
      </c>
      <c r="AA432">
        <v>2.2222222222222223E-2</v>
      </c>
      <c r="AB432">
        <v>363.59999999999997</v>
      </c>
      <c r="AC432">
        <v>1</v>
      </c>
      <c r="AD432" s="1" t="s">
        <v>74</v>
      </c>
      <c r="AE432">
        <v>0</v>
      </c>
      <c r="AF432">
        <v>0</v>
      </c>
      <c r="AG432">
        <v>11.940789473684211</v>
      </c>
    </row>
    <row r="433" spans="1:33">
      <c r="A433" s="1" t="s">
        <v>462</v>
      </c>
      <c r="B433" s="1" t="s">
        <v>1499</v>
      </c>
      <c r="C433" s="2">
        <v>46743</v>
      </c>
      <c r="D433" s="1" t="s">
        <v>34</v>
      </c>
      <c r="E433">
        <v>217</v>
      </c>
      <c r="F433" s="2">
        <v>46081</v>
      </c>
      <c r="G433" s="1" t="s">
        <v>463</v>
      </c>
      <c r="H433" s="1" t="s">
        <v>70</v>
      </c>
      <c r="I433" s="1" t="s">
        <v>37</v>
      </c>
      <c r="J433" s="1" t="s">
        <v>38</v>
      </c>
      <c r="K433" s="1" t="s">
        <v>39</v>
      </c>
      <c r="L433">
        <v>120</v>
      </c>
      <c r="M433">
        <v>44.5</v>
      </c>
      <c r="N433">
        <v>34.4</v>
      </c>
      <c r="O433">
        <v>24.2</v>
      </c>
      <c r="P433">
        <v>3.705E-2</v>
      </c>
      <c r="Q433">
        <v>7.75</v>
      </c>
      <c r="R433">
        <v>9.56</v>
      </c>
      <c r="S433">
        <v>6</v>
      </c>
      <c r="T433">
        <v>3</v>
      </c>
      <c r="U433">
        <v>18</v>
      </c>
      <c r="V433">
        <v>87.6</v>
      </c>
      <c r="W433">
        <v>164.5</v>
      </c>
      <c r="X433">
        <v>0.66690000000000005</v>
      </c>
      <c r="Y433">
        <v>1.8083333333333333</v>
      </c>
      <c r="Z433">
        <v>6.6998749999999996E-2</v>
      </c>
      <c r="AA433">
        <v>0.10046296296296296</v>
      </c>
      <c r="AB433">
        <v>2074.52</v>
      </c>
      <c r="AC433">
        <v>1</v>
      </c>
      <c r="AD433" s="1" t="s">
        <v>44</v>
      </c>
      <c r="AE433">
        <v>0</v>
      </c>
      <c r="AF433">
        <v>1</v>
      </c>
      <c r="AG433">
        <v>21.776315789473685</v>
      </c>
    </row>
    <row r="434" spans="1:33">
      <c r="A434" s="1" t="s">
        <v>462</v>
      </c>
      <c r="B434" s="1" t="s">
        <v>1500</v>
      </c>
      <c r="C434" s="2">
        <v>46134</v>
      </c>
      <c r="D434" s="1" t="s">
        <v>153</v>
      </c>
      <c r="E434">
        <v>6</v>
      </c>
      <c r="F434" s="2">
        <v>46081</v>
      </c>
      <c r="G434" s="1" t="s">
        <v>463</v>
      </c>
      <c r="H434" s="1" t="s">
        <v>70</v>
      </c>
      <c r="I434" s="1" t="s">
        <v>37</v>
      </c>
      <c r="J434" s="1" t="s">
        <v>38</v>
      </c>
      <c r="K434" s="1" t="s">
        <v>39</v>
      </c>
      <c r="L434">
        <v>120</v>
      </c>
      <c r="M434">
        <v>44.5</v>
      </c>
      <c r="N434">
        <v>34.4</v>
      </c>
      <c r="O434">
        <v>24.2</v>
      </c>
      <c r="P434">
        <v>3.705E-2</v>
      </c>
      <c r="Q434">
        <v>7.75</v>
      </c>
      <c r="R434">
        <v>9.56</v>
      </c>
      <c r="S434">
        <v>6</v>
      </c>
      <c r="T434">
        <v>3</v>
      </c>
      <c r="U434">
        <v>18</v>
      </c>
      <c r="V434">
        <v>87.6</v>
      </c>
      <c r="W434">
        <v>164.5</v>
      </c>
      <c r="X434">
        <v>0.66690000000000005</v>
      </c>
      <c r="Y434">
        <v>0.05</v>
      </c>
      <c r="Z434">
        <v>1.8525E-3</v>
      </c>
      <c r="AA434">
        <v>2.7777777777777779E-3</v>
      </c>
      <c r="AB434">
        <v>57.36</v>
      </c>
      <c r="AC434">
        <v>1</v>
      </c>
      <c r="AD434" s="1" t="s">
        <v>74</v>
      </c>
      <c r="AE434">
        <v>0</v>
      </c>
      <c r="AF434">
        <v>0</v>
      </c>
      <c r="AG434">
        <v>1.743421052631579</v>
      </c>
    </row>
    <row r="435" spans="1:33">
      <c r="A435" s="1" t="s">
        <v>464</v>
      </c>
      <c r="B435" s="1" t="s">
        <v>1501</v>
      </c>
      <c r="C435" s="2">
        <v>47015</v>
      </c>
      <c r="D435" s="1" t="s">
        <v>34</v>
      </c>
      <c r="E435">
        <v>7440</v>
      </c>
      <c r="F435" s="2">
        <v>46081</v>
      </c>
      <c r="G435" s="1" t="s">
        <v>465</v>
      </c>
      <c r="H435" s="1" t="s">
        <v>36</v>
      </c>
      <c r="I435" s="1" t="s">
        <v>37</v>
      </c>
      <c r="J435" s="1" t="s">
        <v>38</v>
      </c>
      <c r="K435" s="1" t="s">
        <v>39</v>
      </c>
      <c r="L435">
        <v>60</v>
      </c>
      <c r="M435">
        <v>48.7</v>
      </c>
      <c r="N435">
        <v>25.7</v>
      </c>
      <c r="O435">
        <v>29.1</v>
      </c>
      <c r="P435">
        <v>3.6420000000000001E-2</v>
      </c>
      <c r="Q435">
        <v>9.31</v>
      </c>
      <c r="R435">
        <v>16.59</v>
      </c>
      <c r="S435">
        <v>8</v>
      </c>
      <c r="T435">
        <v>2</v>
      </c>
      <c r="U435">
        <v>16</v>
      </c>
      <c r="V435">
        <v>73.2</v>
      </c>
      <c r="W435">
        <v>173.96</v>
      </c>
      <c r="X435">
        <v>0.58272000000000002</v>
      </c>
      <c r="Y435">
        <v>124</v>
      </c>
      <c r="Z435">
        <v>4.5160800000000005</v>
      </c>
      <c r="AA435">
        <v>7.75</v>
      </c>
      <c r="AB435">
        <v>123429.6</v>
      </c>
      <c r="AC435">
        <v>8</v>
      </c>
      <c r="AD435" s="1" t="s">
        <v>40</v>
      </c>
      <c r="AE435">
        <v>8</v>
      </c>
      <c r="AF435">
        <v>0</v>
      </c>
      <c r="AG435">
        <v>30.723684210526319</v>
      </c>
    </row>
    <row r="436" spans="1:33">
      <c r="A436" s="1" t="s">
        <v>464</v>
      </c>
      <c r="B436" s="1" t="s">
        <v>1502</v>
      </c>
      <c r="C436" s="2">
        <v>46776</v>
      </c>
      <c r="D436" s="1" t="s">
        <v>34</v>
      </c>
      <c r="E436">
        <v>19958</v>
      </c>
      <c r="F436" s="2">
        <v>46081</v>
      </c>
      <c r="G436" s="1" t="s">
        <v>465</v>
      </c>
      <c r="H436" s="1" t="s">
        <v>36</v>
      </c>
      <c r="I436" s="1" t="s">
        <v>37</v>
      </c>
      <c r="J436" s="1" t="s">
        <v>38</v>
      </c>
      <c r="K436" s="1" t="s">
        <v>39</v>
      </c>
      <c r="L436">
        <v>60</v>
      </c>
      <c r="M436">
        <v>48.7</v>
      </c>
      <c r="N436">
        <v>25.7</v>
      </c>
      <c r="O436">
        <v>29.1</v>
      </c>
      <c r="P436">
        <v>3.6420000000000001E-2</v>
      </c>
      <c r="Q436">
        <v>9.31</v>
      </c>
      <c r="R436">
        <v>16.59</v>
      </c>
      <c r="S436">
        <v>8</v>
      </c>
      <c r="T436">
        <v>2</v>
      </c>
      <c r="U436">
        <v>16</v>
      </c>
      <c r="V436">
        <v>73.2</v>
      </c>
      <c r="W436">
        <v>173.96</v>
      </c>
      <c r="X436">
        <v>0.58272000000000002</v>
      </c>
      <c r="Y436">
        <v>332.63333333333333</v>
      </c>
      <c r="Z436">
        <v>12.114506</v>
      </c>
      <c r="AA436">
        <v>20.789583333333333</v>
      </c>
      <c r="AB436">
        <v>331103.21999999997</v>
      </c>
      <c r="AC436">
        <v>21</v>
      </c>
      <c r="AD436" s="1" t="s">
        <v>40</v>
      </c>
      <c r="AE436">
        <v>21</v>
      </c>
      <c r="AF436">
        <v>0</v>
      </c>
      <c r="AG436">
        <v>22.861842105263158</v>
      </c>
    </row>
    <row r="437" spans="1:33">
      <c r="A437" s="1" t="s">
        <v>464</v>
      </c>
      <c r="B437" s="1" t="s">
        <v>1503</v>
      </c>
      <c r="C437" s="2">
        <v>46327</v>
      </c>
      <c r="D437" s="1" t="s">
        <v>34</v>
      </c>
      <c r="E437">
        <v>1365</v>
      </c>
      <c r="F437" s="2">
        <v>46081</v>
      </c>
      <c r="G437" s="1" t="s">
        <v>465</v>
      </c>
      <c r="H437" s="1" t="s">
        <v>36</v>
      </c>
      <c r="I437" s="1" t="s">
        <v>37</v>
      </c>
      <c r="J437" s="1" t="s">
        <v>38</v>
      </c>
      <c r="K437" s="1" t="s">
        <v>39</v>
      </c>
      <c r="L437">
        <v>60</v>
      </c>
      <c r="M437">
        <v>48.7</v>
      </c>
      <c r="N437">
        <v>25.7</v>
      </c>
      <c r="O437">
        <v>29.1</v>
      </c>
      <c r="P437">
        <v>3.6420000000000001E-2</v>
      </c>
      <c r="Q437">
        <v>9.31</v>
      </c>
      <c r="R437">
        <v>16.59</v>
      </c>
      <c r="S437">
        <v>8</v>
      </c>
      <c r="T437">
        <v>2</v>
      </c>
      <c r="U437">
        <v>16</v>
      </c>
      <c r="V437">
        <v>73.2</v>
      </c>
      <c r="W437">
        <v>173.96</v>
      </c>
      <c r="X437">
        <v>0.58272000000000002</v>
      </c>
      <c r="Y437">
        <v>22.75</v>
      </c>
      <c r="Z437">
        <v>0.82855500000000004</v>
      </c>
      <c r="AA437">
        <v>1.421875</v>
      </c>
      <c r="AB437">
        <v>22645.35</v>
      </c>
      <c r="AC437">
        <v>2</v>
      </c>
      <c r="AD437" s="1" t="s">
        <v>40</v>
      </c>
      <c r="AE437">
        <v>2</v>
      </c>
      <c r="AF437">
        <v>0</v>
      </c>
      <c r="AG437">
        <v>8.0921052631578956</v>
      </c>
    </row>
    <row r="438" spans="1:33">
      <c r="A438" s="1" t="s">
        <v>466</v>
      </c>
      <c r="B438" s="1" t="s">
        <v>1504</v>
      </c>
      <c r="C438" s="2">
        <v>47001</v>
      </c>
      <c r="D438" s="1" t="s">
        <v>34</v>
      </c>
      <c r="E438">
        <v>3534</v>
      </c>
      <c r="F438" s="2">
        <v>46081</v>
      </c>
      <c r="G438" s="1" t="s">
        <v>467</v>
      </c>
      <c r="H438" s="1" t="s">
        <v>48</v>
      </c>
      <c r="I438" s="1" t="s">
        <v>37</v>
      </c>
      <c r="J438" s="1" t="s">
        <v>38</v>
      </c>
      <c r="K438" s="1" t="s">
        <v>39</v>
      </c>
      <c r="L438">
        <v>60</v>
      </c>
      <c r="M438">
        <v>52.6</v>
      </c>
      <c r="N438">
        <v>27.8</v>
      </c>
      <c r="O438">
        <v>26.4</v>
      </c>
      <c r="P438">
        <v>3.8600000000000002E-2</v>
      </c>
      <c r="Q438">
        <v>9.4700000000000006</v>
      </c>
      <c r="R438">
        <v>13.62</v>
      </c>
      <c r="S438">
        <v>6</v>
      </c>
      <c r="T438">
        <v>5</v>
      </c>
      <c r="U438">
        <v>30</v>
      </c>
      <c r="V438">
        <v>147</v>
      </c>
      <c r="W438">
        <v>309.10000000000002</v>
      </c>
      <c r="X438">
        <v>1.1579999999999999</v>
      </c>
      <c r="Y438">
        <v>58.9</v>
      </c>
      <c r="Z438">
        <v>2.2735400000000001</v>
      </c>
      <c r="AA438">
        <v>1.9633333333333334</v>
      </c>
      <c r="AB438">
        <v>48133.079999999994</v>
      </c>
      <c r="AC438">
        <v>2</v>
      </c>
      <c r="AD438" s="1" t="s">
        <v>40</v>
      </c>
      <c r="AE438">
        <v>2</v>
      </c>
      <c r="AF438">
        <v>0</v>
      </c>
      <c r="AG438">
        <v>30.263157894736842</v>
      </c>
    </row>
    <row r="439" spans="1:33">
      <c r="A439" s="1" t="s">
        <v>468</v>
      </c>
      <c r="B439" s="1" t="s">
        <v>1505</v>
      </c>
      <c r="C439" s="2">
        <v>47035</v>
      </c>
      <c r="D439" s="1" t="s">
        <v>34</v>
      </c>
      <c r="E439">
        <v>253</v>
      </c>
      <c r="F439" s="2">
        <v>46081</v>
      </c>
      <c r="G439" s="1" t="s">
        <v>469</v>
      </c>
      <c r="H439" s="1" t="s">
        <v>43</v>
      </c>
      <c r="I439" s="1" t="s">
        <v>37</v>
      </c>
      <c r="J439" s="1" t="s">
        <v>38</v>
      </c>
      <c r="K439" s="1" t="s">
        <v>39</v>
      </c>
      <c r="L439">
        <v>120</v>
      </c>
      <c r="M439">
        <v>54.1</v>
      </c>
      <c r="N439">
        <v>32</v>
      </c>
      <c r="O439">
        <v>23.2</v>
      </c>
      <c r="P439">
        <v>4.0160000000000001E-2</v>
      </c>
      <c r="Q439">
        <v>6.45</v>
      </c>
      <c r="R439">
        <v>24.05</v>
      </c>
      <c r="S439">
        <v>4</v>
      </c>
      <c r="T439">
        <v>4</v>
      </c>
      <c r="U439">
        <v>16</v>
      </c>
      <c r="V439">
        <v>107.8</v>
      </c>
      <c r="W439">
        <v>128.19999999999999</v>
      </c>
      <c r="X439">
        <v>0.64256000000000002</v>
      </c>
      <c r="Y439">
        <v>2.1083333333333334</v>
      </c>
      <c r="Z439">
        <v>8.4670666666666672E-2</v>
      </c>
      <c r="AA439">
        <v>0.13177083333333334</v>
      </c>
      <c r="AB439">
        <v>6084.6500000000015</v>
      </c>
      <c r="AC439">
        <v>1</v>
      </c>
      <c r="AD439" s="1" t="s">
        <v>44</v>
      </c>
      <c r="AE439">
        <v>0</v>
      </c>
      <c r="AF439">
        <v>1</v>
      </c>
      <c r="AG439">
        <v>31.381578947368421</v>
      </c>
    </row>
    <row r="440" spans="1:33">
      <c r="A440" s="1" t="s">
        <v>468</v>
      </c>
      <c r="B440" s="1" t="s">
        <v>1506</v>
      </c>
      <c r="C440" s="2">
        <v>46801</v>
      </c>
      <c r="D440" s="1" t="s">
        <v>34</v>
      </c>
      <c r="E440">
        <v>333</v>
      </c>
      <c r="F440" s="2">
        <v>46081</v>
      </c>
      <c r="G440" s="1" t="s">
        <v>469</v>
      </c>
      <c r="H440" s="1" t="s">
        <v>43</v>
      </c>
      <c r="I440" s="1" t="s">
        <v>37</v>
      </c>
      <c r="J440" s="1" t="s">
        <v>38</v>
      </c>
      <c r="K440" s="1" t="s">
        <v>39</v>
      </c>
      <c r="L440">
        <v>120</v>
      </c>
      <c r="M440">
        <v>54.1</v>
      </c>
      <c r="N440">
        <v>32</v>
      </c>
      <c r="O440">
        <v>23.2</v>
      </c>
      <c r="P440">
        <v>4.0160000000000001E-2</v>
      </c>
      <c r="Q440">
        <v>6.45</v>
      </c>
      <c r="R440">
        <v>24.05</v>
      </c>
      <c r="S440">
        <v>4</v>
      </c>
      <c r="T440">
        <v>4</v>
      </c>
      <c r="U440">
        <v>16</v>
      </c>
      <c r="V440">
        <v>107.8</v>
      </c>
      <c r="W440">
        <v>128.19999999999999</v>
      </c>
      <c r="X440">
        <v>0.64256000000000002</v>
      </c>
      <c r="Y440">
        <v>2.7749999999999999</v>
      </c>
      <c r="Z440">
        <v>0.111444</v>
      </c>
      <c r="AA440">
        <v>0.17343749999999999</v>
      </c>
      <c r="AB440">
        <v>8008.6500000000015</v>
      </c>
      <c r="AC440">
        <v>1</v>
      </c>
      <c r="AD440" s="1" t="s">
        <v>44</v>
      </c>
      <c r="AE440">
        <v>0</v>
      </c>
      <c r="AF440">
        <v>1</v>
      </c>
      <c r="AG440">
        <v>23.684210526315791</v>
      </c>
    </row>
    <row r="441" spans="1:33">
      <c r="A441" s="1" t="s">
        <v>468</v>
      </c>
      <c r="B441" s="1" t="s">
        <v>1507</v>
      </c>
      <c r="C441" s="2">
        <v>45993</v>
      </c>
      <c r="D441" s="1" t="s">
        <v>73</v>
      </c>
      <c r="E441">
        <v>46</v>
      </c>
      <c r="F441" s="2">
        <v>46081</v>
      </c>
      <c r="G441" s="1" t="s">
        <v>469</v>
      </c>
      <c r="H441" s="1" t="s">
        <v>43</v>
      </c>
      <c r="I441" s="1" t="s">
        <v>37</v>
      </c>
      <c r="J441" s="1" t="s">
        <v>38</v>
      </c>
      <c r="K441" s="1" t="s">
        <v>39</v>
      </c>
      <c r="L441">
        <v>120</v>
      </c>
      <c r="M441">
        <v>54.1</v>
      </c>
      <c r="N441">
        <v>32</v>
      </c>
      <c r="O441">
        <v>23.2</v>
      </c>
      <c r="P441">
        <v>4.0160000000000001E-2</v>
      </c>
      <c r="Q441">
        <v>6.45</v>
      </c>
      <c r="R441">
        <v>24.05</v>
      </c>
      <c r="S441">
        <v>4</v>
      </c>
      <c r="T441">
        <v>4</v>
      </c>
      <c r="U441">
        <v>16</v>
      </c>
      <c r="V441">
        <v>107.8</v>
      </c>
      <c r="W441">
        <v>128.19999999999999</v>
      </c>
      <c r="X441">
        <v>0.64256000000000002</v>
      </c>
      <c r="Y441">
        <v>0.38333333333333336</v>
      </c>
      <c r="Z441">
        <v>1.5394666666666668E-2</v>
      </c>
      <c r="AA441">
        <v>2.3958333333333335E-2</v>
      </c>
      <c r="AB441">
        <v>1106.3</v>
      </c>
      <c r="AC441">
        <v>1</v>
      </c>
      <c r="AD441" s="1" t="s">
        <v>74</v>
      </c>
      <c r="AE441">
        <v>0</v>
      </c>
      <c r="AF441">
        <v>0</v>
      </c>
      <c r="AG441">
        <v>-2.8947368421052633</v>
      </c>
    </row>
    <row r="442" spans="1:33">
      <c r="A442" s="1" t="s">
        <v>470</v>
      </c>
      <c r="B442" s="1" t="s">
        <v>1508</v>
      </c>
      <c r="C442" s="2">
        <v>47083</v>
      </c>
      <c r="D442" s="1" t="s">
        <v>34</v>
      </c>
      <c r="E442">
        <v>14606</v>
      </c>
      <c r="F442" s="2">
        <v>46081</v>
      </c>
      <c r="G442" s="1" t="s">
        <v>471</v>
      </c>
      <c r="H442" s="1" t="s">
        <v>48</v>
      </c>
      <c r="I442" s="1" t="s">
        <v>37</v>
      </c>
      <c r="J442" s="1" t="s">
        <v>38</v>
      </c>
      <c r="K442" s="1" t="s">
        <v>39</v>
      </c>
      <c r="L442">
        <v>120</v>
      </c>
      <c r="M442">
        <v>54.7</v>
      </c>
      <c r="N442">
        <v>42</v>
      </c>
      <c r="O442">
        <v>24.8</v>
      </c>
      <c r="P442">
        <v>5.6980000000000003E-2</v>
      </c>
      <c r="Q442">
        <v>16.989999999999998</v>
      </c>
      <c r="R442">
        <v>19.38</v>
      </c>
      <c r="S442">
        <v>4</v>
      </c>
      <c r="T442">
        <v>2</v>
      </c>
      <c r="U442">
        <v>8</v>
      </c>
      <c r="V442">
        <v>64.599999999999994</v>
      </c>
      <c r="W442">
        <v>160.91999999999999</v>
      </c>
      <c r="X442">
        <v>0.45584000000000002</v>
      </c>
      <c r="Y442">
        <v>121.71666666666667</v>
      </c>
      <c r="Z442">
        <v>6.9354156666666675</v>
      </c>
      <c r="AA442">
        <v>15.214583333333334</v>
      </c>
      <c r="AB442">
        <v>283064.27999999997</v>
      </c>
      <c r="AC442">
        <v>16</v>
      </c>
      <c r="AD442" s="1" t="s">
        <v>40</v>
      </c>
      <c r="AE442">
        <v>16</v>
      </c>
      <c r="AF442">
        <v>0</v>
      </c>
      <c r="AG442">
        <v>32.960526315789473</v>
      </c>
    </row>
    <row r="443" spans="1:33">
      <c r="A443" s="1" t="s">
        <v>470</v>
      </c>
      <c r="B443" s="1" t="s">
        <v>1509</v>
      </c>
      <c r="C443" s="2">
        <v>45778</v>
      </c>
      <c r="D443" s="1" t="s">
        <v>73</v>
      </c>
      <c r="E443">
        <v>1168</v>
      </c>
      <c r="F443" s="2">
        <v>46081</v>
      </c>
      <c r="G443" s="1" t="s">
        <v>471</v>
      </c>
      <c r="H443" s="1" t="s">
        <v>48</v>
      </c>
      <c r="I443" s="1" t="s">
        <v>37</v>
      </c>
      <c r="J443" s="1" t="s">
        <v>38</v>
      </c>
      <c r="K443" s="1" t="s">
        <v>39</v>
      </c>
      <c r="L443">
        <v>120</v>
      </c>
      <c r="M443">
        <v>54.7</v>
      </c>
      <c r="N443">
        <v>42</v>
      </c>
      <c r="O443">
        <v>24.8</v>
      </c>
      <c r="P443">
        <v>5.6980000000000003E-2</v>
      </c>
      <c r="Q443">
        <v>16.989999999999998</v>
      </c>
      <c r="R443">
        <v>19.38</v>
      </c>
      <c r="S443">
        <v>4</v>
      </c>
      <c r="T443">
        <v>2</v>
      </c>
      <c r="U443">
        <v>8</v>
      </c>
      <c r="V443">
        <v>64.599999999999994</v>
      </c>
      <c r="W443">
        <v>160.91999999999999</v>
      </c>
      <c r="X443">
        <v>0.45584000000000002</v>
      </c>
      <c r="Y443">
        <v>9.7333333333333325</v>
      </c>
      <c r="Z443">
        <v>0.55460533333333328</v>
      </c>
      <c r="AA443">
        <v>1.2166666666666666</v>
      </c>
      <c r="AB443">
        <v>22635.84</v>
      </c>
      <c r="AC443">
        <v>2</v>
      </c>
      <c r="AD443" s="1" t="s">
        <v>74</v>
      </c>
      <c r="AE443">
        <v>0</v>
      </c>
      <c r="AF443">
        <v>0</v>
      </c>
      <c r="AG443">
        <v>-9.9671052631578956</v>
      </c>
    </row>
    <row r="444" spans="1:33">
      <c r="A444" s="1" t="s">
        <v>472</v>
      </c>
      <c r="B444" s="1" t="s">
        <v>1510</v>
      </c>
      <c r="C444" s="2">
        <v>46528</v>
      </c>
      <c r="D444" s="1" t="s">
        <v>34</v>
      </c>
      <c r="E444">
        <v>912</v>
      </c>
      <c r="F444" s="2">
        <v>46081</v>
      </c>
      <c r="G444" s="1" t="s">
        <v>473</v>
      </c>
      <c r="H444" s="1" t="s">
        <v>43</v>
      </c>
      <c r="I444" s="1" t="s">
        <v>37</v>
      </c>
      <c r="J444" s="1" t="s">
        <v>38</v>
      </c>
      <c r="K444" s="1" t="s">
        <v>39</v>
      </c>
      <c r="L444">
        <v>240</v>
      </c>
      <c r="M444">
        <v>32.700000000000003</v>
      </c>
      <c r="N444">
        <v>41</v>
      </c>
      <c r="O444">
        <v>24.1</v>
      </c>
      <c r="P444">
        <v>3.2309999999999998E-2</v>
      </c>
      <c r="Q444">
        <v>7.21</v>
      </c>
      <c r="R444">
        <v>19.170000000000002</v>
      </c>
      <c r="S444">
        <v>6</v>
      </c>
      <c r="T444">
        <v>3</v>
      </c>
      <c r="U444">
        <v>18</v>
      </c>
      <c r="V444">
        <v>87.300000000000011</v>
      </c>
      <c r="W444">
        <v>154.78</v>
      </c>
      <c r="X444">
        <v>0.58157999999999999</v>
      </c>
      <c r="Y444">
        <v>3.8</v>
      </c>
      <c r="Z444">
        <v>0.12277799999999998</v>
      </c>
      <c r="AA444">
        <v>0.21111111111111111</v>
      </c>
      <c r="AB444">
        <v>17483.04</v>
      </c>
      <c r="AC444">
        <v>1</v>
      </c>
      <c r="AD444" s="1" t="s">
        <v>44</v>
      </c>
      <c r="AE444">
        <v>0</v>
      </c>
      <c r="AF444">
        <v>1</v>
      </c>
      <c r="AG444">
        <v>14.703947368421053</v>
      </c>
    </row>
    <row r="445" spans="1:33">
      <c r="A445" s="1" t="s">
        <v>472</v>
      </c>
      <c r="B445" s="1" t="s">
        <v>1511</v>
      </c>
      <c r="C445" s="2">
        <v>46674</v>
      </c>
      <c r="D445" s="1" t="s">
        <v>34</v>
      </c>
      <c r="E445">
        <v>154</v>
      </c>
      <c r="F445" s="2">
        <v>46081</v>
      </c>
      <c r="G445" s="1" t="s">
        <v>473</v>
      </c>
      <c r="H445" s="1" t="s">
        <v>43</v>
      </c>
      <c r="I445" s="1" t="s">
        <v>37</v>
      </c>
      <c r="J445" s="1" t="s">
        <v>38</v>
      </c>
      <c r="K445" s="1" t="s">
        <v>39</v>
      </c>
      <c r="L445">
        <v>240</v>
      </c>
      <c r="M445">
        <v>32.700000000000003</v>
      </c>
      <c r="N445">
        <v>41</v>
      </c>
      <c r="O445">
        <v>24.1</v>
      </c>
      <c r="P445">
        <v>3.2309999999999998E-2</v>
      </c>
      <c r="Q445">
        <v>7.21</v>
      </c>
      <c r="R445">
        <v>19.170000000000002</v>
      </c>
      <c r="S445">
        <v>6</v>
      </c>
      <c r="T445">
        <v>3</v>
      </c>
      <c r="U445">
        <v>18</v>
      </c>
      <c r="V445">
        <v>87.300000000000011</v>
      </c>
      <c r="W445">
        <v>154.78</v>
      </c>
      <c r="X445">
        <v>0.58157999999999999</v>
      </c>
      <c r="Y445">
        <v>0.64166666666666672</v>
      </c>
      <c r="Z445">
        <v>2.0732250000000001E-2</v>
      </c>
      <c r="AA445">
        <v>3.5648148148148151E-2</v>
      </c>
      <c r="AB445">
        <v>2952.1800000000003</v>
      </c>
      <c r="AC445">
        <v>1</v>
      </c>
      <c r="AD445" s="1" t="s">
        <v>44</v>
      </c>
      <c r="AE445">
        <v>0</v>
      </c>
      <c r="AF445">
        <v>1</v>
      </c>
      <c r="AG445">
        <v>19.506578947368421</v>
      </c>
    </row>
    <row r="446" spans="1:33">
      <c r="A446" s="1" t="s">
        <v>472</v>
      </c>
      <c r="B446" s="1" t="s">
        <v>1512</v>
      </c>
      <c r="C446" s="2">
        <v>46579</v>
      </c>
      <c r="D446" s="1" t="s">
        <v>34</v>
      </c>
      <c r="E446">
        <v>143</v>
      </c>
      <c r="F446" s="2">
        <v>46081</v>
      </c>
      <c r="G446" s="1" t="s">
        <v>473</v>
      </c>
      <c r="H446" s="1" t="s">
        <v>43</v>
      </c>
      <c r="I446" s="1" t="s">
        <v>37</v>
      </c>
      <c r="J446" s="1" t="s">
        <v>38</v>
      </c>
      <c r="K446" s="1" t="s">
        <v>39</v>
      </c>
      <c r="L446">
        <v>240</v>
      </c>
      <c r="M446">
        <v>32.700000000000003</v>
      </c>
      <c r="N446">
        <v>41</v>
      </c>
      <c r="O446">
        <v>24.1</v>
      </c>
      <c r="P446">
        <v>3.2309999999999998E-2</v>
      </c>
      <c r="Q446">
        <v>7.21</v>
      </c>
      <c r="R446">
        <v>19.170000000000002</v>
      </c>
      <c r="S446">
        <v>6</v>
      </c>
      <c r="T446">
        <v>3</v>
      </c>
      <c r="U446">
        <v>18</v>
      </c>
      <c r="V446">
        <v>87.300000000000011</v>
      </c>
      <c r="W446">
        <v>154.78</v>
      </c>
      <c r="X446">
        <v>0.58157999999999999</v>
      </c>
      <c r="Y446">
        <v>0.59583333333333333</v>
      </c>
      <c r="Z446">
        <v>1.9251374999999998E-2</v>
      </c>
      <c r="AA446">
        <v>3.3101851851851855E-2</v>
      </c>
      <c r="AB446">
        <v>2741.3100000000004</v>
      </c>
      <c r="AC446">
        <v>1</v>
      </c>
      <c r="AD446" s="1" t="s">
        <v>44</v>
      </c>
      <c r="AE446">
        <v>0</v>
      </c>
      <c r="AF446">
        <v>1</v>
      </c>
      <c r="AG446">
        <v>16.381578947368421</v>
      </c>
    </row>
    <row r="447" spans="1:33">
      <c r="A447" s="1" t="s">
        <v>474</v>
      </c>
      <c r="B447" s="1" t="s">
        <v>1513</v>
      </c>
      <c r="C447" s="2">
        <v>46310</v>
      </c>
      <c r="D447" s="1" t="s">
        <v>34</v>
      </c>
      <c r="E447">
        <v>12837</v>
      </c>
      <c r="F447" s="2">
        <v>46081</v>
      </c>
      <c r="G447" s="1" t="s">
        <v>475</v>
      </c>
      <c r="H447" s="1" t="s">
        <v>48</v>
      </c>
      <c r="I447" s="1" t="s">
        <v>37</v>
      </c>
      <c r="J447" s="1" t="s">
        <v>38</v>
      </c>
      <c r="K447" s="1" t="s">
        <v>39</v>
      </c>
      <c r="L447">
        <v>240</v>
      </c>
      <c r="M447">
        <v>43.2</v>
      </c>
      <c r="N447">
        <v>25.2</v>
      </c>
      <c r="O447">
        <v>27.1</v>
      </c>
      <c r="P447">
        <v>2.9499999999999998E-2</v>
      </c>
      <c r="Q447">
        <v>7.46</v>
      </c>
      <c r="R447">
        <v>16.07</v>
      </c>
      <c r="S447">
        <v>8</v>
      </c>
      <c r="T447">
        <v>5</v>
      </c>
      <c r="U447">
        <v>40</v>
      </c>
      <c r="V447">
        <v>150.5</v>
      </c>
      <c r="W447">
        <v>323.39999999999998</v>
      </c>
      <c r="X447">
        <v>1.18</v>
      </c>
      <c r="Y447">
        <v>53.487499999999997</v>
      </c>
      <c r="Z447">
        <v>1.5778812499999999</v>
      </c>
      <c r="AA447">
        <v>1.3371875</v>
      </c>
      <c r="AB447">
        <v>206290.59</v>
      </c>
      <c r="AC447">
        <v>2</v>
      </c>
      <c r="AD447" s="1" t="s">
        <v>40</v>
      </c>
      <c r="AE447">
        <v>2</v>
      </c>
      <c r="AF447">
        <v>0</v>
      </c>
      <c r="AG447">
        <v>7.5328947368421053</v>
      </c>
    </row>
    <row r="448" spans="1:33">
      <c r="A448" s="1" t="s">
        <v>474</v>
      </c>
      <c r="B448" s="1" t="s">
        <v>1514</v>
      </c>
      <c r="C448" s="2">
        <v>47036</v>
      </c>
      <c r="D448" s="1" t="s">
        <v>34</v>
      </c>
      <c r="E448">
        <v>6707</v>
      </c>
      <c r="F448" s="2">
        <v>46081</v>
      </c>
      <c r="G448" s="1" t="s">
        <v>475</v>
      </c>
      <c r="H448" s="1" t="s">
        <v>48</v>
      </c>
      <c r="I448" s="1" t="s">
        <v>37</v>
      </c>
      <c r="J448" s="1" t="s">
        <v>38</v>
      </c>
      <c r="K448" s="1" t="s">
        <v>39</v>
      </c>
      <c r="L448">
        <v>240</v>
      </c>
      <c r="M448">
        <v>43.2</v>
      </c>
      <c r="N448">
        <v>25.2</v>
      </c>
      <c r="O448">
        <v>27.1</v>
      </c>
      <c r="P448">
        <v>2.9499999999999998E-2</v>
      </c>
      <c r="Q448">
        <v>7.46</v>
      </c>
      <c r="R448">
        <v>16.07</v>
      </c>
      <c r="S448">
        <v>8</v>
      </c>
      <c r="T448">
        <v>5</v>
      </c>
      <c r="U448">
        <v>40</v>
      </c>
      <c r="V448">
        <v>150.5</v>
      </c>
      <c r="W448">
        <v>323.39999999999998</v>
      </c>
      <c r="X448">
        <v>1.18</v>
      </c>
      <c r="Y448">
        <v>27.945833333333333</v>
      </c>
      <c r="Z448">
        <v>0.82440208333333331</v>
      </c>
      <c r="AA448">
        <v>0.6986458333333333</v>
      </c>
      <c r="AB448">
        <v>107781.49</v>
      </c>
      <c r="AC448">
        <v>1</v>
      </c>
      <c r="AD448" s="1" t="s">
        <v>40</v>
      </c>
      <c r="AE448">
        <v>1</v>
      </c>
      <c r="AF448">
        <v>0</v>
      </c>
      <c r="AG448">
        <v>31.414473684210527</v>
      </c>
    </row>
    <row r="449" spans="1:33">
      <c r="A449" s="1" t="s">
        <v>474</v>
      </c>
      <c r="B449" s="1" t="s">
        <v>1515</v>
      </c>
      <c r="C449" s="2">
        <v>46811</v>
      </c>
      <c r="D449" s="1" t="s">
        <v>34</v>
      </c>
      <c r="E449">
        <v>18391</v>
      </c>
      <c r="F449" s="2">
        <v>46081</v>
      </c>
      <c r="G449" s="1" t="s">
        <v>475</v>
      </c>
      <c r="H449" s="1" t="s">
        <v>48</v>
      </c>
      <c r="I449" s="1" t="s">
        <v>37</v>
      </c>
      <c r="J449" s="1" t="s">
        <v>38</v>
      </c>
      <c r="K449" s="1" t="s">
        <v>39</v>
      </c>
      <c r="L449">
        <v>240</v>
      </c>
      <c r="M449">
        <v>43.2</v>
      </c>
      <c r="N449">
        <v>25.2</v>
      </c>
      <c r="O449">
        <v>27.1</v>
      </c>
      <c r="P449">
        <v>2.9499999999999998E-2</v>
      </c>
      <c r="Q449">
        <v>7.46</v>
      </c>
      <c r="R449">
        <v>16.07</v>
      </c>
      <c r="S449">
        <v>8</v>
      </c>
      <c r="T449">
        <v>5</v>
      </c>
      <c r="U449">
        <v>40</v>
      </c>
      <c r="V449">
        <v>150.5</v>
      </c>
      <c r="W449">
        <v>323.39999999999998</v>
      </c>
      <c r="X449">
        <v>1.18</v>
      </c>
      <c r="Y449">
        <v>76.629166666666663</v>
      </c>
      <c r="Z449">
        <v>2.2605604166666664</v>
      </c>
      <c r="AA449">
        <v>1.9157291666666665</v>
      </c>
      <c r="AB449">
        <v>295543.37</v>
      </c>
      <c r="AC449">
        <v>2</v>
      </c>
      <c r="AD449" s="1" t="s">
        <v>40</v>
      </c>
      <c r="AE449">
        <v>2</v>
      </c>
      <c r="AF449">
        <v>0</v>
      </c>
      <c r="AG449">
        <v>24.013157894736842</v>
      </c>
    </row>
    <row r="450" spans="1:33">
      <c r="A450" s="1" t="s">
        <v>476</v>
      </c>
      <c r="B450" s="1" t="s">
        <v>1516</v>
      </c>
      <c r="C450" s="2">
        <v>46695</v>
      </c>
      <c r="D450" s="1" t="s">
        <v>34</v>
      </c>
      <c r="E450">
        <v>6745</v>
      </c>
      <c r="F450" s="2">
        <v>46081</v>
      </c>
      <c r="G450" s="1" t="s">
        <v>477</v>
      </c>
      <c r="H450" s="1" t="s">
        <v>36</v>
      </c>
      <c r="I450" s="1" t="s">
        <v>37</v>
      </c>
      <c r="J450" s="1" t="s">
        <v>38</v>
      </c>
      <c r="K450" s="1" t="s">
        <v>39</v>
      </c>
      <c r="L450">
        <v>60</v>
      </c>
      <c r="M450">
        <v>37.4</v>
      </c>
      <c r="N450">
        <v>25.9</v>
      </c>
      <c r="O450">
        <v>31.3</v>
      </c>
      <c r="P450">
        <v>3.032E-2</v>
      </c>
      <c r="Q450">
        <v>6.3</v>
      </c>
      <c r="R450">
        <v>20.05</v>
      </c>
      <c r="S450">
        <v>9</v>
      </c>
      <c r="T450">
        <v>2</v>
      </c>
      <c r="U450">
        <v>18</v>
      </c>
      <c r="V450">
        <v>77.599999999999994</v>
      </c>
      <c r="W450">
        <v>138.39999999999998</v>
      </c>
      <c r="X450">
        <v>0.54576000000000002</v>
      </c>
      <c r="Y450">
        <v>112.41666666666667</v>
      </c>
      <c r="Z450">
        <v>3.4084733333333332</v>
      </c>
      <c r="AA450">
        <v>6.2453703703703702</v>
      </c>
      <c r="AB450">
        <v>135237.25</v>
      </c>
      <c r="AC450">
        <v>7</v>
      </c>
      <c r="AD450" s="1" t="s">
        <v>40</v>
      </c>
      <c r="AE450">
        <v>7</v>
      </c>
      <c r="AF450">
        <v>0</v>
      </c>
      <c r="AG450">
        <v>20.197368421052634</v>
      </c>
    </row>
    <row r="451" spans="1:33">
      <c r="A451" s="1" t="s">
        <v>478</v>
      </c>
      <c r="B451" s="1" t="s">
        <v>1517</v>
      </c>
      <c r="C451" s="2">
        <v>46778</v>
      </c>
      <c r="D451" s="1" t="s">
        <v>34</v>
      </c>
      <c r="E451">
        <v>3765</v>
      </c>
      <c r="F451" s="2">
        <v>46081</v>
      </c>
      <c r="G451" s="1" t="s">
        <v>479</v>
      </c>
      <c r="H451" s="1" t="s">
        <v>36</v>
      </c>
      <c r="I451" s="1" t="s">
        <v>37</v>
      </c>
      <c r="J451" s="1" t="s">
        <v>38</v>
      </c>
      <c r="K451" s="1" t="s">
        <v>39</v>
      </c>
      <c r="L451">
        <v>180</v>
      </c>
      <c r="M451">
        <v>55.7</v>
      </c>
      <c r="N451">
        <v>28.1</v>
      </c>
      <c r="O451">
        <v>24.6</v>
      </c>
      <c r="P451">
        <v>3.85E-2</v>
      </c>
      <c r="Q451">
        <v>9.61</v>
      </c>
      <c r="R451">
        <v>17.059999999999999</v>
      </c>
      <c r="S451">
        <v>6</v>
      </c>
      <c r="T451">
        <v>4</v>
      </c>
      <c r="U451">
        <v>24</v>
      </c>
      <c r="V451">
        <v>113.4</v>
      </c>
      <c r="W451">
        <v>255.64</v>
      </c>
      <c r="X451">
        <v>0.92400000000000004</v>
      </c>
      <c r="Y451">
        <v>20.916666666666668</v>
      </c>
      <c r="Z451">
        <v>0.80529166666666674</v>
      </c>
      <c r="AA451">
        <v>0.87152777777777779</v>
      </c>
      <c r="AB451">
        <v>64230.899999999994</v>
      </c>
      <c r="AC451">
        <v>1</v>
      </c>
      <c r="AD451" s="1" t="s">
        <v>40</v>
      </c>
      <c r="AE451">
        <v>1</v>
      </c>
      <c r="AF451">
        <v>0</v>
      </c>
      <c r="AG451">
        <v>22.92763157894737</v>
      </c>
    </row>
    <row r="452" spans="1:33">
      <c r="A452" s="1" t="s">
        <v>478</v>
      </c>
      <c r="B452" s="1" t="s">
        <v>1518</v>
      </c>
      <c r="C452" s="2">
        <v>46800</v>
      </c>
      <c r="D452" s="1" t="s">
        <v>34</v>
      </c>
      <c r="E452">
        <v>6304</v>
      </c>
      <c r="F452" s="2">
        <v>46081</v>
      </c>
      <c r="G452" s="1" t="s">
        <v>479</v>
      </c>
      <c r="H452" s="1" t="s">
        <v>36</v>
      </c>
      <c r="I452" s="1" t="s">
        <v>37</v>
      </c>
      <c r="J452" s="1" t="s">
        <v>38</v>
      </c>
      <c r="K452" s="1" t="s">
        <v>39</v>
      </c>
      <c r="L452">
        <v>180</v>
      </c>
      <c r="M452">
        <v>55.7</v>
      </c>
      <c r="N452">
        <v>28.1</v>
      </c>
      <c r="O452">
        <v>24.6</v>
      </c>
      <c r="P452">
        <v>3.85E-2</v>
      </c>
      <c r="Q452">
        <v>9.61</v>
      </c>
      <c r="R452">
        <v>17.059999999999999</v>
      </c>
      <c r="S452">
        <v>6</v>
      </c>
      <c r="T452">
        <v>4</v>
      </c>
      <c r="U452">
        <v>24</v>
      </c>
      <c r="V452">
        <v>113.4</v>
      </c>
      <c r="W452">
        <v>255.64</v>
      </c>
      <c r="X452">
        <v>0.92400000000000004</v>
      </c>
      <c r="Y452">
        <v>35.022222222222226</v>
      </c>
      <c r="Z452">
        <v>1.3483555555555558</v>
      </c>
      <c r="AA452">
        <v>1.4592592592592595</v>
      </c>
      <c r="AB452">
        <v>107546.23999999999</v>
      </c>
      <c r="AC452">
        <v>2</v>
      </c>
      <c r="AD452" s="1" t="s">
        <v>40</v>
      </c>
      <c r="AE452">
        <v>2</v>
      </c>
      <c r="AF452">
        <v>0</v>
      </c>
      <c r="AG452">
        <v>23.651315789473685</v>
      </c>
    </row>
    <row r="453" spans="1:33">
      <c r="A453" s="1" t="s">
        <v>478</v>
      </c>
      <c r="B453" s="1" t="s">
        <v>1519</v>
      </c>
      <c r="C453" s="2">
        <v>46681</v>
      </c>
      <c r="D453" s="1" t="s">
        <v>49</v>
      </c>
      <c r="E453">
        <v>503</v>
      </c>
      <c r="F453" s="2">
        <v>46081</v>
      </c>
      <c r="G453" s="1" t="s">
        <v>479</v>
      </c>
      <c r="H453" s="1" t="s">
        <v>36</v>
      </c>
      <c r="I453" s="1" t="s">
        <v>37</v>
      </c>
      <c r="J453" s="1" t="s">
        <v>38</v>
      </c>
      <c r="K453" s="1" t="s">
        <v>39</v>
      </c>
      <c r="L453">
        <v>180</v>
      </c>
      <c r="M453">
        <v>55.7</v>
      </c>
      <c r="N453">
        <v>28.1</v>
      </c>
      <c r="O453">
        <v>24.6</v>
      </c>
      <c r="P453">
        <v>3.85E-2</v>
      </c>
      <c r="Q453">
        <v>9.61</v>
      </c>
      <c r="R453">
        <v>17.059999999999999</v>
      </c>
      <c r="S453">
        <v>6</v>
      </c>
      <c r="T453">
        <v>4</v>
      </c>
      <c r="U453">
        <v>24</v>
      </c>
      <c r="V453">
        <v>113.4</v>
      </c>
      <c r="W453">
        <v>255.64</v>
      </c>
      <c r="X453">
        <v>0.92400000000000004</v>
      </c>
      <c r="Y453">
        <v>2.7944444444444443</v>
      </c>
      <c r="Z453">
        <v>0.1075861111111111</v>
      </c>
      <c r="AA453">
        <v>0.11643518518518518</v>
      </c>
      <c r="AB453">
        <v>8581.1799999999985</v>
      </c>
      <c r="AC453">
        <v>1</v>
      </c>
      <c r="AD453" s="1" t="s">
        <v>44</v>
      </c>
      <c r="AE453">
        <v>0</v>
      </c>
      <c r="AF453">
        <v>1</v>
      </c>
      <c r="AG453">
        <v>19.736842105263158</v>
      </c>
    </row>
    <row r="454" spans="1:33">
      <c r="A454" s="1" t="s">
        <v>478</v>
      </c>
      <c r="B454" s="1" t="s">
        <v>1520</v>
      </c>
      <c r="C454" s="2">
        <v>46009</v>
      </c>
      <c r="D454" s="1" t="s">
        <v>73</v>
      </c>
      <c r="E454">
        <v>805</v>
      </c>
      <c r="F454" s="2">
        <v>46081</v>
      </c>
      <c r="G454" s="1" t="s">
        <v>479</v>
      </c>
      <c r="H454" s="1" t="s">
        <v>36</v>
      </c>
      <c r="I454" s="1" t="s">
        <v>37</v>
      </c>
      <c r="J454" s="1" t="s">
        <v>38</v>
      </c>
      <c r="K454" s="1" t="s">
        <v>39</v>
      </c>
      <c r="L454">
        <v>180</v>
      </c>
      <c r="M454">
        <v>55.7</v>
      </c>
      <c r="N454">
        <v>28.1</v>
      </c>
      <c r="O454">
        <v>24.6</v>
      </c>
      <c r="P454">
        <v>3.85E-2</v>
      </c>
      <c r="Q454">
        <v>9.61</v>
      </c>
      <c r="R454">
        <v>17.059999999999999</v>
      </c>
      <c r="S454">
        <v>6</v>
      </c>
      <c r="T454">
        <v>4</v>
      </c>
      <c r="U454">
        <v>24</v>
      </c>
      <c r="V454">
        <v>113.4</v>
      </c>
      <c r="W454">
        <v>255.64</v>
      </c>
      <c r="X454">
        <v>0.92400000000000004</v>
      </c>
      <c r="Y454">
        <v>4.4722222222222223</v>
      </c>
      <c r="Z454">
        <v>0.17218055555555556</v>
      </c>
      <c r="AA454">
        <v>0.18634259259259259</v>
      </c>
      <c r="AB454">
        <v>13733.3</v>
      </c>
      <c r="AC454">
        <v>1</v>
      </c>
      <c r="AD454" s="1" t="s">
        <v>74</v>
      </c>
      <c r="AE454">
        <v>0</v>
      </c>
      <c r="AF454">
        <v>0</v>
      </c>
      <c r="AG454">
        <v>-2.3684210526315792</v>
      </c>
    </row>
    <row r="455" spans="1:33">
      <c r="A455" s="1" t="s">
        <v>480</v>
      </c>
      <c r="B455" s="1" t="s">
        <v>1521</v>
      </c>
      <c r="C455" s="2">
        <v>46236</v>
      </c>
      <c r="D455" s="1" t="s">
        <v>34</v>
      </c>
      <c r="E455">
        <v>417</v>
      </c>
      <c r="F455" s="2">
        <v>46081</v>
      </c>
      <c r="G455" s="1" t="s">
        <v>481</v>
      </c>
      <c r="H455" s="1" t="s">
        <v>36</v>
      </c>
      <c r="I455" s="1" t="s">
        <v>37</v>
      </c>
      <c r="J455" s="1" t="s">
        <v>38</v>
      </c>
      <c r="K455" s="1" t="s">
        <v>39</v>
      </c>
      <c r="L455">
        <v>120</v>
      </c>
      <c r="M455">
        <v>58.7</v>
      </c>
      <c r="N455">
        <v>27.5</v>
      </c>
      <c r="O455">
        <v>27.3</v>
      </c>
      <c r="P455">
        <v>4.4069999999999998E-2</v>
      </c>
      <c r="Q455">
        <v>9.58</v>
      </c>
      <c r="R455">
        <v>3.61</v>
      </c>
      <c r="S455">
        <v>6</v>
      </c>
      <c r="T455">
        <v>5</v>
      </c>
      <c r="U455">
        <v>30</v>
      </c>
      <c r="V455">
        <v>151.5</v>
      </c>
      <c r="W455">
        <v>312.39999999999998</v>
      </c>
      <c r="X455">
        <v>1.3220999999999998</v>
      </c>
      <c r="Y455">
        <v>3.4750000000000001</v>
      </c>
      <c r="Z455">
        <v>0.15314325000000001</v>
      </c>
      <c r="AA455">
        <v>0.11583333333333333</v>
      </c>
      <c r="AB455">
        <v>1505.37</v>
      </c>
      <c r="AC455">
        <v>1</v>
      </c>
      <c r="AD455" s="1" t="s">
        <v>44</v>
      </c>
      <c r="AE455">
        <v>0</v>
      </c>
      <c r="AF455">
        <v>1</v>
      </c>
      <c r="AG455">
        <v>5.0986842105263159</v>
      </c>
    </row>
    <row r="456" spans="1:33">
      <c r="A456" s="1" t="s">
        <v>480</v>
      </c>
      <c r="B456" s="1" t="s">
        <v>1522</v>
      </c>
      <c r="C456" s="2">
        <v>46071</v>
      </c>
      <c r="D456" s="1" t="s">
        <v>73</v>
      </c>
      <c r="E456">
        <v>33</v>
      </c>
      <c r="F456" s="2">
        <v>46081</v>
      </c>
      <c r="G456" s="1" t="s">
        <v>481</v>
      </c>
      <c r="H456" s="1" t="s">
        <v>36</v>
      </c>
      <c r="I456" s="1" t="s">
        <v>37</v>
      </c>
      <c r="J456" s="1" t="s">
        <v>38</v>
      </c>
      <c r="K456" s="1" t="s">
        <v>39</v>
      </c>
      <c r="L456">
        <v>120</v>
      </c>
      <c r="M456">
        <v>58.7</v>
      </c>
      <c r="N456">
        <v>27.5</v>
      </c>
      <c r="O456">
        <v>27.3</v>
      </c>
      <c r="P456">
        <v>4.4069999999999998E-2</v>
      </c>
      <c r="Q456">
        <v>9.58</v>
      </c>
      <c r="R456">
        <v>3.61</v>
      </c>
      <c r="S456">
        <v>6</v>
      </c>
      <c r="T456">
        <v>5</v>
      </c>
      <c r="U456">
        <v>30</v>
      </c>
      <c r="V456">
        <v>151.5</v>
      </c>
      <c r="W456">
        <v>312.39999999999998</v>
      </c>
      <c r="X456">
        <v>1.3220999999999998</v>
      </c>
      <c r="Y456">
        <v>0.27500000000000002</v>
      </c>
      <c r="Z456">
        <v>1.211925E-2</v>
      </c>
      <c r="AA456">
        <v>9.1666666666666667E-3</v>
      </c>
      <c r="AB456">
        <v>119.13</v>
      </c>
      <c r="AC456">
        <v>1</v>
      </c>
      <c r="AD456" s="1" t="s">
        <v>74</v>
      </c>
      <c r="AE456">
        <v>0</v>
      </c>
      <c r="AF456">
        <v>0</v>
      </c>
      <c r="AG456">
        <v>-0.32894736842105265</v>
      </c>
    </row>
    <row r="457" spans="1:33">
      <c r="A457" s="1" t="s">
        <v>482</v>
      </c>
      <c r="B457" s="1" t="s">
        <v>1523</v>
      </c>
      <c r="C457" s="2">
        <v>47145</v>
      </c>
      <c r="D457" s="1" t="s">
        <v>34</v>
      </c>
      <c r="E457">
        <v>226</v>
      </c>
      <c r="F457" s="2">
        <v>46081</v>
      </c>
      <c r="G457" s="1" t="s">
        <v>483</v>
      </c>
      <c r="H457" s="1" t="s">
        <v>52</v>
      </c>
      <c r="I457" s="1" t="s">
        <v>37</v>
      </c>
      <c r="J457" s="1" t="s">
        <v>38</v>
      </c>
      <c r="K457" s="1" t="s">
        <v>39</v>
      </c>
      <c r="L457">
        <v>120</v>
      </c>
      <c r="M457">
        <v>41.5</v>
      </c>
      <c r="N457">
        <v>25</v>
      </c>
      <c r="O457">
        <v>29.3</v>
      </c>
      <c r="P457">
        <v>3.04E-2</v>
      </c>
      <c r="Q457">
        <v>8.6199999999999992</v>
      </c>
      <c r="R457">
        <v>7.68</v>
      </c>
      <c r="S457">
        <v>8</v>
      </c>
      <c r="T457">
        <v>5</v>
      </c>
      <c r="U457">
        <v>40</v>
      </c>
      <c r="V457">
        <v>161.5</v>
      </c>
      <c r="W457">
        <v>369.8</v>
      </c>
      <c r="X457">
        <v>1.216</v>
      </c>
      <c r="Y457">
        <v>1.8833333333333333</v>
      </c>
      <c r="Z457">
        <v>5.725333333333333E-2</v>
      </c>
      <c r="AA457">
        <v>4.7083333333333331E-2</v>
      </c>
      <c r="AB457">
        <v>1735.6799999999998</v>
      </c>
      <c r="AC457">
        <v>1</v>
      </c>
      <c r="AD457" s="1" t="s">
        <v>44</v>
      </c>
      <c r="AE457">
        <v>0</v>
      </c>
      <c r="AF457">
        <v>1</v>
      </c>
      <c r="AG457">
        <v>35</v>
      </c>
    </row>
    <row r="458" spans="1:33">
      <c r="A458" s="1" t="s">
        <v>482</v>
      </c>
      <c r="B458" s="1" t="s">
        <v>1524</v>
      </c>
      <c r="C458" s="2">
        <v>46534</v>
      </c>
      <c r="D458" s="1" t="s">
        <v>34</v>
      </c>
      <c r="E458">
        <v>836</v>
      </c>
      <c r="F458" s="2">
        <v>46081</v>
      </c>
      <c r="G458" s="1" t="s">
        <v>483</v>
      </c>
      <c r="H458" s="1" t="s">
        <v>52</v>
      </c>
      <c r="I458" s="1" t="s">
        <v>37</v>
      </c>
      <c r="J458" s="1" t="s">
        <v>38</v>
      </c>
      <c r="K458" s="1" t="s">
        <v>39</v>
      </c>
      <c r="L458">
        <v>120</v>
      </c>
      <c r="M458">
        <v>41.5</v>
      </c>
      <c r="N458">
        <v>25</v>
      </c>
      <c r="O458">
        <v>29.3</v>
      </c>
      <c r="P458">
        <v>3.04E-2</v>
      </c>
      <c r="Q458">
        <v>8.6199999999999992</v>
      </c>
      <c r="R458">
        <v>7.68</v>
      </c>
      <c r="S458">
        <v>8</v>
      </c>
      <c r="T458">
        <v>5</v>
      </c>
      <c r="U458">
        <v>40</v>
      </c>
      <c r="V458">
        <v>161.5</v>
      </c>
      <c r="W458">
        <v>369.8</v>
      </c>
      <c r="X458">
        <v>1.216</v>
      </c>
      <c r="Y458">
        <v>6.9666666666666668</v>
      </c>
      <c r="Z458">
        <v>0.21178666666666668</v>
      </c>
      <c r="AA458">
        <v>0.17416666666666666</v>
      </c>
      <c r="AB458">
        <v>6420.48</v>
      </c>
      <c r="AC458">
        <v>1</v>
      </c>
      <c r="AD458" s="1" t="s">
        <v>44</v>
      </c>
      <c r="AE458">
        <v>0</v>
      </c>
      <c r="AF458">
        <v>1</v>
      </c>
      <c r="AG458">
        <v>14.901315789473685</v>
      </c>
    </row>
    <row r="459" spans="1:33">
      <c r="A459" s="1" t="s">
        <v>484</v>
      </c>
      <c r="B459" s="1" t="s">
        <v>1525</v>
      </c>
      <c r="C459" s="2">
        <v>46748</v>
      </c>
      <c r="D459" s="1" t="s">
        <v>34</v>
      </c>
      <c r="E459">
        <v>2498</v>
      </c>
      <c r="F459" s="2">
        <v>46081</v>
      </c>
      <c r="G459" s="1" t="s">
        <v>485</v>
      </c>
      <c r="H459" s="1" t="s">
        <v>52</v>
      </c>
      <c r="I459" s="1" t="s">
        <v>37</v>
      </c>
      <c r="J459" s="1" t="s">
        <v>38</v>
      </c>
      <c r="K459" s="1" t="s">
        <v>39</v>
      </c>
      <c r="L459">
        <v>120</v>
      </c>
      <c r="M459">
        <v>30.8</v>
      </c>
      <c r="N459">
        <v>31.4</v>
      </c>
      <c r="O459">
        <v>23.8</v>
      </c>
      <c r="P459">
        <v>2.3019999999999999E-2</v>
      </c>
      <c r="Q459">
        <v>4.18</v>
      </c>
      <c r="R459">
        <v>18.68</v>
      </c>
      <c r="S459">
        <v>9</v>
      </c>
      <c r="T459">
        <v>6</v>
      </c>
      <c r="U459">
        <v>54</v>
      </c>
      <c r="V459">
        <v>157.80000000000001</v>
      </c>
      <c r="W459">
        <v>250.72</v>
      </c>
      <c r="X459">
        <v>1.24308</v>
      </c>
      <c r="Y459">
        <v>20.816666666666666</v>
      </c>
      <c r="Z459">
        <v>0.47919966666666663</v>
      </c>
      <c r="AA459">
        <v>0.3854938271604938</v>
      </c>
      <c r="AB459">
        <v>46662.64</v>
      </c>
      <c r="AC459">
        <v>1</v>
      </c>
      <c r="AD459" s="1" t="s">
        <v>40</v>
      </c>
      <c r="AE459">
        <v>1</v>
      </c>
      <c r="AF459">
        <v>0</v>
      </c>
      <c r="AG459">
        <v>21.940789473684212</v>
      </c>
    </row>
    <row r="460" spans="1:33">
      <c r="A460" s="1" t="s">
        <v>484</v>
      </c>
      <c r="B460" s="1" t="s">
        <v>1526</v>
      </c>
      <c r="C460" s="2">
        <v>46726</v>
      </c>
      <c r="D460" s="1" t="s">
        <v>45</v>
      </c>
      <c r="E460">
        <v>49</v>
      </c>
      <c r="F460" s="2">
        <v>46081</v>
      </c>
      <c r="G460" s="1" t="s">
        <v>485</v>
      </c>
      <c r="H460" s="1" t="s">
        <v>52</v>
      </c>
      <c r="I460" s="1" t="s">
        <v>37</v>
      </c>
      <c r="J460" s="1" t="s">
        <v>38</v>
      </c>
      <c r="K460" s="1" t="s">
        <v>39</v>
      </c>
      <c r="L460">
        <v>120</v>
      </c>
      <c r="M460">
        <v>30.8</v>
      </c>
      <c r="N460">
        <v>31.4</v>
      </c>
      <c r="O460">
        <v>23.8</v>
      </c>
      <c r="P460">
        <v>2.3019999999999999E-2</v>
      </c>
      <c r="Q460">
        <v>4.18</v>
      </c>
      <c r="R460">
        <v>18.68</v>
      </c>
      <c r="S460">
        <v>9</v>
      </c>
      <c r="T460">
        <v>6</v>
      </c>
      <c r="U460">
        <v>54</v>
      </c>
      <c r="V460">
        <v>157.80000000000001</v>
      </c>
      <c r="W460">
        <v>250.72</v>
      </c>
      <c r="X460">
        <v>1.24308</v>
      </c>
      <c r="Y460">
        <v>0.40833333333333333</v>
      </c>
      <c r="Z460">
        <v>9.399833333333333E-3</v>
      </c>
      <c r="AA460">
        <v>7.5617283950617283E-3</v>
      </c>
      <c r="AB460">
        <v>915.31999999999994</v>
      </c>
      <c r="AC460">
        <v>1</v>
      </c>
      <c r="AD460" s="1" t="s">
        <v>44</v>
      </c>
      <c r="AE460">
        <v>0</v>
      </c>
      <c r="AF460">
        <v>1</v>
      </c>
      <c r="AG460">
        <v>21.217105263157897</v>
      </c>
    </row>
    <row r="461" spans="1:33">
      <c r="A461" s="1" t="s">
        <v>484</v>
      </c>
      <c r="B461" s="1" t="s">
        <v>1527</v>
      </c>
      <c r="C461" s="2">
        <v>45965</v>
      </c>
      <c r="D461" s="1" t="s">
        <v>73</v>
      </c>
      <c r="E461">
        <v>199</v>
      </c>
      <c r="F461" s="2">
        <v>46081</v>
      </c>
      <c r="G461" s="1" t="s">
        <v>485</v>
      </c>
      <c r="H461" s="1" t="s">
        <v>52</v>
      </c>
      <c r="I461" s="1" t="s">
        <v>37</v>
      </c>
      <c r="J461" s="1" t="s">
        <v>38</v>
      </c>
      <c r="K461" s="1" t="s">
        <v>39</v>
      </c>
      <c r="L461">
        <v>120</v>
      </c>
      <c r="M461">
        <v>30.8</v>
      </c>
      <c r="N461">
        <v>31.4</v>
      </c>
      <c r="O461">
        <v>23.8</v>
      </c>
      <c r="P461">
        <v>2.3019999999999999E-2</v>
      </c>
      <c r="Q461">
        <v>4.18</v>
      </c>
      <c r="R461">
        <v>18.68</v>
      </c>
      <c r="S461">
        <v>9</v>
      </c>
      <c r="T461">
        <v>6</v>
      </c>
      <c r="U461">
        <v>54</v>
      </c>
      <c r="V461">
        <v>157.80000000000001</v>
      </c>
      <c r="W461">
        <v>250.72</v>
      </c>
      <c r="X461">
        <v>1.24308</v>
      </c>
      <c r="Y461">
        <v>1.6583333333333334</v>
      </c>
      <c r="Z461">
        <v>3.8174833333333331E-2</v>
      </c>
      <c r="AA461">
        <v>3.0709876543209877E-2</v>
      </c>
      <c r="AB461">
        <v>3717.32</v>
      </c>
      <c r="AC461">
        <v>1</v>
      </c>
      <c r="AD461" s="1" t="s">
        <v>74</v>
      </c>
      <c r="AE461">
        <v>0</v>
      </c>
      <c r="AF461">
        <v>0</v>
      </c>
      <c r="AG461">
        <v>-3.8157894736842106</v>
      </c>
    </row>
    <row r="462" spans="1:33">
      <c r="A462" s="1" t="s">
        <v>486</v>
      </c>
      <c r="B462" s="1" t="s">
        <v>1528</v>
      </c>
      <c r="C462" s="2">
        <v>46766</v>
      </c>
      <c r="D462" s="1" t="s">
        <v>34</v>
      </c>
      <c r="E462">
        <v>1610</v>
      </c>
      <c r="F462" s="2">
        <v>46081</v>
      </c>
      <c r="G462" s="1" t="s">
        <v>487</v>
      </c>
      <c r="H462" s="1" t="s">
        <v>70</v>
      </c>
      <c r="I462" s="1" t="s">
        <v>37</v>
      </c>
      <c r="J462" s="1" t="s">
        <v>38</v>
      </c>
      <c r="K462" s="1" t="s">
        <v>39</v>
      </c>
      <c r="L462">
        <v>60</v>
      </c>
      <c r="M462">
        <v>44.8</v>
      </c>
      <c r="N462">
        <v>37.1</v>
      </c>
      <c r="O462">
        <v>17.899999999999999</v>
      </c>
      <c r="P462">
        <v>2.9749999999999999E-2</v>
      </c>
      <c r="Q462">
        <v>4.67</v>
      </c>
      <c r="R462">
        <v>10.58</v>
      </c>
      <c r="S462">
        <v>4</v>
      </c>
      <c r="T462">
        <v>3</v>
      </c>
      <c r="U462">
        <v>12</v>
      </c>
      <c r="V462">
        <v>68.699999999999989</v>
      </c>
      <c r="W462">
        <v>81.039999999999992</v>
      </c>
      <c r="X462">
        <v>0.35699999999999998</v>
      </c>
      <c r="Y462">
        <v>26.833333333333332</v>
      </c>
      <c r="Z462">
        <v>0.79829166666666662</v>
      </c>
      <c r="AA462">
        <v>2.2361111111111112</v>
      </c>
      <c r="AB462">
        <v>17033.8</v>
      </c>
      <c r="AC462">
        <v>3</v>
      </c>
      <c r="AD462" s="1" t="s">
        <v>40</v>
      </c>
      <c r="AE462">
        <v>3</v>
      </c>
      <c r="AF462">
        <v>0</v>
      </c>
      <c r="AG462">
        <v>22.532894736842106</v>
      </c>
    </row>
    <row r="463" spans="1:33">
      <c r="A463" s="1" t="s">
        <v>488</v>
      </c>
      <c r="B463" s="1" t="s">
        <v>1529</v>
      </c>
      <c r="C463" s="2">
        <v>46904</v>
      </c>
      <c r="D463" s="1" t="s">
        <v>34</v>
      </c>
      <c r="E463">
        <v>582</v>
      </c>
      <c r="F463" s="2">
        <v>46081</v>
      </c>
      <c r="G463" s="1" t="s">
        <v>489</v>
      </c>
      <c r="H463" s="1" t="s">
        <v>48</v>
      </c>
      <c r="I463" s="1" t="s">
        <v>37</v>
      </c>
      <c r="J463" s="1" t="s">
        <v>38</v>
      </c>
      <c r="K463" s="1" t="s">
        <v>39</v>
      </c>
      <c r="L463">
        <v>100</v>
      </c>
      <c r="M463">
        <v>47.8</v>
      </c>
      <c r="N463">
        <v>36.6</v>
      </c>
      <c r="O463">
        <v>21.1</v>
      </c>
      <c r="P463">
        <v>3.6909999999999998E-2</v>
      </c>
      <c r="Q463">
        <v>9.9</v>
      </c>
      <c r="R463">
        <v>16.63</v>
      </c>
      <c r="S463">
        <v>6</v>
      </c>
      <c r="T463">
        <v>3</v>
      </c>
      <c r="U463">
        <v>18</v>
      </c>
      <c r="V463">
        <v>78.300000000000011</v>
      </c>
      <c r="W463">
        <v>203.2</v>
      </c>
      <c r="X463">
        <v>0.66437999999999997</v>
      </c>
      <c r="Y463">
        <v>5.82</v>
      </c>
      <c r="Z463">
        <v>0.21481620000000001</v>
      </c>
      <c r="AA463">
        <v>0.32333333333333336</v>
      </c>
      <c r="AB463">
        <v>9678.66</v>
      </c>
      <c r="AC463">
        <v>1</v>
      </c>
      <c r="AD463" s="1" t="s">
        <v>44</v>
      </c>
      <c r="AE463">
        <v>0</v>
      </c>
      <c r="AF463">
        <v>1</v>
      </c>
      <c r="AG463">
        <v>27.072368421052634</v>
      </c>
    </row>
    <row r="464" spans="1:33">
      <c r="A464" s="1" t="s">
        <v>488</v>
      </c>
      <c r="B464" s="1" t="s">
        <v>1530</v>
      </c>
      <c r="C464" s="2">
        <v>46950</v>
      </c>
      <c r="D464" s="1" t="s">
        <v>34</v>
      </c>
      <c r="E464">
        <v>104</v>
      </c>
      <c r="F464" s="2">
        <v>46081</v>
      </c>
      <c r="G464" s="1" t="s">
        <v>489</v>
      </c>
      <c r="H464" s="1" t="s">
        <v>48</v>
      </c>
      <c r="I464" s="1" t="s">
        <v>37</v>
      </c>
      <c r="J464" s="1" t="s">
        <v>38</v>
      </c>
      <c r="K464" s="1" t="s">
        <v>39</v>
      </c>
      <c r="L464">
        <v>100</v>
      </c>
      <c r="M464">
        <v>47.8</v>
      </c>
      <c r="N464">
        <v>36.6</v>
      </c>
      <c r="O464">
        <v>21.1</v>
      </c>
      <c r="P464">
        <v>3.6909999999999998E-2</v>
      </c>
      <c r="Q464">
        <v>9.9</v>
      </c>
      <c r="R464">
        <v>16.63</v>
      </c>
      <c r="S464">
        <v>6</v>
      </c>
      <c r="T464">
        <v>3</v>
      </c>
      <c r="U464">
        <v>18</v>
      </c>
      <c r="V464">
        <v>78.300000000000011</v>
      </c>
      <c r="W464">
        <v>203.2</v>
      </c>
      <c r="X464">
        <v>0.66437999999999997</v>
      </c>
      <c r="Y464">
        <v>1.04</v>
      </c>
      <c r="Z464">
        <v>3.8386400000000001E-2</v>
      </c>
      <c r="AA464">
        <v>5.7777777777777782E-2</v>
      </c>
      <c r="AB464">
        <v>1729.52</v>
      </c>
      <c r="AC464">
        <v>1</v>
      </c>
      <c r="AD464" s="1" t="s">
        <v>44</v>
      </c>
      <c r="AE464">
        <v>0</v>
      </c>
      <c r="AF464">
        <v>1</v>
      </c>
      <c r="AG464">
        <v>28.585526315789476</v>
      </c>
    </row>
    <row r="465" spans="1:33">
      <c r="A465" s="1" t="s">
        <v>490</v>
      </c>
      <c r="B465" s="1" t="s">
        <v>1531</v>
      </c>
      <c r="C465" s="2">
        <v>46964</v>
      </c>
      <c r="D465" s="1" t="s">
        <v>34</v>
      </c>
      <c r="E465">
        <v>1306</v>
      </c>
      <c r="F465" s="2">
        <v>46081</v>
      </c>
      <c r="G465" s="1" t="s">
        <v>491</v>
      </c>
      <c r="H465" s="1" t="s">
        <v>36</v>
      </c>
      <c r="I465" s="1" t="s">
        <v>37</v>
      </c>
      <c r="J465" s="1" t="s">
        <v>38</v>
      </c>
      <c r="K465" s="1" t="s">
        <v>39</v>
      </c>
      <c r="L465">
        <v>120</v>
      </c>
      <c r="M465">
        <v>43.3</v>
      </c>
      <c r="N465">
        <v>28.6</v>
      </c>
      <c r="O465">
        <v>19.5</v>
      </c>
      <c r="P465">
        <v>2.4150000000000001E-2</v>
      </c>
      <c r="Q465">
        <v>6.15</v>
      </c>
      <c r="R465">
        <v>5.39</v>
      </c>
      <c r="S465">
        <v>8</v>
      </c>
      <c r="T465">
        <v>7</v>
      </c>
      <c r="U465">
        <v>56</v>
      </c>
      <c r="V465">
        <v>151.5</v>
      </c>
      <c r="W465">
        <v>369.4</v>
      </c>
      <c r="X465">
        <v>1.3524</v>
      </c>
      <c r="Y465">
        <v>10.883333333333333</v>
      </c>
      <c r="Z465">
        <v>0.26283250000000002</v>
      </c>
      <c r="AA465">
        <v>0.1943452380952381</v>
      </c>
      <c r="AB465">
        <v>7039.3399999999992</v>
      </c>
      <c r="AC465">
        <v>1</v>
      </c>
      <c r="AD465" s="1" t="s">
        <v>40</v>
      </c>
      <c r="AE465">
        <v>1</v>
      </c>
      <c r="AF465">
        <v>0</v>
      </c>
      <c r="AG465">
        <v>29.046052631578949</v>
      </c>
    </row>
    <row r="466" spans="1:33">
      <c r="A466" s="1" t="s">
        <v>492</v>
      </c>
      <c r="B466" s="1" t="s">
        <v>1532</v>
      </c>
      <c r="C466" s="2">
        <v>46955</v>
      </c>
      <c r="D466" s="1" t="s">
        <v>34</v>
      </c>
      <c r="E466">
        <v>26</v>
      </c>
      <c r="F466" s="2">
        <v>46081</v>
      </c>
      <c r="G466" s="1" t="s">
        <v>493</v>
      </c>
      <c r="H466" s="1" t="s">
        <v>43</v>
      </c>
      <c r="I466" s="1" t="s">
        <v>37</v>
      </c>
      <c r="J466" s="1" t="s">
        <v>38</v>
      </c>
      <c r="K466" s="1" t="s">
        <v>39</v>
      </c>
      <c r="L466">
        <v>240</v>
      </c>
      <c r="M466">
        <v>34.200000000000003</v>
      </c>
      <c r="N466">
        <v>41.9</v>
      </c>
      <c r="O466">
        <v>28.1</v>
      </c>
      <c r="P466">
        <v>4.027E-2</v>
      </c>
      <c r="Q466">
        <v>9.3800000000000008</v>
      </c>
      <c r="R466">
        <v>10.5</v>
      </c>
      <c r="S466">
        <v>6</v>
      </c>
      <c r="T466">
        <v>5</v>
      </c>
      <c r="U466">
        <v>30</v>
      </c>
      <c r="V466">
        <v>155.5</v>
      </c>
      <c r="W466">
        <v>306.40000000000003</v>
      </c>
      <c r="X466">
        <v>1.2081</v>
      </c>
      <c r="Y466">
        <v>0.10833333333333334</v>
      </c>
      <c r="Z466">
        <v>4.3625833333333338E-3</v>
      </c>
      <c r="AA466">
        <v>3.6111111111111114E-3</v>
      </c>
      <c r="AB466">
        <v>273</v>
      </c>
      <c r="AC466">
        <v>1</v>
      </c>
      <c r="AD466" s="1" t="s">
        <v>44</v>
      </c>
      <c r="AE466">
        <v>0</v>
      </c>
      <c r="AF466">
        <v>1</v>
      </c>
      <c r="AG466">
        <v>28.75</v>
      </c>
    </row>
    <row r="467" spans="1:33">
      <c r="A467" s="1" t="s">
        <v>492</v>
      </c>
      <c r="B467" s="1" t="s">
        <v>1533</v>
      </c>
      <c r="C467" s="2">
        <v>46385</v>
      </c>
      <c r="D467" s="1" t="s">
        <v>34</v>
      </c>
      <c r="E467">
        <v>180</v>
      </c>
      <c r="F467" s="2">
        <v>46081</v>
      </c>
      <c r="G467" s="1" t="s">
        <v>493</v>
      </c>
      <c r="H467" s="1" t="s">
        <v>43</v>
      </c>
      <c r="I467" s="1" t="s">
        <v>37</v>
      </c>
      <c r="J467" s="1" t="s">
        <v>38</v>
      </c>
      <c r="K467" s="1" t="s">
        <v>39</v>
      </c>
      <c r="L467">
        <v>240</v>
      </c>
      <c r="M467">
        <v>34.200000000000003</v>
      </c>
      <c r="N467">
        <v>41.9</v>
      </c>
      <c r="O467">
        <v>28.1</v>
      </c>
      <c r="P467">
        <v>4.027E-2</v>
      </c>
      <c r="Q467">
        <v>9.3800000000000008</v>
      </c>
      <c r="R467">
        <v>10.5</v>
      </c>
      <c r="S467">
        <v>6</v>
      </c>
      <c r="T467">
        <v>5</v>
      </c>
      <c r="U467">
        <v>30</v>
      </c>
      <c r="V467">
        <v>155.5</v>
      </c>
      <c r="W467">
        <v>306.40000000000003</v>
      </c>
      <c r="X467">
        <v>1.2081</v>
      </c>
      <c r="Y467">
        <v>0.75</v>
      </c>
      <c r="Z467">
        <v>3.02025E-2</v>
      </c>
      <c r="AA467">
        <v>2.5000000000000001E-2</v>
      </c>
      <c r="AB467">
        <v>1890</v>
      </c>
      <c r="AC467">
        <v>1</v>
      </c>
      <c r="AD467" s="1" t="s">
        <v>44</v>
      </c>
      <c r="AE467">
        <v>0</v>
      </c>
      <c r="AF467">
        <v>1</v>
      </c>
      <c r="AG467">
        <v>10</v>
      </c>
    </row>
    <row r="468" spans="1:33">
      <c r="A468" s="1" t="s">
        <v>492</v>
      </c>
      <c r="B468" s="1" t="s">
        <v>1534</v>
      </c>
      <c r="C468" s="2">
        <v>46606</v>
      </c>
      <c r="D468" s="1" t="s">
        <v>34</v>
      </c>
      <c r="E468">
        <v>654</v>
      </c>
      <c r="F468" s="2">
        <v>46081</v>
      </c>
      <c r="G468" s="1" t="s">
        <v>493</v>
      </c>
      <c r="H468" s="1" t="s">
        <v>43</v>
      </c>
      <c r="I468" s="1" t="s">
        <v>37</v>
      </c>
      <c r="J468" s="1" t="s">
        <v>38</v>
      </c>
      <c r="K468" s="1" t="s">
        <v>39</v>
      </c>
      <c r="L468">
        <v>240</v>
      </c>
      <c r="M468">
        <v>34.200000000000003</v>
      </c>
      <c r="N468">
        <v>41.9</v>
      </c>
      <c r="O468">
        <v>28.1</v>
      </c>
      <c r="P468">
        <v>4.027E-2</v>
      </c>
      <c r="Q468">
        <v>9.3800000000000008</v>
      </c>
      <c r="R468">
        <v>10.5</v>
      </c>
      <c r="S468">
        <v>6</v>
      </c>
      <c r="T468">
        <v>5</v>
      </c>
      <c r="U468">
        <v>30</v>
      </c>
      <c r="V468">
        <v>155.5</v>
      </c>
      <c r="W468">
        <v>306.40000000000003</v>
      </c>
      <c r="X468">
        <v>1.2081</v>
      </c>
      <c r="Y468">
        <v>2.7250000000000001</v>
      </c>
      <c r="Z468">
        <v>0.10973575000000001</v>
      </c>
      <c r="AA468">
        <v>9.0833333333333335E-2</v>
      </c>
      <c r="AB468">
        <v>6867</v>
      </c>
      <c r="AC468">
        <v>1</v>
      </c>
      <c r="AD468" s="1" t="s">
        <v>44</v>
      </c>
      <c r="AE468">
        <v>0</v>
      </c>
      <c r="AF468">
        <v>1</v>
      </c>
      <c r="AG468">
        <v>17.269736842105264</v>
      </c>
    </row>
    <row r="469" spans="1:33">
      <c r="A469" s="1" t="s">
        <v>492</v>
      </c>
      <c r="B469" s="1" t="s">
        <v>1535</v>
      </c>
      <c r="C469" s="2">
        <v>46967</v>
      </c>
      <c r="D469" s="1" t="s">
        <v>34</v>
      </c>
      <c r="E469">
        <v>482</v>
      </c>
      <c r="F469" s="2">
        <v>46081</v>
      </c>
      <c r="G469" s="1" t="s">
        <v>493</v>
      </c>
      <c r="H469" s="1" t="s">
        <v>43</v>
      </c>
      <c r="I469" s="1" t="s">
        <v>37</v>
      </c>
      <c r="J469" s="1" t="s">
        <v>38</v>
      </c>
      <c r="K469" s="1" t="s">
        <v>39</v>
      </c>
      <c r="L469">
        <v>240</v>
      </c>
      <c r="M469">
        <v>34.200000000000003</v>
      </c>
      <c r="N469">
        <v>41.9</v>
      </c>
      <c r="O469">
        <v>28.1</v>
      </c>
      <c r="P469">
        <v>4.027E-2</v>
      </c>
      <c r="Q469">
        <v>9.3800000000000008</v>
      </c>
      <c r="R469">
        <v>10.5</v>
      </c>
      <c r="S469">
        <v>6</v>
      </c>
      <c r="T469">
        <v>5</v>
      </c>
      <c r="U469">
        <v>30</v>
      </c>
      <c r="V469">
        <v>155.5</v>
      </c>
      <c r="W469">
        <v>306.40000000000003</v>
      </c>
      <c r="X469">
        <v>1.2081</v>
      </c>
      <c r="Y469">
        <v>2.0083333333333333</v>
      </c>
      <c r="Z469">
        <v>8.0875583333333334E-2</v>
      </c>
      <c r="AA469">
        <v>6.6944444444444445E-2</v>
      </c>
      <c r="AB469">
        <v>5061</v>
      </c>
      <c r="AC469">
        <v>1</v>
      </c>
      <c r="AD469" s="1" t="s">
        <v>44</v>
      </c>
      <c r="AE469">
        <v>0</v>
      </c>
      <c r="AF469">
        <v>1</v>
      </c>
      <c r="AG469">
        <v>29.144736842105264</v>
      </c>
    </row>
    <row r="470" spans="1:33">
      <c r="A470" s="1" t="s">
        <v>494</v>
      </c>
      <c r="B470" s="1" t="s">
        <v>1536</v>
      </c>
      <c r="C470" s="2">
        <v>46678</v>
      </c>
      <c r="D470" s="1" t="s">
        <v>34</v>
      </c>
      <c r="E470">
        <v>14178</v>
      </c>
      <c r="F470" s="2">
        <v>46081</v>
      </c>
      <c r="G470" s="1" t="s">
        <v>495</v>
      </c>
      <c r="H470" s="1" t="s">
        <v>43</v>
      </c>
      <c r="I470" s="1" t="s">
        <v>37</v>
      </c>
      <c r="J470" s="1" t="s">
        <v>38</v>
      </c>
      <c r="K470" s="1" t="s">
        <v>39</v>
      </c>
      <c r="L470">
        <v>240</v>
      </c>
      <c r="M470">
        <v>36.700000000000003</v>
      </c>
      <c r="N470">
        <v>31.8</v>
      </c>
      <c r="O470">
        <v>28.9</v>
      </c>
      <c r="P470">
        <v>3.3730000000000003E-2</v>
      </c>
      <c r="Q470">
        <v>9.98</v>
      </c>
      <c r="R470">
        <v>18.760000000000002</v>
      </c>
      <c r="S470">
        <v>9</v>
      </c>
      <c r="T470">
        <v>3</v>
      </c>
      <c r="U470">
        <v>27</v>
      </c>
      <c r="V470">
        <v>101.7</v>
      </c>
      <c r="W470">
        <v>294.46000000000004</v>
      </c>
      <c r="X470">
        <v>0.91071000000000002</v>
      </c>
      <c r="Y470">
        <v>59.075000000000003</v>
      </c>
      <c r="Z470">
        <v>1.9925997500000003</v>
      </c>
      <c r="AA470">
        <v>2.1879629629629629</v>
      </c>
      <c r="AB470">
        <v>265979.28000000003</v>
      </c>
      <c r="AC470">
        <v>3</v>
      </c>
      <c r="AD470" s="1" t="s">
        <v>40</v>
      </c>
      <c r="AE470">
        <v>3</v>
      </c>
      <c r="AF470">
        <v>0</v>
      </c>
      <c r="AG470">
        <v>19.638157894736842</v>
      </c>
    </row>
    <row r="471" spans="1:33">
      <c r="A471" s="1" t="s">
        <v>494</v>
      </c>
      <c r="B471" s="1" t="s">
        <v>1537</v>
      </c>
      <c r="C471" s="2">
        <v>46525</v>
      </c>
      <c r="D471" s="1" t="s">
        <v>34</v>
      </c>
      <c r="E471">
        <v>7945</v>
      </c>
      <c r="F471" s="2">
        <v>46081</v>
      </c>
      <c r="G471" s="1" t="s">
        <v>495</v>
      </c>
      <c r="H471" s="1" t="s">
        <v>43</v>
      </c>
      <c r="I471" s="1" t="s">
        <v>37</v>
      </c>
      <c r="J471" s="1" t="s">
        <v>38</v>
      </c>
      <c r="K471" s="1" t="s">
        <v>39</v>
      </c>
      <c r="L471">
        <v>240</v>
      </c>
      <c r="M471">
        <v>36.700000000000003</v>
      </c>
      <c r="N471">
        <v>31.8</v>
      </c>
      <c r="O471">
        <v>28.9</v>
      </c>
      <c r="P471">
        <v>3.3730000000000003E-2</v>
      </c>
      <c r="Q471">
        <v>9.98</v>
      </c>
      <c r="R471">
        <v>18.760000000000002</v>
      </c>
      <c r="S471">
        <v>9</v>
      </c>
      <c r="T471">
        <v>3</v>
      </c>
      <c r="U471">
        <v>27</v>
      </c>
      <c r="V471">
        <v>101.7</v>
      </c>
      <c r="W471">
        <v>294.46000000000004</v>
      </c>
      <c r="X471">
        <v>0.91071000000000002</v>
      </c>
      <c r="Y471">
        <v>33.104166666666664</v>
      </c>
      <c r="Z471">
        <v>1.1166035416666666</v>
      </c>
      <c r="AA471">
        <v>1.2260802469135801</v>
      </c>
      <c r="AB471">
        <v>149048.20000000001</v>
      </c>
      <c r="AC471">
        <v>2</v>
      </c>
      <c r="AD471" s="1" t="s">
        <v>40</v>
      </c>
      <c r="AE471">
        <v>2</v>
      </c>
      <c r="AF471">
        <v>0</v>
      </c>
      <c r="AG471">
        <v>14.605263157894738</v>
      </c>
    </row>
    <row r="472" spans="1:33">
      <c r="A472" s="1" t="s">
        <v>496</v>
      </c>
      <c r="B472" s="1" t="s">
        <v>1538</v>
      </c>
      <c r="C472" s="2">
        <v>46527</v>
      </c>
      <c r="D472" s="1" t="s">
        <v>34</v>
      </c>
      <c r="E472">
        <v>31</v>
      </c>
      <c r="F472" s="2">
        <v>46081</v>
      </c>
      <c r="G472" s="1" t="s">
        <v>497</v>
      </c>
      <c r="H472" s="1" t="s">
        <v>70</v>
      </c>
      <c r="I472" s="1" t="s">
        <v>37</v>
      </c>
      <c r="J472" s="1" t="s">
        <v>38</v>
      </c>
      <c r="K472" s="1" t="s">
        <v>39</v>
      </c>
      <c r="L472">
        <v>240</v>
      </c>
      <c r="M472">
        <v>32.299999999999997</v>
      </c>
      <c r="N472">
        <v>30.1</v>
      </c>
      <c r="O472">
        <v>17.399999999999999</v>
      </c>
      <c r="P472">
        <v>1.6920000000000001E-2</v>
      </c>
      <c r="Q472">
        <v>2.61</v>
      </c>
      <c r="R472">
        <v>16.73</v>
      </c>
      <c r="S472">
        <v>9</v>
      </c>
      <c r="T472">
        <v>5</v>
      </c>
      <c r="U472">
        <v>45</v>
      </c>
      <c r="V472">
        <v>102</v>
      </c>
      <c r="W472">
        <v>142.44999999999999</v>
      </c>
      <c r="X472">
        <v>0.76140000000000008</v>
      </c>
      <c r="Y472">
        <v>0.12916666666666668</v>
      </c>
      <c r="Z472">
        <v>2.1855000000000004E-3</v>
      </c>
      <c r="AA472">
        <v>2.8703703703703708E-3</v>
      </c>
      <c r="AB472">
        <v>518.63</v>
      </c>
      <c r="AC472">
        <v>1</v>
      </c>
      <c r="AD472" s="1" t="s">
        <v>44</v>
      </c>
      <c r="AE472">
        <v>0</v>
      </c>
      <c r="AF472">
        <v>1</v>
      </c>
      <c r="AG472">
        <v>14.671052631578949</v>
      </c>
    </row>
    <row r="473" spans="1:33">
      <c r="A473" s="1" t="s">
        <v>496</v>
      </c>
      <c r="B473" s="1" t="s">
        <v>1539</v>
      </c>
      <c r="C473" s="2">
        <v>46738</v>
      </c>
      <c r="D473" s="1" t="s">
        <v>34</v>
      </c>
      <c r="E473">
        <v>211</v>
      </c>
      <c r="F473" s="2">
        <v>46081</v>
      </c>
      <c r="G473" s="1" t="s">
        <v>497</v>
      </c>
      <c r="H473" s="1" t="s">
        <v>70</v>
      </c>
      <c r="I473" s="1" t="s">
        <v>37</v>
      </c>
      <c r="J473" s="1" t="s">
        <v>38</v>
      </c>
      <c r="K473" s="1" t="s">
        <v>39</v>
      </c>
      <c r="L473">
        <v>240</v>
      </c>
      <c r="M473">
        <v>32.299999999999997</v>
      </c>
      <c r="N473">
        <v>30.1</v>
      </c>
      <c r="O473">
        <v>17.399999999999999</v>
      </c>
      <c r="P473">
        <v>1.6920000000000001E-2</v>
      </c>
      <c r="Q473">
        <v>2.61</v>
      </c>
      <c r="R473">
        <v>16.73</v>
      </c>
      <c r="S473">
        <v>9</v>
      </c>
      <c r="T473">
        <v>5</v>
      </c>
      <c r="U473">
        <v>45</v>
      </c>
      <c r="V473">
        <v>102</v>
      </c>
      <c r="W473">
        <v>142.44999999999999</v>
      </c>
      <c r="X473">
        <v>0.76140000000000008</v>
      </c>
      <c r="Y473">
        <v>0.87916666666666665</v>
      </c>
      <c r="Z473">
        <v>1.48755E-2</v>
      </c>
      <c r="AA473">
        <v>1.9537037037037037E-2</v>
      </c>
      <c r="AB473">
        <v>3530.03</v>
      </c>
      <c r="AC473">
        <v>1</v>
      </c>
      <c r="AD473" s="1" t="s">
        <v>44</v>
      </c>
      <c r="AE473">
        <v>0</v>
      </c>
      <c r="AF473">
        <v>1</v>
      </c>
      <c r="AG473">
        <v>21.611842105263158</v>
      </c>
    </row>
    <row r="474" spans="1:33">
      <c r="A474" s="1" t="s">
        <v>498</v>
      </c>
      <c r="B474" s="1" t="s">
        <v>1540</v>
      </c>
      <c r="C474" s="2">
        <v>46754</v>
      </c>
      <c r="D474" s="1" t="s">
        <v>34</v>
      </c>
      <c r="E474">
        <v>100</v>
      </c>
      <c r="F474" s="2">
        <v>46081</v>
      </c>
      <c r="G474" s="1" t="s">
        <v>499</v>
      </c>
      <c r="H474" s="1" t="s">
        <v>36</v>
      </c>
      <c r="I474" s="1" t="s">
        <v>37</v>
      </c>
      <c r="J474" s="1" t="s">
        <v>38</v>
      </c>
      <c r="K474" s="1" t="s">
        <v>39</v>
      </c>
      <c r="L474">
        <v>100</v>
      </c>
      <c r="M474">
        <v>50.6</v>
      </c>
      <c r="N474">
        <v>36.200000000000003</v>
      </c>
      <c r="O474">
        <v>17.100000000000001</v>
      </c>
      <c r="P474">
        <v>3.1320000000000001E-2</v>
      </c>
      <c r="Q474">
        <v>8.9499999999999993</v>
      </c>
      <c r="R474">
        <v>24.25</v>
      </c>
      <c r="S474">
        <v>4</v>
      </c>
      <c r="T474">
        <v>4</v>
      </c>
      <c r="U474">
        <v>16</v>
      </c>
      <c r="V474">
        <v>83.4</v>
      </c>
      <c r="W474">
        <v>168.2</v>
      </c>
      <c r="X474">
        <v>0.50112000000000001</v>
      </c>
      <c r="Y474">
        <v>1</v>
      </c>
      <c r="Z474">
        <v>3.1320000000000001E-2</v>
      </c>
      <c r="AA474">
        <v>6.25E-2</v>
      </c>
      <c r="AB474">
        <v>2425</v>
      </c>
      <c r="AC474">
        <v>1</v>
      </c>
      <c r="AD474" s="1" t="s">
        <v>44</v>
      </c>
      <c r="AE474">
        <v>0</v>
      </c>
      <c r="AF474">
        <v>1</v>
      </c>
      <c r="AG474">
        <v>22.138157894736842</v>
      </c>
    </row>
    <row r="475" spans="1:33">
      <c r="A475" s="1" t="s">
        <v>500</v>
      </c>
      <c r="B475" s="1" t="s">
        <v>1541</v>
      </c>
      <c r="C475" s="2">
        <v>46807</v>
      </c>
      <c r="D475" s="1" t="s">
        <v>34</v>
      </c>
      <c r="E475">
        <v>26168</v>
      </c>
      <c r="F475" s="2">
        <v>46081</v>
      </c>
      <c r="G475" s="1" t="s">
        <v>501</v>
      </c>
      <c r="H475" s="1" t="s">
        <v>67</v>
      </c>
      <c r="I475" s="1" t="s">
        <v>37</v>
      </c>
      <c r="J475" s="1" t="s">
        <v>38</v>
      </c>
      <c r="K475" s="1" t="s">
        <v>39</v>
      </c>
      <c r="L475">
        <v>60</v>
      </c>
      <c r="M475">
        <v>56.2</v>
      </c>
      <c r="N475">
        <v>39.200000000000003</v>
      </c>
      <c r="O475">
        <v>18.5</v>
      </c>
      <c r="P475">
        <v>4.0759999999999998E-2</v>
      </c>
      <c r="Q475">
        <v>11.86</v>
      </c>
      <c r="R475">
        <v>24.87</v>
      </c>
      <c r="S475">
        <v>4</v>
      </c>
      <c r="T475">
        <v>7</v>
      </c>
      <c r="U475">
        <v>28</v>
      </c>
      <c r="V475">
        <v>144.5</v>
      </c>
      <c r="W475">
        <v>357.08</v>
      </c>
      <c r="X475">
        <v>1.1412800000000001</v>
      </c>
      <c r="Y475">
        <v>436.13333333333333</v>
      </c>
      <c r="Z475">
        <v>17.776794666666664</v>
      </c>
      <c r="AA475">
        <v>15.576190476190476</v>
      </c>
      <c r="AB475">
        <v>650798.16</v>
      </c>
      <c r="AC475">
        <v>16</v>
      </c>
      <c r="AD475" s="1" t="s">
        <v>40</v>
      </c>
      <c r="AE475">
        <v>16</v>
      </c>
      <c r="AF475">
        <v>0</v>
      </c>
      <c r="AG475">
        <v>23.881578947368421</v>
      </c>
    </row>
    <row r="476" spans="1:33">
      <c r="A476" s="1" t="s">
        <v>500</v>
      </c>
      <c r="B476" s="1" t="s">
        <v>1542</v>
      </c>
      <c r="C476" s="2">
        <v>46983</v>
      </c>
      <c r="D476" s="1" t="s">
        <v>34</v>
      </c>
      <c r="E476">
        <v>35942</v>
      </c>
      <c r="F476" s="2">
        <v>46081</v>
      </c>
      <c r="G476" s="1" t="s">
        <v>501</v>
      </c>
      <c r="H476" s="1" t="s">
        <v>67</v>
      </c>
      <c r="I476" s="1" t="s">
        <v>37</v>
      </c>
      <c r="J476" s="1" t="s">
        <v>38</v>
      </c>
      <c r="K476" s="1" t="s">
        <v>39</v>
      </c>
      <c r="L476">
        <v>60</v>
      </c>
      <c r="M476">
        <v>56.2</v>
      </c>
      <c r="N476">
        <v>39.200000000000003</v>
      </c>
      <c r="O476">
        <v>18.5</v>
      </c>
      <c r="P476">
        <v>4.0759999999999998E-2</v>
      </c>
      <c r="Q476">
        <v>11.86</v>
      </c>
      <c r="R476">
        <v>24.87</v>
      </c>
      <c r="S476">
        <v>4</v>
      </c>
      <c r="T476">
        <v>7</v>
      </c>
      <c r="U476">
        <v>28</v>
      </c>
      <c r="V476">
        <v>144.5</v>
      </c>
      <c r="W476">
        <v>357.08</v>
      </c>
      <c r="X476">
        <v>1.1412800000000001</v>
      </c>
      <c r="Y476">
        <v>599.0333333333333</v>
      </c>
      <c r="Z476">
        <v>24.416598666666665</v>
      </c>
      <c r="AA476">
        <v>21.394047619047619</v>
      </c>
      <c r="AB476">
        <v>893877.54</v>
      </c>
      <c r="AC476">
        <v>22</v>
      </c>
      <c r="AD476" s="1" t="s">
        <v>40</v>
      </c>
      <c r="AE476">
        <v>22</v>
      </c>
      <c r="AF476">
        <v>0</v>
      </c>
      <c r="AG476">
        <v>29.671052631578949</v>
      </c>
    </row>
    <row r="477" spans="1:33">
      <c r="A477" s="1" t="s">
        <v>500</v>
      </c>
      <c r="B477" s="1" t="s">
        <v>1543</v>
      </c>
      <c r="C477" s="2">
        <v>46213</v>
      </c>
      <c r="D477" s="1" t="s">
        <v>34</v>
      </c>
      <c r="E477">
        <v>5147</v>
      </c>
      <c r="F477" s="2">
        <v>46081</v>
      </c>
      <c r="G477" s="1" t="s">
        <v>501</v>
      </c>
      <c r="H477" s="1" t="s">
        <v>67</v>
      </c>
      <c r="I477" s="1" t="s">
        <v>37</v>
      </c>
      <c r="J477" s="1" t="s">
        <v>38</v>
      </c>
      <c r="K477" s="1" t="s">
        <v>39</v>
      </c>
      <c r="L477">
        <v>60</v>
      </c>
      <c r="M477">
        <v>56.2</v>
      </c>
      <c r="N477">
        <v>39.200000000000003</v>
      </c>
      <c r="O477">
        <v>18.5</v>
      </c>
      <c r="P477">
        <v>4.0759999999999998E-2</v>
      </c>
      <c r="Q477">
        <v>11.86</v>
      </c>
      <c r="R477">
        <v>24.87</v>
      </c>
      <c r="S477">
        <v>4</v>
      </c>
      <c r="T477">
        <v>7</v>
      </c>
      <c r="U477">
        <v>28</v>
      </c>
      <c r="V477">
        <v>144.5</v>
      </c>
      <c r="W477">
        <v>357.08</v>
      </c>
      <c r="X477">
        <v>1.1412800000000001</v>
      </c>
      <c r="Y477">
        <v>85.783333333333331</v>
      </c>
      <c r="Z477">
        <v>3.4965286666666664</v>
      </c>
      <c r="AA477">
        <v>3.0636904761904762</v>
      </c>
      <c r="AB477">
        <v>128005.89</v>
      </c>
      <c r="AC477">
        <v>4</v>
      </c>
      <c r="AD477" s="1" t="s">
        <v>40</v>
      </c>
      <c r="AE477">
        <v>4</v>
      </c>
      <c r="AF477">
        <v>0</v>
      </c>
      <c r="AG477">
        <v>4.3421052631578947</v>
      </c>
    </row>
    <row r="478" spans="1:33">
      <c r="A478" s="1" t="s">
        <v>502</v>
      </c>
      <c r="B478" s="1" t="s">
        <v>1544</v>
      </c>
      <c r="C478" s="2">
        <v>46881</v>
      </c>
      <c r="D478" s="1" t="s">
        <v>34</v>
      </c>
      <c r="E478">
        <v>2193</v>
      </c>
      <c r="F478" s="2">
        <v>46081</v>
      </c>
      <c r="G478" s="1" t="s">
        <v>503</v>
      </c>
      <c r="H478" s="1" t="s">
        <v>43</v>
      </c>
      <c r="I478" s="1" t="s">
        <v>37</v>
      </c>
      <c r="J478" s="1" t="s">
        <v>38</v>
      </c>
      <c r="K478" s="1" t="s">
        <v>39</v>
      </c>
      <c r="L478">
        <v>100</v>
      </c>
      <c r="M478">
        <v>39.299999999999997</v>
      </c>
      <c r="N478">
        <v>43.8</v>
      </c>
      <c r="O478">
        <v>18.2</v>
      </c>
      <c r="P478">
        <v>3.1329999999999997E-2</v>
      </c>
      <c r="Q478">
        <v>7.94</v>
      </c>
      <c r="R478">
        <v>3.68</v>
      </c>
      <c r="S478">
        <v>6</v>
      </c>
      <c r="T478">
        <v>6</v>
      </c>
      <c r="U478">
        <v>36</v>
      </c>
      <c r="V478">
        <v>124.2</v>
      </c>
      <c r="W478">
        <v>310.84000000000003</v>
      </c>
      <c r="X478">
        <v>1.1278799999999998</v>
      </c>
      <c r="Y478">
        <v>21.93</v>
      </c>
      <c r="Z478">
        <v>0.68706689999999992</v>
      </c>
      <c r="AA478">
        <v>0.60916666666666663</v>
      </c>
      <c r="AB478">
        <v>8070.2400000000007</v>
      </c>
      <c r="AC478">
        <v>1</v>
      </c>
      <c r="AD478" s="1" t="s">
        <v>40</v>
      </c>
      <c r="AE478">
        <v>1</v>
      </c>
      <c r="AF478">
        <v>0</v>
      </c>
      <c r="AG478">
        <v>26.315789473684212</v>
      </c>
    </row>
    <row r="479" spans="1:33">
      <c r="A479" s="1" t="s">
        <v>504</v>
      </c>
      <c r="B479" s="1" t="s">
        <v>1545</v>
      </c>
      <c r="C479" s="2">
        <v>46681</v>
      </c>
      <c r="D479" s="1" t="s">
        <v>34</v>
      </c>
      <c r="E479">
        <v>2401</v>
      </c>
      <c r="F479" s="2">
        <v>46081</v>
      </c>
      <c r="G479" s="1" t="s">
        <v>505</v>
      </c>
      <c r="H479" s="1" t="s">
        <v>36</v>
      </c>
      <c r="I479" s="1" t="s">
        <v>37</v>
      </c>
      <c r="J479" s="1" t="s">
        <v>38</v>
      </c>
      <c r="K479" s="1" t="s">
        <v>39</v>
      </c>
      <c r="L479">
        <v>240</v>
      </c>
      <c r="M479">
        <v>46.6</v>
      </c>
      <c r="N479">
        <v>33.799999999999997</v>
      </c>
      <c r="O479">
        <v>21.2</v>
      </c>
      <c r="P479">
        <v>3.3390000000000003E-2</v>
      </c>
      <c r="Q479">
        <v>6.08</v>
      </c>
      <c r="R479">
        <v>21.18</v>
      </c>
      <c r="S479">
        <v>4</v>
      </c>
      <c r="T479">
        <v>7</v>
      </c>
      <c r="U479">
        <v>28</v>
      </c>
      <c r="V479">
        <v>163.4</v>
      </c>
      <c r="W479">
        <v>195.24</v>
      </c>
      <c r="X479">
        <v>0.93491999999999997</v>
      </c>
      <c r="Y479">
        <v>10.004166666666666</v>
      </c>
      <c r="Z479">
        <v>0.33403912500000005</v>
      </c>
      <c r="AA479">
        <v>0.35729166666666667</v>
      </c>
      <c r="AB479">
        <v>50853.18</v>
      </c>
      <c r="AC479">
        <v>1</v>
      </c>
      <c r="AD479" s="1" t="s">
        <v>40</v>
      </c>
      <c r="AE479">
        <v>1</v>
      </c>
      <c r="AF479">
        <v>0</v>
      </c>
      <c r="AG479">
        <v>19.736842105263158</v>
      </c>
    </row>
    <row r="480" spans="1:33">
      <c r="A480" s="1" t="s">
        <v>504</v>
      </c>
      <c r="B480" s="1" t="s">
        <v>1546</v>
      </c>
      <c r="C480" s="2">
        <v>46667</v>
      </c>
      <c r="D480" s="1" t="s">
        <v>34</v>
      </c>
      <c r="E480">
        <v>775</v>
      </c>
      <c r="F480" s="2">
        <v>46081</v>
      </c>
      <c r="G480" s="1" t="s">
        <v>505</v>
      </c>
      <c r="H480" s="1" t="s">
        <v>36</v>
      </c>
      <c r="I480" s="1" t="s">
        <v>37</v>
      </c>
      <c r="J480" s="1" t="s">
        <v>38</v>
      </c>
      <c r="K480" s="1" t="s">
        <v>39</v>
      </c>
      <c r="L480">
        <v>240</v>
      </c>
      <c r="M480">
        <v>46.6</v>
      </c>
      <c r="N480">
        <v>33.799999999999997</v>
      </c>
      <c r="O480">
        <v>21.2</v>
      </c>
      <c r="P480">
        <v>3.3390000000000003E-2</v>
      </c>
      <c r="Q480">
        <v>6.08</v>
      </c>
      <c r="R480">
        <v>21.18</v>
      </c>
      <c r="S480">
        <v>4</v>
      </c>
      <c r="T480">
        <v>7</v>
      </c>
      <c r="U480">
        <v>28</v>
      </c>
      <c r="V480">
        <v>163.4</v>
      </c>
      <c r="W480">
        <v>195.24</v>
      </c>
      <c r="X480">
        <v>0.93491999999999997</v>
      </c>
      <c r="Y480">
        <v>3.2291666666666665</v>
      </c>
      <c r="Z480">
        <v>0.10782187500000001</v>
      </c>
      <c r="AA480">
        <v>0.11532738095238095</v>
      </c>
      <c r="AB480">
        <v>16414.5</v>
      </c>
      <c r="AC480">
        <v>1</v>
      </c>
      <c r="AD480" s="1" t="s">
        <v>44</v>
      </c>
      <c r="AE480">
        <v>0</v>
      </c>
      <c r="AF480">
        <v>1</v>
      </c>
      <c r="AG480">
        <v>19.276315789473685</v>
      </c>
    </row>
    <row r="481" spans="1:33">
      <c r="A481" s="1" t="s">
        <v>504</v>
      </c>
      <c r="B481" s="1" t="s">
        <v>1547</v>
      </c>
      <c r="C481" s="2">
        <v>46268</v>
      </c>
      <c r="D481" s="1" t="s">
        <v>34</v>
      </c>
      <c r="E481">
        <v>10996</v>
      </c>
      <c r="F481" s="2">
        <v>46081</v>
      </c>
      <c r="G481" s="1" t="s">
        <v>505</v>
      </c>
      <c r="H481" s="1" t="s">
        <v>36</v>
      </c>
      <c r="I481" s="1" t="s">
        <v>37</v>
      </c>
      <c r="J481" s="1" t="s">
        <v>38</v>
      </c>
      <c r="K481" s="1" t="s">
        <v>39</v>
      </c>
      <c r="L481">
        <v>240</v>
      </c>
      <c r="M481">
        <v>46.6</v>
      </c>
      <c r="N481">
        <v>33.799999999999997</v>
      </c>
      <c r="O481">
        <v>21.2</v>
      </c>
      <c r="P481">
        <v>3.3390000000000003E-2</v>
      </c>
      <c r="Q481">
        <v>6.08</v>
      </c>
      <c r="R481">
        <v>21.18</v>
      </c>
      <c r="S481">
        <v>4</v>
      </c>
      <c r="T481">
        <v>7</v>
      </c>
      <c r="U481">
        <v>28</v>
      </c>
      <c r="V481">
        <v>163.4</v>
      </c>
      <c r="W481">
        <v>195.24</v>
      </c>
      <c r="X481">
        <v>0.93491999999999997</v>
      </c>
      <c r="Y481">
        <v>45.81666666666667</v>
      </c>
      <c r="Z481">
        <v>1.5298185000000002</v>
      </c>
      <c r="AA481">
        <v>1.636309523809524</v>
      </c>
      <c r="AB481">
        <v>232895.28</v>
      </c>
      <c r="AC481">
        <v>2</v>
      </c>
      <c r="AD481" s="1" t="s">
        <v>40</v>
      </c>
      <c r="AE481">
        <v>2</v>
      </c>
      <c r="AF481">
        <v>0</v>
      </c>
      <c r="AG481">
        <v>6.1513157894736841</v>
      </c>
    </row>
    <row r="482" spans="1:33">
      <c r="A482" s="1" t="s">
        <v>506</v>
      </c>
      <c r="B482" s="1" t="s">
        <v>1548</v>
      </c>
      <c r="C482" s="2">
        <v>46393</v>
      </c>
      <c r="D482" s="1" t="s">
        <v>34</v>
      </c>
      <c r="E482">
        <v>178</v>
      </c>
      <c r="F482" s="2">
        <v>46081</v>
      </c>
      <c r="G482" s="1" t="s">
        <v>507</v>
      </c>
      <c r="H482" s="1" t="s">
        <v>67</v>
      </c>
      <c r="I482" s="1" t="s">
        <v>37</v>
      </c>
      <c r="J482" s="1" t="s">
        <v>38</v>
      </c>
      <c r="K482" s="1" t="s">
        <v>39</v>
      </c>
      <c r="L482">
        <v>100</v>
      </c>
      <c r="M482">
        <v>49.5</v>
      </c>
      <c r="N482">
        <v>44.6</v>
      </c>
      <c r="O482">
        <v>18.899999999999999</v>
      </c>
      <c r="P482">
        <v>4.1730000000000003E-2</v>
      </c>
      <c r="Q482">
        <v>12.01</v>
      </c>
      <c r="R482">
        <v>11.74</v>
      </c>
      <c r="S482">
        <v>4</v>
      </c>
      <c r="T482">
        <v>5</v>
      </c>
      <c r="U482">
        <v>20</v>
      </c>
      <c r="V482">
        <v>109.5</v>
      </c>
      <c r="W482">
        <v>265.2</v>
      </c>
      <c r="X482">
        <v>0.83460000000000001</v>
      </c>
      <c r="Y482">
        <v>1.78</v>
      </c>
      <c r="Z482">
        <v>7.4279400000000009E-2</v>
      </c>
      <c r="AA482">
        <v>8.8999999999999996E-2</v>
      </c>
      <c r="AB482">
        <v>2089.7200000000003</v>
      </c>
      <c r="AC482">
        <v>1</v>
      </c>
      <c r="AD482" s="1" t="s">
        <v>44</v>
      </c>
      <c r="AE482">
        <v>0</v>
      </c>
      <c r="AF482">
        <v>1</v>
      </c>
      <c r="AG482">
        <v>10.263157894736842</v>
      </c>
    </row>
    <row r="483" spans="1:33">
      <c r="A483" s="1" t="s">
        <v>506</v>
      </c>
      <c r="B483" s="1" t="s">
        <v>1549</v>
      </c>
      <c r="C483" s="2">
        <v>46839</v>
      </c>
      <c r="D483" s="1" t="s">
        <v>34</v>
      </c>
      <c r="E483">
        <v>121</v>
      </c>
      <c r="F483" s="2">
        <v>46081</v>
      </c>
      <c r="G483" s="1" t="s">
        <v>507</v>
      </c>
      <c r="H483" s="1" t="s">
        <v>67</v>
      </c>
      <c r="I483" s="1" t="s">
        <v>37</v>
      </c>
      <c r="J483" s="1" t="s">
        <v>38</v>
      </c>
      <c r="K483" s="1" t="s">
        <v>39</v>
      </c>
      <c r="L483">
        <v>100</v>
      </c>
      <c r="M483">
        <v>49.5</v>
      </c>
      <c r="N483">
        <v>44.6</v>
      </c>
      <c r="O483">
        <v>18.899999999999999</v>
      </c>
      <c r="P483">
        <v>4.1730000000000003E-2</v>
      </c>
      <c r="Q483">
        <v>12.01</v>
      </c>
      <c r="R483">
        <v>11.74</v>
      </c>
      <c r="S483">
        <v>4</v>
      </c>
      <c r="T483">
        <v>5</v>
      </c>
      <c r="U483">
        <v>20</v>
      </c>
      <c r="V483">
        <v>109.5</v>
      </c>
      <c r="W483">
        <v>265.2</v>
      </c>
      <c r="X483">
        <v>0.83460000000000001</v>
      </c>
      <c r="Y483">
        <v>1.21</v>
      </c>
      <c r="Z483">
        <v>5.0493300000000005E-2</v>
      </c>
      <c r="AA483">
        <v>6.0499999999999998E-2</v>
      </c>
      <c r="AB483">
        <v>1420.54</v>
      </c>
      <c r="AC483">
        <v>1</v>
      </c>
      <c r="AD483" s="1" t="s">
        <v>44</v>
      </c>
      <c r="AE483">
        <v>0</v>
      </c>
      <c r="AF483">
        <v>1</v>
      </c>
      <c r="AG483">
        <v>24.934210526315791</v>
      </c>
    </row>
    <row r="484" spans="1:33">
      <c r="A484" s="1" t="s">
        <v>508</v>
      </c>
      <c r="B484" s="1" t="s">
        <v>1550</v>
      </c>
      <c r="C484" s="2">
        <v>46987</v>
      </c>
      <c r="D484" s="1" t="s">
        <v>34</v>
      </c>
      <c r="E484">
        <v>260</v>
      </c>
      <c r="F484" s="2">
        <v>46081</v>
      </c>
      <c r="G484" s="1" t="s">
        <v>509</v>
      </c>
      <c r="H484" s="1" t="s">
        <v>43</v>
      </c>
      <c r="I484" s="1" t="s">
        <v>37</v>
      </c>
      <c r="J484" s="1" t="s">
        <v>38</v>
      </c>
      <c r="K484" s="1" t="s">
        <v>39</v>
      </c>
      <c r="L484">
        <v>180</v>
      </c>
      <c r="M484">
        <v>53.5</v>
      </c>
      <c r="N484">
        <v>34.700000000000003</v>
      </c>
      <c r="O484">
        <v>31.4</v>
      </c>
      <c r="P484">
        <v>5.8290000000000002E-2</v>
      </c>
      <c r="Q484">
        <v>11.31</v>
      </c>
      <c r="R484">
        <v>11.82</v>
      </c>
      <c r="S484">
        <v>4</v>
      </c>
      <c r="T484">
        <v>3</v>
      </c>
      <c r="U484">
        <v>12</v>
      </c>
      <c r="V484">
        <v>109.2</v>
      </c>
      <c r="W484">
        <v>160.72</v>
      </c>
      <c r="X484">
        <v>0.69947999999999999</v>
      </c>
      <c r="Y484">
        <v>1.4444444444444444</v>
      </c>
      <c r="Z484">
        <v>8.419666666666667E-2</v>
      </c>
      <c r="AA484">
        <v>0.12037037037037036</v>
      </c>
      <c r="AB484">
        <v>3073.2000000000003</v>
      </c>
      <c r="AC484">
        <v>1</v>
      </c>
      <c r="AD484" s="1" t="s">
        <v>44</v>
      </c>
      <c r="AE484">
        <v>0</v>
      </c>
      <c r="AF484">
        <v>1</v>
      </c>
      <c r="AG484">
        <v>29.80263157894737</v>
      </c>
    </row>
    <row r="485" spans="1:33">
      <c r="A485" s="1" t="s">
        <v>508</v>
      </c>
      <c r="B485" s="1" t="s">
        <v>1551</v>
      </c>
      <c r="C485" s="2">
        <v>47119</v>
      </c>
      <c r="D485" s="1" t="s">
        <v>34</v>
      </c>
      <c r="E485">
        <v>492</v>
      </c>
      <c r="F485" s="2">
        <v>46081</v>
      </c>
      <c r="G485" s="1" t="s">
        <v>509</v>
      </c>
      <c r="H485" s="1" t="s">
        <v>43</v>
      </c>
      <c r="I485" s="1" t="s">
        <v>37</v>
      </c>
      <c r="J485" s="1" t="s">
        <v>38</v>
      </c>
      <c r="K485" s="1" t="s">
        <v>39</v>
      </c>
      <c r="L485">
        <v>180</v>
      </c>
      <c r="M485">
        <v>53.5</v>
      </c>
      <c r="N485">
        <v>34.700000000000003</v>
      </c>
      <c r="O485">
        <v>31.4</v>
      </c>
      <c r="P485">
        <v>5.8290000000000002E-2</v>
      </c>
      <c r="Q485">
        <v>11.31</v>
      </c>
      <c r="R485">
        <v>11.82</v>
      </c>
      <c r="S485">
        <v>4</v>
      </c>
      <c r="T485">
        <v>3</v>
      </c>
      <c r="U485">
        <v>12</v>
      </c>
      <c r="V485">
        <v>109.2</v>
      </c>
      <c r="W485">
        <v>160.72</v>
      </c>
      <c r="X485">
        <v>0.69947999999999999</v>
      </c>
      <c r="Y485">
        <v>2.7333333333333334</v>
      </c>
      <c r="Z485">
        <v>0.159326</v>
      </c>
      <c r="AA485">
        <v>0.22777777777777777</v>
      </c>
      <c r="AB485">
        <v>5815.4400000000005</v>
      </c>
      <c r="AC485">
        <v>1</v>
      </c>
      <c r="AD485" s="1" t="s">
        <v>44</v>
      </c>
      <c r="AE485">
        <v>0</v>
      </c>
      <c r="AF485">
        <v>1</v>
      </c>
      <c r="AG485">
        <v>34.144736842105267</v>
      </c>
    </row>
    <row r="486" spans="1:33">
      <c r="A486" s="1" t="s">
        <v>508</v>
      </c>
      <c r="B486" s="1" t="s">
        <v>1552</v>
      </c>
      <c r="C486" s="2">
        <v>46911</v>
      </c>
      <c r="D486" s="1" t="s">
        <v>34</v>
      </c>
      <c r="E486">
        <v>878</v>
      </c>
      <c r="F486" s="2">
        <v>46081</v>
      </c>
      <c r="G486" s="1" t="s">
        <v>509</v>
      </c>
      <c r="H486" s="1" t="s">
        <v>43</v>
      </c>
      <c r="I486" s="1" t="s">
        <v>37</v>
      </c>
      <c r="J486" s="1" t="s">
        <v>38</v>
      </c>
      <c r="K486" s="1" t="s">
        <v>39</v>
      </c>
      <c r="L486">
        <v>180</v>
      </c>
      <c r="M486">
        <v>53.5</v>
      </c>
      <c r="N486">
        <v>34.700000000000003</v>
      </c>
      <c r="O486">
        <v>31.4</v>
      </c>
      <c r="P486">
        <v>5.8290000000000002E-2</v>
      </c>
      <c r="Q486">
        <v>11.31</v>
      </c>
      <c r="R486">
        <v>11.82</v>
      </c>
      <c r="S486">
        <v>4</v>
      </c>
      <c r="T486">
        <v>3</v>
      </c>
      <c r="U486">
        <v>12</v>
      </c>
      <c r="V486">
        <v>109.2</v>
      </c>
      <c r="W486">
        <v>160.72</v>
      </c>
      <c r="X486">
        <v>0.69947999999999999</v>
      </c>
      <c r="Y486">
        <v>4.8777777777777782</v>
      </c>
      <c r="Z486">
        <v>0.2843256666666667</v>
      </c>
      <c r="AA486">
        <v>0.4064814814814815</v>
      </c>
      <c r="AB486">
        <v>10377.960000000001</v>
      </c>
      <c r="AC486">
        <v>1</v>
      </c>
      <c r="AD486" s="1" t="s">
        <v>40</v>
      </c>
      <c r="AE486">
        <v>1</v>
      </c>
      <c r="AF486">
        <v>0</v>
      </c>
      <c r="AG486">
        <v>27.30263157894737</v>
      </c>
    </row>
    <row r="487" spans="1:33">
      <c r="A487" s="1" t="s">
        <v>510</v>
      </c>
      <c r="B487" s="1" t="s">
        <v>1553</v>
      </c>
      <c r="C487" s="2">
        <v>46308</v>
      </c>
      <c r="D487" s="1" t="s">
        <v>34</v>
      </c>
      <c r="E487">
        <v>1789</v>
      </c>
      <c r="F487" s="2">
        <v>46081</v>
      </c>
      <c r="G487" s="1" t="s">
        <v>511</v>
      </c>
      <c r="H487" s="1" t="s">
        <v>36</v>
      </c>
      <c r="I487" s="1" t="s">
        <v>37</v>
      </c>
      <c r="J487" s="1" t="s">
        <v>38</v>
      </c>
      <c r="K487" s="1" t="s">
        <v>39</v>
      </c>
      <c r="L487">
        <v>60</v>
      </c>
      <c r="M487">
        <v>34.5</v>
      </c>
      <c r="N487">
        <v>30.5</v>
      </c>
      <c r="O487">
        <v>29.3</v>
      </c>
      <c r="P487">
        <v>3.083E-2</v>
      </c>
      <c r="Q487">
        <v>8.82</v>
      </c>
      <c r="R487">
        <v>7.9</v>
      </c>
      <c r="S487">
        <v>9</v>
      </c>
      <c r="T487">
        <v>3</v>
      </c>
      <c r="U487">
        <v>27</v>
      </c>
      <c r="V487">
        <v>102.9</v>
      </c>
      <c r="W487">
        <v>263.14</v>
      </c>
      <c r="X487">
        <v>0.83240999999999998</v>
      </c>
      <c r="Y487">
        <v>29.816666666666666</v>
      </c>
      <c r="Z487">
        <v>0.91924783333333326</v>
      </c>
      <c r="AA487">
        <v>1.104320987654321</v>
      </c>
      <c r="AB487">
        <v>14133.1</v>
      </c>
      <c r="AC487">
        <v>2</v>
      </c>
      <c r="AD487" s="1" t="s">
        <v>40</v>
      </c>
      <c r="AE487">
        <v>2</v>
      </c>
      <c r="AF487">
        <v>0</v>
      </c>
      <c r="AG487">
        <v>7.4671052631578947</v>
      </c>
    </row>
    <row r="488" spans="1:33">
      <c r="A488" s="1" t="s">
        <v>510</v>
      </c>
      <c r="B488" s="1" t="s">
        <v>1554</v>
      </c>
      <c r="C488" s="2">
        <v>47141</v>
      </c>
      <c r="D488" s="1" t="s">
        <v>34</v>
      </c>
      <c r="E488">
        <v>1419</v>
      </c>
      <c r="F488" s="2">
        <v>46081</v>
      </c>
      <c r="G488" s="1" t="s">
        <v>511</v>
      </c>
      <c r="H488" s="1" t="s">
        <v>36</v>
      </c>
      <c r="I488" s="1" t="s">
        <v>37</v>
      </c>
      <c r="J488" s="1" t="s">
        <v>38</v>
      </c>
      <c r="K488" s="1" t="s">
        <v>39</v>
      </c>
      <c r="L488">
        <v>60</v>
      </c>
      <c r="M488">
        <v>34.5</v>
      </c>
      <c r="N488">
        <v>30.5</v>
      </c>
      <c r="O488">
        <v>29.3</v>
      </c>
      <c r="P488">
        <v>3.083E-2</v>
      </c>
      <c r="Q488">
        <v>8.82</v>
      </c>
      <c r="R488">
        <v>7.9</v>
      </c>
      <c r="S488">
        <v>9</v>
      </c>
      <c r="T488">
        <v>3</v>
      </c>
      <c r="U488">
        <v>27</v>
      </c>
      <c r="V488">
        <v>102.9</v>
      </c>
      <c r="W488">
        <v>263.14</v>
      </c>
      <c r="X488">
        <v>0.83240999999999998</v>
      </c>
      <c r="Y488">
        <v>23.65</v>
      </c>
      <c r="Z488">
        <v>0.72912949999999999</v>
      </c>
      <c r="AA488">
        <v>0.87592592592592589</v>
      </c>
      <c r="AB488">
        <v>11210.1</v>
      </c>
      <c r="AC488">
        <v>1</v>
      </c>
      <c r="AD488" s="1" t="s">
        <v>40</v>
      </c>
      <c r="AE488">
        <v>1</v>
      </c>
      <c r="AF488">
        <v>0</v>
      </c>
      <c r="AG488">
        <v>34.868421052631582</v>
      </c>
    </row>
    <row r="489" spans="1:33">
      <c r="A489" s="1" t="s">
        <v>512</v>
      </c>
      <c r="B489" s="1" t="s">
        <v>1555</v>
      </c>
      <c r="C489" s="2">
        <v>46430</v>
      </c>
      <c r="D489" s="1" t="s">
        <v>34</v>
      </c>
      <c r="E489">
        <v>115004</v>
      </c>
      <c r="F489" s="2">
        <v>46081</v>
      </c>
      <c r="G489" s="1" t="s">
        <v>513</v>
      </c>
      <c r="H489" s="1" t="s">
        <v>43</v>
      </c>
      <c r="I489" s="1" t="s">
        <v>37</v>
      </c>
      <c r="J489" s="1" t="s">
        <v>38</v>
      </c>
      <c r="K489" s="1" t="s">
        <v>39</v>
      </c>
      <c r="L489">
        <v>240</v>
      </c>
      <c r="M489">
        <v>52.3</v>
      </c>
      <c r="N489">
        <v>28.1</v>
      </c>
      <c r="O489">
        <v>28.5</v>
      </c>
      <c r="P489">
        <v>4.1880000000000001E-2</v>
      </c>
      <c r="Q489">
        <v>10.82</v>
      </c>
      <c r="R489">
        <v>8.8699999999999992</v>
      </c>
      <c r="S489">
        <v>6</v>
      </c>
      <c r="T489">
        <v>3</v>
      </c>
      <c r="U489">
        <v>18</v>
      </c>
      <c r="V489">
        <v>100.5</v>
      </c>
      <c r="W489">
        <v>219.76</v>
      </c>
      <c r="X489">
        <v>0.75384000000000007</v>
      </c>
      <c r="Y489">
        <v>479.18333333333334</v>
      </c>
      <c r="Z489">
        <v>20.068197999999999</v>
      </c>
      <c r="AA489">
        <v>26.621296296296297</v>
      </c>
      <c r="AB489">
        <v>1020085.4799999999</v>
      </c>
      <c r="AC489">
        <v>27</v>
      </c>
      <c r="AD489" s="1" t="s">
        <v>40</v>
      </c>
      <c r="AE489">
        <v>27</v>
      </c>
      <c r="AF489">
        <v>0</v>
      </c>
      <c r="AG489">
        <v>11.480263157894738</v>
      </c>
    </row>
    <row r="490" spans="1:33">
      <c r="A490" s="1" t="s">
        <v>512</v>
      </c>
      <c r="B490" s="1" t="s">
        <v>1556</v>
      </c>
      <c r="C490" s="2">
        <v>47145</v>
      </c>
      <c r="D490" s="1" t="s">
        <v>34</v>
      </c>
      <c r="E490">
        <v>21042</v>
      </c>
      <c r="F490" s="2">
        <v>46081</v>
      </c>
      <c r="G490" s="1" t="s">
        <v>513</v>
      </c>
      <c r="H490" s="1" t="s">
        <v>43</v>
      </c>
      <c r="I490" s="1" t="s">
        <v>37</v>
      </c>
      <c r="J490" s="1" t="s">
        <v>38</v>
      </c>
      <c r="K490" s="1" t="s">
        <v>39</v>
      </c>
      <c r="L490">
        <v>240</v>
      </c>
      <c r="M490">
        <v>52.3</v>
      </c>
      <c r="N490">
        <v>28.1</v>
      </c>
      <c r="O490">
        <v>28.5</v>
      </c>
      <c r="P490">
        <v>4.1880000000000001E-2</v>
      </c>
      <c r="Q490">
        <v>10.82</v>
      </c>
      <c r="R490">
        <v>8.8699999999999992</v>
      </c>
      <c r="S490">
        <v>6</v>
      </c>
      <c r="T490">
        <v>3</v>
      </c>
      <c r="U490">
        <v>18</v>
      </c>
      <c r="V490">
        <v>100.5</v>
      </c>
      <c r="W490">
        <v>219.76</v>
      </c>
      <c r="X490">
        <v>0.75384000000000007</v>
      </c>
      <c r="Y490">
        <v>87.674999999999997</v>
      </c>
      <c r="Z490">
        <v>3.6718289999999998</v>
      </c>
      <c r="AA490">
        <v>4.8708333333333336</v>
      </c>
      <c r="AB490">
        <v>186642.53999999998</v>
      </c>
      <c r="AC490">
        <v>5</v>
      </c>
      <c r="AD490" s="1" t="s">
        <v>40</v>
      </c>
      <c r="AE490">
        <v>5</v>
      </c>
      <c r="AF490">
        <v>0</v>
      </c>
      <c r="AG490">
        <v>35</v>
      </c>
    </row>
    <row r="491" spans="1:33">
      <c r="A491" s="1" t="s">
        <v>512</v>
      </c>
      <c r="B491" s="1" t="s">
        <v>1557</v>
      </c>
      <c r="C491" s="2">
        <v>46458</v>
      </c>
      <c r="D491" s="1" t="s">
        <v>34</v>
      </c>
      <c r="E491">
        <v>52527</v>
      </c>
      <c r="F491" s="2">
        <v>46081</v>
      </c>
      <c r="G491" s="1" t="s">
        <v>513</v>
      </c>
      <c r="H491" s="1" t="s">
        <v>43</v>
      </c>
      <c r="I491" s="1" t="s">
        <v>37</v>
      </c>
      <c r="J491" s="1" t="s">
        <v>38</v>
      </c>
      <c r="K491" s="1" t="s">
        <v>39</v>
      </c>
      <c r="L491">
        <v>240</v>
      </c>
      <c r="M491">
        <v>52.3</v>
      </c>
      <c r="N491">
        <v>28.1</v>
      </c>
      <c r="O491">
        <v>28.5</v>
      </c>
      <c r="P491">
        <v>4.1880000000000001E-2</v>
      </c>
      <c r="Q491">
        <v>10.82</v>
      </c>
      <c r="R491">
        <v>8.8699999999999992</v>
      </c>
      <c r="S491">
        <v>6</v>
      </c>
      <c r="T491">
        <v>3</v>
      </c>
      <c r="U491">
        <v>18</v>
      </c>
      <c r="V491">
        <v>100.5</v>
      </c>
      <c r="W491">
        <v>219.76</v>
      </c>
      <c r="X491">
        <v>0.75384000000000007</v>
      </c>
      <c r="Y491">
        <v>218.86250000000001</v>
      </c>
      <c r="Z491">
        <v>9.1659614999999999</v>
      </c>
      <c r="AA491">
        <v>12.159027777777778</v>
      </c>
      <c r="AB491">
        <v>465914.48999999993</v>
      </c>
      <c r="AC491">
        <v>13</v>
      </c>
      <c r="AD491" s="1" t="s">
        <v>40</v>
      </c>
      <c r="AE491">
        <v>13</v>
      </c>
      <c r="AF491">
        <v>0</v>
      </c>
      <c r="AG491">
        <v>12.401315789473685</v>
      </c>
    </row>
    <row r="492" spans="1:33">
      <c r="A492" s="1" t="s">
        <v>514</v>
      </c>
      <c r="B492" s="1" t="s">
        <v>1558</v>
      </c>
      <c r="C492" s="2">
        <v>46469</v>
      </c>
      <c r="D492" s="1" t="s">
        <v>34</v>
      </c>
      <c r="E492">
        <v>22345</v>
      </c>
      <c r="F492" s="2">
        <v>46081</v>
      </c>
      <c r="G492" s="1" t="s">
        <v>515</v>
      </c>
      <c r="H492" s="1" t="s">
        <v>36</v>
      </c>
      <c r="I492" s="1" t="s">
        <v>37</v>
      </c>
      <c r="J492" s="1" t="s">
        <v>38</v>
      </c>
      <c r="K492" s="1" t="s">
        <v>39</v>
      </c>
      <c r="L492">
        <v>240</v>
      </c>
      <c r="M492">
        <v>52.5</v>
      </c>
      <c r="N492">
        <v>31.3</v>
      </c>
      <c r="O492">
        <v>26.2</v>
      </c>
      <c r="P492">
        <v>4.3049999999999998E-2</v>
      </c>
      <c r="Q492">
        <v>8.8000000000000007</v>
      </c>
      <c r="R492">
        <v>10.119999999999999</v>
      </c>
      <c r="S492">
        <v>6</v>
      </c>
      <c r="T492">
        <v>4</v>
      </c>
      <c r="U492">
        <v>24</v>
      </c>
      <c r="V492">
        <v>119.8</v>
      </c>
      <c r="W492">
        <v>236.2</v>
      </c>
      <c r="X492">
        <v>1.0331999999999999</v>
      </c>
      <c r="Y492">
        <v>93.104166666666671</v>
      </c>
      <c r="Z492">
        <v>4.008134375</v>
      </c>
      <c r="AA492">
        <v>3.8793402777777781</v>
      </c>
      <c r="AB492">
        <v>226131.4</v>
      </c>
      <c r="AC492">
        <v>4</v>
      </c>
      <c r="AD492" s="1" t="s">
        <v>40</v>
      </c>
      <c r="AE492">
        <v>4</v>
      </c>
      <c r="AF492">
        <v>0</v>
      </c>
      <c r="AG492">
        <v>12.763157894736842</v>
      </c>
    </row>
    <row r="493" spans="1:33">
      <c r="A493" s="1" t="s">
        <v>514</v>
      </c>
      <c r="B493" s="1" t="s">
        <v>1559</v>
      </c>
      <c r="C493" s="2">
        <v>46311</v>
      </c>
      <c r="D493" s="1" t="s">
        <v>49</v>
      </c>
      <c r="E493">
        <v>1117</v>
      </c>
      <c r="F493" s="2">
        <v>46081</v>
      </c>
      <c r="G493" s="1" t="s">
        <v>515</v>
      </c>
      <c r="H493" s="1" t="s">
        <v>36</v>
      </c>
      <c r="I493" s="1" t="s">
        <v>37</v>
      </c>
      <c r="J493" s="1" t="s">
        <v>38</v>
      </c>
      <c r="K493" s="1" t="s">
        <v>39</v>
      </c>
      <c r="L493">
        <v>240</v>
      </c>
      <c r="M493">
        <v>52.5</v>
      </c>
      <c r="N493">
        <v>31.3</v>
      </c>
      <c r="O493">
        <v>26.2</v>
      </c>
      <c r="P493">
        <v>4.3049999999999998E-2</v>
      </c>
      <c r="Q493">
        <v>8.8000000000000007</v>
      </c>
      <c r="R493">
        <v>10.119999999999999</v>
      </c>
      <c r="S493">
        <v>6</v>
      </c>
      <c r="T493">
        <v>4</v>
      </c>
      <c r="U493">
        <v>24</v>
      </c>
      <c r="V493">
        <v>119.8</v>
      </c>
      <c r="W493">
        <v>236.2</v>
      </c>
      <c r="X493">
        <v>1.0331999999999999</v>
      </c>
      <c r="Y493">
        <v>4.6541666666666668</v>
      </c>
      <c r="Z493">
        <v>0.20036187499999999</v>
      </c>
      <c r="AA493">
        <v>0.19392361111111112</v>
      </c>
      <c r="AB493">
        <v>11304.039999999999</v>
      </c>
      <c r="AC493">
        <v>1</v>
      </c>
      <c r="AD493" s="1" t="s">
        <v>44</v>
      </c>
      <c r="AE493">
        <v>0</v>
      </c>
      <c r="AF493">
        <v>1</v>
      </c>
      <c r="AG493">
        <v>7.5657894736842106</v>
      </c>
    </row>
    <row r="494" spans="1:33">
      <c r="A494" s="1" t="s">
        <v>516</v>
      </c>
      <c r="B494" s="1" t="s">
        <v>1560</v>
      </c>
      <c r="C494" s="2">
        <v>46577</v>
      </c>
      <c r="D494" s="1" t="s">
        <v>34</v>
      </c>
      <c r="E494">
        <v>1478</v>
      </c>
      <c r="F494" s="2">
        <v>46081</v>
      </c>
      <c r="G494" s="1" t="s">
        <v>517</v>
      </c>
      <c r="H494" s="1" t="s">
        <v>36</v>
      </c>
      <c r="I494" s="1" t="s">
        <v>37</v>
      </c>
      <c r="J494" s="1" t="s">
        <v>38</v>
      </c>
      <c r="K494" s="1" t="s">
        <v>39</v>
      </c>
      <c r="L494">
        <v>120</v>
      </c>
      <c r="M494">
        <v>50.2</v>
      </c>
      <c r="N494">
        <v>29.3</v>
      </c>
      <c r="O494">
        <v>27.4</v>
      </c>
      <c r="P494">
        <v>4.0300000000000002E-2</v>
      </c>
      <c r="Q494">
        <v>6.31</v>
      </c>
      <c r="R494">
        <v>14.35</v>
      </c>
      <c r="S494">
        <v>6</v>
      </c>
      <c r="T494">
        <v>4</v>
      </c>
      <c r="U494">
        <v>24</v>
      </c>
      <c r="V494">
        <v>124.6</v>
      </c>
      <c r="W494">
        <v>176.44</v>
      </c>
      <c r="X494">
        <v>0.96719999999999995</v>
      </c>
      <c r="Y494">
        <v>12.316666666666666</v>
      </c>
      <c r="Z494">
        <v>0.4963616666666667</v>
      </c>
      <c r="AA494">
        <v>0.5131944444444444</v>
      </c>
      <c r="AB494">
        <v>21209.3</v>
      </c>
      <c r="AC494">
        <v>1</v>
      </c>
      <c r="AD494" s="1" t="s">
        <v>40</v>
      </c>
      <c r="AE494">
        <v>1</v>
      </c>
      <c r="AF494">
        <v>0</v>
      </c>
      <c r="AG494">
        <v>16.315789473684212</v>
      </c>
    </row>
    <row r="495" spans="1:33">
      <c r="A495" s="1" t="s">
        <v>516</v>
      </c>
      <c r="B495" s="1" t="s">
        <v>1561</v>
      </c>
      <c r="C495" s="2">
        <v>46804</v>
      </c>
      <c r="D495" s="1" t="s">
        <v>34</v>
      </c>
      <c r="E495">
        <v>5928</v>
      </c>
      <c r="F495" s="2">
        <v>46081</v>
      </c>
      <c r="G495" s="1" t="s">
        <v>517</v>
      </c>
      <c r="H495" s="1" t="s">
        <v>36</v>
      </c>
      <c r="I495" s="1" t="s">
        <v>37</v>
      </c>
      <c r="J495" s="1" t="s">
        <v>38</v>
      </c>
      <c r="K495" s="1" t="s">
        <v>39</v>
      </c>
      <c r="L495">
        <v>120</v>
      </c>
      <c r="M495">
        <v>50.2</v>
      </c>
      <c r="N495">
        <v>29.3</v>
      </c>
      <c r="O495">
        <v>27.4</v>
      </c>
      <c r="P495">
        <v>4.0300000000000002E-2</v>
      </c>
      <c r="Q495">
        <v>6.31</v>
      </c>
      <c r="R495">
        <v>14.35</v>
      </c>
      <c r="S495">
        <v>6</v>
      </c>
      <c r="T495">
        <v>4</v>
      </c>
      <c r="U495">
        <v>24</v>
      </c>
      <c r="V495">
        <v>124.6</v>
      </c>
      <c r="W495">
        <v>176.44</v>
      </c>
      <c r="X495">
        <v>0.96719999999999995</v>
      </c>
      <c r="Y495">
        <v>49.4</v>
      </c>
      <c r="Z495">
        <v>1.99082</v>
      </c>
      <c r="AA495">
        <v>2.0583333333333331</v>
      </c>
      <c r="AB495">
        <v>85066.8</v>
      </c>
      <c r="AC495">
        <v>3</v>
      </c>
      <c r="AD495" s="1" t="s">
        <v>40</v>
      </c>
      <c r="AE495">
        <v>3</v>
      </c>
      <c r="AF495">
        <v>0</v>
      </c>
      <c r="AG495">
        <v>23.782894736842106</v>
      </c>
    </row>
    <row r="496" spans="1:33">
      <c r="A496" s="1" t="s">
        <v>518</v>
      </c>
      <c r="B496" s="1" t="s">
        <v>1562</v>
      </c>
      <c r="C496" s="2">
        <v>47050</v>
      </c>
      <c r="D496" s="1" t="s">
        <v>34</v>
      </c>
      <c r="E496">
        <v>2083</v>
      </c>
      <c r="F496" s="2">
        <v>46081</v>
      </c>
      <c r="G496" s="1" t="s">
        <v>519</v>
      </c>
      <c r="H496" s="1" t="s">
        <v>52</v>
      </c>
      <c r="I496" s="1" t="s">
        <v>37</v>
      </c>
      <c r="J496" s="1" t="s">
        <v>38</v>
      </c>
      <c r="K496" s="1" t="s">
        <v>39</v>
      </c>
      <c r="L496">
        <v>100</v>
      </c>
      <c r="M496">
        <v>45.1</v>
      </c>
      <c r="N496">
        <v>38.700000000000003</v>
      </c>
      <c r="O496">
        <v>25.8</v>
      </c>
      <c r="P496">
        <v>4.5030000000000001E-2</v>
      </c>
      <c r="Q496">
        <v>7.54</v>
      </c>
      <c r="R496">
        <v>15.58</v>
      </c>
      <c r="S496">
        <v>6</v>
      </c>
      <c r="T496">
        <v>5</v>
      </c>
      <c r="U496">
        <v>30</v>
      </c>
      <c r="V496">
        <v>144</v>
      </c>
      <c r="W496">
        <v>251.2</v>
      </c>
      <c r="X496">
        <v>1.3509</v>
      </c>
      <c r="Y496">
        <v>20.83</v>
      </c>
      <c r="Z496">
        <v>0.93797489999999994</v>
      </c>
      <c r="AA496">
        <v>0.69433333333333325</v>
      </c>
      <c r="AB496">
        <v>32453.14</v>
      </c>
      <c r="AC496">
        <v>1</v>
      </c>
      <c r="AD496" s="1" t="s">
        <v>40</v>
      </c>
      <c r="AE496">
        <v>1</v>
      </c>
      <c r="AF496">
        <v>0</v>
      </c>
      <c r="AG496">
        <v>31.875</v>
      </c>
    </row>
    <row r="497" spans="1:33">
      <c r="A497" s="1" t="s">
        <v>518</v>
      </c>
      <c r="B497" s="1" t="s">
        <v>1563</v>
      </c>
      <c r="C497" s="2">
        <v>46834</v>
      </c>
      <c r="D497" s="1" t="s">
        <v>34</v>
      </c>
      <c r="E497">
        <v>1179</v>
      </c>
      <c r="F497" s="2">
        <v>46081</v>
      </c>
      <c r="G497" s="1" t="s">
        <v>519</v>
      </c>
      <c r="H497" s="1" t="s">
        <v>52</v>
      </c>
      <c r="I497" s="1" t="s">
        <v>37</v>
      </c>
      <c r="J497" s="1" t="s">
        <v>38</v>
      </c>
      <c r="K497" s="1" t="s">
        <v>39</v>
      </c>
      <c r="L497">
        <v>100</v>
      </c>
      <c r="M497">
        <v>45.1</v>
      </c>
      <c r="N497">
        <v>38.700000000000003</v>
      </c>
      <c r="O497">
        <v>25.8</v>
      </c>
      <c r="P497">
        <v>4.5030000000000001E-2</v>
      </c>
      <c r="Q497">
        <v>7.54</v>
      </c>
      <c r="R497">
        <v>15.58</v>
      </c>
      <c r="S497">
        <v>6</v>
      </c>
      <c r="T497">
        <v>5</v>
      </c>
      <c r="U497">
        <v>30</v>
      </c>
      <c r="V497">
        <v>144</v>
      </c>
      <c r="W497">
        <v>251.2</v>
      </c>
      <c r="X497">
        <v>1.3509</v>
      </c>
      <c r="Y497">
        <v>11.79</v>
      </c>
      <c r="Z497">
        <v>0.53090369999999998</v>
      </c>
      <c r="AA497">
        <v>0.39299999999999996</v>
      </c>
      <c r="AB497">
        <v>18368.82</v>
      </c>
      <c r="AC497">
        <v>1</v>
      </c>
      <c r="AD497" s="1" t="s">
        <v>40</v>
      </c>
      <c r="AE497">
        <v>1</v>
      </c>
      <c r="AF497">
        <v>0</v>
      </c>
      <c r="AG497">
        <v>24.769736842105264</v>
      </c>
    </row>
    <row r="498" spans="1:33">
      <c r="A498" s="1" t="s">
        <v>520</v>
      </c>
      <c r="B498" s="1" t="s">
        <v>1564</v>
      </c>
      <c r="C498" s="2">
        <v>46498</v>
      </c>
      <c r="D498" s="1" t="s">
        <v>34</v>
      </c>
      <c r="E498">
        <v>1906</v>
      </c>
      <c r="F498" s="2">
        <v>46081</v>
      </c>
      <c r="G498" s="1" t="s">
        <v>521</v>
      </c>
      <c r="H498" s="1" t="s">
        <v>43</v>
      </c>
      <c r="I498" s="1" t="s">
        <v>37</v>
      </c>
      <c r="J498" s="1" t="s">
        <v>38</v>
      </c>
      <c r="K498" s="1" t="s">
        <v>39</v>
      </c>
      <c r="L498">
        <v>180</v>
      </c>
      <c r="M498">
        <v>50.5</v>
      </c>
      <c r="N498">
        <v>34.299999999999997</v>
      </c>
      <c r="O498">
        <v>20.5</v>
      </c>
      <c r="P498">
        <v>3.551E-2</v>
      </c>
      <c r="Q498">
        <v>8.1300000000000008</v>
      </c>
      <c r="R498">
        <v>24.86</v>
      </c>
      <c r="S498">
        <v>4</v>
      </c>
      <c r="T498">
        <v>7</v>
      </c>
      <c r="U498">
        <v>28</v>
      </c>
      <c r="V498">
        <v>158.5</v>
      </c>
      <c r="W498">
        <v>252.64</v>
      </c>
      <c r="X498">
        <v>0.99428000000000005</v>
      </c>
      <c r="Y498">
        <v>10.588888888888889</v>
      </c>
      <c r="Z498">
        <v>0.37601144444444445</v>
      </c>
      <c r="AA498">
        <v>0.37817460317460316</v>
      </c>
      <c r="AB498">
        <v>47383.159999999996</v>
      </c>
      <c r="AC498">
        <v>1</v>
      </c>
      <c r="AD498" s="1" t="s">
        <v>40</v>
      </c>
      <c r="AE498">
        <v>1</v>
      </c>
      <c r="AF498">
        <v>0</v>
      </c>
      <c r="AG498">
        <v>13.717105263157896</v>
      </c>
    </row>
    <row r="499" spans="1:33">
      <c r="A499" s="1" t="s">
        <v>522</v>
      </c>
      <c r="B499" s="1" t="s">
        <v>1565</v>
      </c>
      <c r="C499" s="2">
        <v>46995</v>
      </c>
      <c r="D499" s="1" t="s">
        <v>34</v>
      </c>
      <c r="E499">
        <v>3465</v>
      </c>
      <c r="F499" s="2">
        <v>46081</v>
      </c>
      <c r="G499" s="1" t="s">
        <v>523</v>
      </c>
      <c r="H499" s="1" t="s">
        <v>70</v>
      </c>
      <c r="I499" s="1" t="s">
        <v>37</v>
      </c>
      <c r="J499" s="1" t="s">
        <v>38</v>
      </c>
      <c r="K499" s="1" t="s">
        <v>39</v>
      </c>
      <c r="L499">
        <v>60</v>
      </c>
      <c r="M499">
        <v>51.6</v>
      </c>
      <c r="N499">
        <v>28.3</v>
      </c>
      <c r="O499">
        <v>32</v>
      </c>
      <c r="P499">
        <v>4.6730000000000001E-2</v>
      </c>
      <c r="Q499">
        <v>8.8800000000000008</v>
      </c>
      <c r="R499">
        <v>23.68</v>
      </c>
      <c r="S499">
        <v>5</v>
      </c>
      <c r="T499">
        <v>3</v>
      </c>
      <c r="U499">
        <v>15</v>
      </c>
      <c r="V499">
        <v>111</v>
      </c>
      <c r="W499">
        <v>158.20000000000002</v>
      </c>
      <c r="X499">
        <v>0.70094999999999996</v>
      </c>
      <c r="Y499">
        <v>57.75</v>
      </c>
      <c r="Z499">
        <v>2.6986574999999999</v>
      </c>
      <c r="AA499">
        <v>3.85</v>
      </c>
      <c r="AB499">
        <v>82051.199999999997</v>
      </c>
      <c r="AC499">
        <v>4</v>
      </c>
      <c r="AD499" s="1" t="s">
        <v>40</v>
      </c>
      <c r="AE499">
        <v>4</v>
      </c>
      <c r="AF499">
        <v>0</v>
      </c>
      <c r="AG499">
        <v>30.065789473684212</v>
      </c>
    </row>
    <row r="500" spans="1:33">
      <c r="A500" s="1" t="s">
        <v>524</v>
      </c>
      <c r="B500" s="1" t="s">
        <v>1566</v>
      </c>
      <c r="C500" s="2">
        <v>46998</v>
      </c>
      <c r="D500" s="1" t="s">
        <v>34</v>
      </c>
      <c r="E500">
        <v>3454</v>
      </c>
      <c r="F500" s="2">
        <v>46081</v>
      </c>
      <c r="G500" s="1" t="s">
        <v>525</v>
      </c>
      <c r="H500" s="1" t="s">
        <v>43</v>
      </c>
      <c r="I500" s="1" t="s">
        <v>37</v>
      </c>
      <c r="J500" s="1" t="s">
        <v>38</v>
      </c>
      <c r="K500" s="1" t="s">
        <v>39</v>
      </c>
      <c r="L500">
        <v>60</v>
      </c>
      <c r="M500">
        <v>50.4</v>
      </c>
      <c r="N500">
        <v>29.7</v>
      </c>
      <c r="O500">
        <v>21.9</v>
      </c>
      <c r="P500">
        <v>3.2779999999999997E-2</v>
      </c>
      <c r="Q500">
        <v>5.67</v>
      </c>
      <c r="R500">
        <v>22.03</v>
      </c>
      <c r="S500">
        <v>6</v>
      </c>
      <c r="T500">
        <v>5</v>
      </c>
      <c r="U500">
        <v>30</v>
      </c>
      <c r="V500">
        <v>124.5</v>
      </c>
      <c r="W500">
        <v>195.1</v>
      </c>
      <c r="X500">
        <v>0.98340000000000005</v>
      </c>
      <c r="Y500">
        <v>57.56666666666667</v>
      </c>
      <c r="Z500">
        <v>1.8870353333333332</v>
      </c>
      <c r="AA500">
        <v>1.9188888888888891</v>
      </c>
      <c r="AB500">
        <v>76091.62000000001</v>
      </c>
      <c r="AC500">
        <v>2</v>
      </c>
      <c r="AD500" s="1" t="s">
        <v>40</v>
      </c>
      <c r="AE500">
        <v>2</v>
      </c>
      <c r="AF500">
        <v>0</v>
      </c>
      <c r="AG500">
        <v>30.164473684210527</v>
      </c>
    </row>
    <row r="501" spans="1:33">
      <c r="A501" s="1" t="s">
        <v>526</v>
      </c>
      <c r="B501" s="1" t="s">
        <v>1567</v>
      </c>
      <c r="C501" s="2">
        <v>46545</v>
      </c>
      <c r="D501" s="1" t="s">
        <v>34</v>
      </c>
      <c r="E501">
        <v>1611</v>
      </c>
      <c r="F501" s="2">
        <v>46081</v>
      </c>
      <c r="G501" s="1" t="s">
        <v>527</v>
      </c>
      <c r="H501" s="1" t="s">
        <v>52</v>
      </c>
      <c r="I501" s="1" t="s">
        <v>37</v>
      </c>
      <c r="J501" s="1" t="s">
        <v>38</v>
      </c>
      <c r="K501" s="1" t="s">
        <v>39</v>
      </c>
      <c r="L501">
        <v>60</v>
      </c>
      <c r="M501">
        <v>48.3</v>
      </c>
      <c r="N501">
        <v>33.9</v>
      </c>
      <c r="O501">
        <v>25.4</v>
      </c>
      <c r="P501">
        <v>4.1590000000000002E-2</v>
      </c>
      <c r="Q501">
        <v>8.74</v>
      </c>
      <c r="R501">
        <v>6.06</v>
      </c>
      <c r="S501">
        <v>6</v>
      </c>
      <c r="T501">
        <v>5</v>
      </c>
      <c r="U501">
        <v>30</v>
      </c>
      <c r="V501">
        <v>142</v>
      </c>
      <c r="W501">
        <v>287.2</v>
      </c>
      <c r="X501">
        <v>1.2477</v>
      </c>
      <c r="Y501">
        <v>26.85</v>
      </c>
      <c r="Z501">
        <v>1.1166915000000002</v>
      </c>
      <c r="AA501">
        <v>0.89500000000000002</v>
      </c>
      <c r="AB501">
        <v>9762.66</v>
      </c>
      <c r="AC501">
        <v>1</v>
      </c>
      <c r="AD501" s="1" t="s">
        <v>40</v>
      </c>
      <c r="AE501">
        <v>1</v>
      </c>
      <c r="AF501">
        <v>0</v>
      </c>
      <c r="AG501">
        <v>15.263157894736842</v>
      </c>
    </row>
    <row r="502" spans="1:33">
      <c r="A502" s="1" t="s">
        <v>526</v>
      </c>
      <c r="B502" s="1" t="s">
        <v>1568</v>
      </c>
      <c r="C502" s="2">
        <v>47094</v>
      </c>
      <c r="D502" s="1" t="s">
        <v>34</v>
      </c>
      <c r="E502">
        <v>357</v>
      </c>
      <c r="F502" s="2">
        <v>46081</v>
      </c>
      <c r="G502" s="1" t="s">
        <v>527</v>
      </c>
      <c r="H502" s="1" t="s">
        <v>52</v>
      </c>
      <c r="I502" s="1" t="s">
        <v>37</v>
      </c>
      <c r="J502" s="1" t="s">
        <v>38</v>
      </c>
      <c r="K502" s="1" t="s">
        <v>39</v>
      </c>
      <c r="L502">
        <v>60</v>
      </c>
      <c r="M502">
        <v>48.3</v>
      </c>
      <c r="N502">
        <v>33.9</v>
      </c>
      <c r="O502">
        <v>25.4</v>
      </c>
      <c r="P502">
        <v>4.1590000000000002E-2</v>
      </c>
      <c r="Q502">
        <v>8.74</v>
      </c>
      <c r="R502">
        <v>6.06</v>
      </c>
      <c r="S502">
        <v>6</v>
      </c>
      <c r="T502">
        <v>5</v>
      </c>
      <c r="U502">
        <v>30</v>
      </c>
      <c r="V502">
        <v>142</v>
      </c>
      <c r="W502">
        <v>287.2</v>
      </c>
      <c r="X502">
        <v>1.2477</v>
      </c>
      <c r="Y502">
        <v>5.95</v>
      </c>
      <c r="Z502">
        <v>0.24746050000000003</v>
      </c>
      <c r="AA502">
        <v>0.19833333333333333</v>
      </c>
      <c r="AB502">
        <v>2163.42</v>
      </c>
      <c r="AC502">
        <v>1</v>
      </c>
      <c r="AD502" s="1" t="s">
        <v>44</v>
      </c>
      <c r="AE502">
        <v>0</v>
      </c>
      <c r="AF502">
        <v>1</v>
      </c>
      <c r="AG502">
        <v>33.32236842105263</v>
      </c>
    </row>
    <row r="503" spans="1:33">
      <c r="A503" s="1" t="s">
        <v>526</v>
      </c>
      <c r="B503" s="1" t="s">
        <v>1569</v>
      </c>
      <c r="C503" s="2">
        <v>47101</v>
      </c>
      <c r="D503" s="1" t="s">
        <v>34</v>
      </c>
      <c r="E503">
        <v>87</v>
      </c>
      <c r="F503" s="2">
        <v>46081</v>
      </c>
      <c r="G503" s="1" t="s">
        <v>527</v>
      </c>
      <c r="H503" s="1" t="s">
        <v>52</v>
      </c>
      <c r="I503" s="1" t="s">
        <v>37</v>
      </c>
      <c r="J503" s="1" t="s">
        <v>38</v>
      </c>
      <c r="K503" s="1" t="s">
        <v>39</v>
      </c>
      <c r="L503">
        <v>60</v>
      </c>
      <c r="M503">
        <v>48.3</v>
      </c>
      <c r="N503">
        <v>33.9</v>
      </c>
      <c r="O503">
        <v>25.4</v>
      </c>
      <c r="P503">
        <v>4.1590000000000002E-2</v>
      </c>
      <c r="Q503">
        <v>8.74</v>
      </c>
      <c r="R503">
        <v>6.06</v>
      </c>
      <c r="S503">
        <v>6</v>
      </c>
      <c r="T503">
        <v>5</v>
      </c>
      <c r="U503">
        <v>30</v>
      </c>
      <c r="V503">
        <v>142</v>
      </c>
      <c r="W503">
        <v>287.2</v>
      </c>
      <c r="X503">
        <v>1.2477</v>
      </c>
      <c r="Y503">
        <v>1.45</v>
      </c>
      <c r="Z503">
        <v>6.0305499999999998E-2</v>
      </c>
      <c r="AA503">
        <v>4.8333333333333332E-2</v>
      </c>
      <c r="AB503">
        <v>527.21999999999991</v>
      </c>
      <c r="AC503">
        <v>1</v>
      </c>
      <c r="AD503" s="1" t="s">
        <v>44</v>
      </c>
      <c r="AE503">
        <v>0</v>
      </c>
      <c r="AF503">
        <v>1</v>
      </c>
      <c r="AG503">
        <v>33.55263157894737</v>
      </c>
    </row>
    <row r="504" spans="1:33">
      <c r="A504" s="1" t="s">
        <v>526</v>
      </c>
      <c r="B504" s="1" t="s">
        <v>1570</v>
      </c>
      <c r="C504" s="2">
        <v>46856</v>
      </c>
      <c r="D504" s="1" t="s">
        <v>34</v>
      </c>
      <c r="E504">
        <v>78</v>
      </c>
      <c r="F504" s="2">
        <v>46081</v>
      </c>
      <c r="G504" s="1" t="s">
        <v>527</v>
      </c>
      <c r="H504" s="1" t="s">
        <v>52</v>
      </c>
      <c r="I504" s="1" t="s">
        <v>37</v>
      </c>
      <c r="J504" s="1" t="s">
        <v>38</v>
      </c>
      <c r="K504" s="1" t="s">
        <v>39</v>
      </c>
      <c r="L504">
        <v>60</v>
      </c>
      <c r="M504">
        <v>48.3</v>
      </c>
      <c r="N504">
        <v>33.9</v>
      </c>
      <c r="O504">
        <v>25.4</v>
      </c>
      <c r="P504">
        <v>4.1590000000000002E-2</v>
      </c>
      <c r="Q504">
        <v>8.74</v>
      </c>
      <c r="R504">
        <v>6.06</v>
      </c>
      <c r="S504">
        <v>6</v>
      </c>
      <c r="T504">
        <v>5</v>
      </c>
      <c r="U504">
        <v>30</v>
      </c>
      <c r="V504">
        <v>142</v>
      </c>
      <c r="W504">
        <v>287.2</v>
      </c>
      <c r="X504">
        <v>1.2477</v>
      </c>
      <c r="Y504">
        <v>1.3</v>
      </c>
      <c r="Z504">
        <v>5.4067000000000004E-2</v>
      </c>
      <c r="AA504">
        <v>4.3333333333333335E-2</v>
      </c>
      <c r="AB504">
        <v>472.67999999999995</v>
      </c>
      <c r="AC504">
        <v>1</v>
      </c>
      <c r="AD504" s="1" t="s">
        <v>44</v>
      </c>
      <c r="AE504">
        <v>0</v>
      </c>
      <c r="AF504">
        <v>1</v>
      </c>
      <c r="AG504">
        <v>25.493421052631579</v>
      </c>
    </row>
    <row r="505" spans="1:33">
      <c r="A505" s="1" t="s">
        <v>528</v>
      </c>
      <c r="B505" s="1" t="s">
        <v>1571</v>
      </c>
      <c r="C505" s="2">
        <v>46448</v>
      </c>
      <c r="D505" s="1" t="s">
        <v>34</v>
      </c>
      <c r="E505">
        <v>2369</v>
      </c>
      <c r="F505" s="2">
        <v>46081</v>
      </c>
      <c r="G505" s="1" t="s">
        <v>529</v>
      </c>
      <c r="H505" s="1" t="s">
        <v>70</v>
      </c>
      <c r="I505" s="1" t="s">
        <v>37</v>
      </c>
      <c r="J505" s="1" t="s">
        <v>38</v>
      </c>
      <c r="K505" s="1" t="s">
        <v>39</v>
      </c>
      <c r="L505">
        <v>240</v>
      </c>
      <c r="M505">
        <v>34.4</v>
      </c>
      <c r="N505">
        <v>25.5</v>
      </c>
      <c r="O505">
        <v>26.1</v>
      </c>
      <c r="P505">
        <v>2.2890000000000001E-2</v>
      </c>
      <c r="Q505">
        <v>3.94</v>
      </c>
      <c r="R505">
        <v>15.28</v>
      </c>
      <c r="S505">
        <v>9</v>
      </c>
      <c r="T505">
        <v>2</v>
      </c>
      <c r="U505">
        <v>18</v>
      </c>
      <c r="V505">
        <v>67.2</v>
      </c>
      <c r="W505">
        <v>95.92</v>
      </c>
      <c r="X505">
        <v>0.41202</v>
      </c>
      <c r="Y505">
        <v>9.8708333333333336</v>
      </c>
      <c r="Z505">
        <v>0.225943375</v>
      </c>
      <c r="AA505">
        <v>0.54837962962962961</v>
      </c>
      <c r="AB505">
        <v>36198.32</v>
      </c>
      <c r="AC505">
        <v>1</v>
      </c>
      <c r="AD505" s="1" t="s">
        <v>44</v>
      </c>
      <c r="AE505">
        <v>0</v>
      </c>
      <c r="AF505">
        <v>1</v>
      </c>
      <c r="AG505">
        <v>12.072368421052632</v>
      </c>
    </row>
    <row r="506" spans="1:33">
      <c r="A506" s="1" t="s">
        <v>528</v>
      </c>
      <c r="B506" s="1" t="s">
        <v>1572</v>
      </c>
      <c r="C506" s="2">
        <v>47129</v>
      </c>
      <c r="D506" s="1" t="s">
        <v>34</v>
      </c>
      <c r="E506">
        <v>726</v>
      </c>
      <c r="F506" s="2">
        <v>46081</v>
      </c>
      <c r="G506" s="1" t="s">
        <v>529</v>
      </c>
      <c r="H506" s="1" t="s">
        <v>70</v>
      </c>
      <c r="I506" s="1" t="s">
        <v>37</v>
      </c>
      <c r="J506" s="1" t="s">
        <v>38</v>
      </c>
      <c r="K506" s="1" t="s">
        <v>39</v>
      </c>
      <c r="L506">
        <v>240</v>
      </c>
      <c r="M506">
        <v>34.4</v>
      </c>
      <c r="N506">
        <v>25.5</v>
      </c>
      <c r="O506">
        <v>26.1</v>
      </c>
      <c r="P506">
        <v>2.2890000000000001E-2</v>
      </c>
      <c r="Q506">
        <v>3.94</v>
      </c>
      <c r="R506">
        <v>15.28</v>
      </c>
      <c r="S506">
        <v>9</v>
      </c>
      <c r="T506">
        <v>2</v>
      </c>
      <c r="U506">
        <v>18</v>
      </c>
      <c r="V506">
        <v>67.2</v>
      </c>
      <c r="W506">
        <v>95.92</v>
      </c>
      <c r="X506">
        <v>0.41202</v>
      </c>
      <c r="Y506">
        <v>3.0249999999999999</v>
      </c>
      <c r="Z506">
        <v>6.9242250000000005E-2</v>
      </c>
      <c r="AA506">
        <v>0.16805555555555554</v>
      </c>
      <c r="AB506">
        <v>11093.279999999999</v>
      </c>
      <c r="AC506">
        <v>1</v>
      </c>
      <c r="AD506" s="1" t="s">
        <v>44</v>
      </c>
      <c r="AE506">
        <v>0</v>
      </c>
      <c r="AF506">
        <v>1</v>
      </c>
      <c r="AG506">
        <v>34.473684210526315</v>
      </c>
    </row>
    <row r="507" spans="1:33">
      <c r="A507" s="1" t="s">
        <v>528</v>
      </c>
      <c r="B507" s="1" t="s">
        <v>1573</v>
      </c>
      <c r="C507" s="2">
        <v>46746</v>
      </c>
      <c r="D507" s="1" t="s">
        <v>34</v>
      </c>
      <c r="E507">
        <v>873</v>
      </c>
      <c r="F507" s="2">
        <v>46081</v>
      </c>
      <c r="G507" s="1" t="s">
        <v>529</v>
      </c>
      <c r="H507" s="1" t="s">
        <v>70</v>
      </c>
      <c r="I507" s="1" t="s">
        <v>37</v>
      </c>
      <c r="J507" s="1" t="s">
        <v>38</v>
      </c>
      <c r="K507" s="1" t="s">
        <v>39</v>
      </c>
      <c r="L507">
        <v>240</v>
      </c>
      <c r="M507">
        <v>34.4</v>
      </c>
      <c r="N507">
        <v>25.5</v>
      </c>
      <c r="O507">
        <v>26.1</v>
      </c>
      <c r="P507">
        <v>2.2890000000000001E-2</v>
      </c>
      <c r="Q507">
        <v>3.94</v>
      </c>
      <c r="R507">
        <v>15.28</v>
      </c>
      <c r="S507">
        <v>9</v>
      </c>
      <c r="T507">
        <v>2</v>
      </c>
      <c r="U507">
        <v>18</v>
      </c>
      <c r="V507">
        <v>67.2</v>
      </c>
      <c r="W507">
        <v>95.92</v>
      </c>
      <c r="X507">
        <v>0.41202</v>
      </c>
      <c r="Y507">
        <v>3.6375000000000002</v>
      </c>
      <c r="Z507">
        <v>8.3262375E-2</v>
      </c>
      <c r="AA507">
        <v>0.20208333333333334</v>
      </c>
      <c r="AB507">
        <v>13339.439999999999</v>
      </c>
      <c r="AC507">
        <v>1</v>
      </c>
      <c r="AD507" s="1" t="s">
        <v>44</v>
      </c>
      <c r="AE507">
        <v>0</v>
      </c>
      <c r="AF507">
        <v>1</v>
      </c>
      <c r="AG507">
        <v>21.875</v>
      </c>
    </row>
    <row r="508" spans="1:33">
      <c r="A508" s="1" t="s">
        <v>528</v>
      </c>
      <c r="B508" s="1" t="s">
        <v>1574</v>
      </c>
      <c r="C508" s="2">
        <v>46449</v>
      </c>
      <c r="D508" s="1" t="s">
        <v>45</v>
      </c>
      <c r="E508">
        <v>79</v>
      </c>
      <c r="F508" s="2">
        <v>46081</v>
      </c>
      <c r="G508" s="1" t="s">
        <v>529</v>
      </c>
      <c r="H508" s="1" t="s">
        <v>70</v>
      </c>
      <c r="I508" s="1" t="s">
        <v>37</v>
      </c>
      <c r="J508" s="1" t="s">
        <v>38</v>
      </c>
      <c r="K508" s="1" t="s">
        <v>39</v>
      </c>
      <c r="L508">
        <v>240</v>
      </c>
      <c r="M508">
        <v>34.4</v>
      </c>
      <c r="N508">
        <v>25.5</v>
      </c>
      <c r="O508">
        <v>26.1</v>
      </c>
      <c r="P508">
        <v>2.2890000000000001E-2</v>
      </c>
      <c r="Q508">
        <v>3.94</v>
      </c>
      <c r="R508">
        <v>15.28</v>
      </c>
      <c r="S508">
        <v>9</v>
      </c>
      <c r="T508">
        <v>2</v>
      </c>
      <c r="U508">
        <v>18</v>
      </c>
      <c r="V508">
        <v>67.2</v>
      </c>
      <c r="W508">
        <v>95.92</v>
      </c>
      <c r="X508">
        <v>0.41202</v>
      </c>
      <c r="Y508">
        <v>0.32916666666666666</v>
      </c>
      <c r="Z508">
        <v>7.5346250000000005E-3</v>
      </c>
      <c r="AA508">
        <v>1.8287037037037036E-2</v>
      </c>
      <c r="AB508">
        <v>1207.1199999999999</v>
      </c>
      <c r="AC508">
        <v>1</v>
      </c>
      <c r="AD508" s="1" t="s">
        <v>44</v>
      </c>
      <c r="AE508">
        <v>0</v>
      </c>
      <c r="AF508">
        <v>1</v>
      </c>
      <c r="AG508">
        <v>12.105263157894738</v>
      </c>
    </row>
    <row r="509" spans="1:33">
      <c r="A509" s="1" t="s">
        <v>530</v>
      </c>
      <c r="B509" s="1" t="s">
        <v>1575</v>
      </c>
      <c r="C509" s="2">
        <v>46266</v>
      </c>
      <c r="D509" s="1" t="s">
        <v>34</v>
      </c>
      <c r="E509">
        <v>5027</v>
      </c>
      <c r="F509" s="2">
        <v>46081</v>
      </c>
      <c r="G509" s="1" t="s">
        <v>531</v>
      </c>
      <c r="H509" s="1" t="s">
        <v>70</v>
      </c>
      <c r="I509" s="1" t="s">
        <v>37</v>
      </c>
      <c r="J509" s="1" t="s">
        <v>38</v>
      </c>
      <c r="K509" s="1" t="s">
        <v>39</v>
      </c>
      <c r="L509">
        <v>180</v>
      </c>
      <c r="M509">
        <v>58.3</v>
      </c>
      <c r="N509">
        <v>37.1</v>
      </c>
      <c r="O509">
        <v>30.5</v>
      </c>
      <c r="P509">
        <v>6.5970000000000001E-2</v>
      </c>
      <c r="Q509">
        <v>19.64</v>
      </c>
      <c r="R509">
        <v>10.01</v>
      </c>
      <c r="S509">
        <v>4</v>
      </c>
      <c r="T509">
        <v>3</v>
      </c>
      <c r="U509">
        <v>12</v>
      </c>
      <c r="V509">
        <v>106.5</v>
      </c>
      <c r="W509">
        <v>260.68</v>
      </c>
      <c r="X509">
        <v>0.79164000000000001</v>
      </c>
      <c r="Y509">
        <v>27.927777777777777</v>
      </c>
      <c r="Z509">
        <v>1.8423955000000001</v>
      </c>
      <c r="AA509">
        <v>2.3273148148148146</v>
      </c>
      <c r="AB509">
        <v>50320.27</v>
      </c>
      <c r="AC509">
        <v>3</v>
      </c>
      <c r="AD509" s="1" t="s">
        <v>40</v>
      </c>
      <c r="AE509">
        <v>3</v>
      </c>
      <c r="AF509">
        <v>0</v>
      </c>
      <c r="AG509">
        <v>6.0855263157894743</v>
      </c>
    </row>
    <row r="510" spans="1:33">
      <c r="A510" s="1" t="s">
        <v>530</v>
      </c>
      <c r="B510" s="1" t="s">
        <v>1576</v>
      </c>
      <c r="C510" s="2">
        <v>46618</v>
      </c>
      <c r="D510" s="1" t="s">
        <v>34</v>
      </c>
      <c r="E510">
        <v>16977</v>
      </c>
      <c r="F510" s="2">
        <v>46081</v>
      </c>
      <c r="G510" s="1" t="s">
        <v>531</v>
      </c>
      <c r="H510" s="1" t="s">
        <v>70</v>
      </c>
      <c r="I510" s="1" t="s">
        <v>37</v>
      </c>
      <c r="J510" s="1" t="s">
        <v>38</v>
      </c>
      <c r="K510" s="1" t="s">
        <v>39</v>
      </c>
      <c r="L510">
        <v>180</v>
      </c>
      <c r="M510">
        <v>58.3</v>
      </c>
      <c r="N510">
        <v>37.1</v>
      </c>
      <c r="O510">
        <v>30.5</v>
      </c>
      <c r="P510">
        <v>6.5970000000000001E-2</v>
      </c>
      <c r="Q510">
        <v>19.64</v>
      </c>
      <c r="R510">
        <v>10.01</v>
      </c>
      <c r="S510">
        <v>4</v>
      </c>
      <c r="T510">
        <v>3</v>
      </c>
      <c r="U510">
        <v>12</v>
      </c>
      <c r="V510">
        <v>106.5</v>
      </c>
      <c r="W510">
        <v>260.68</v>
      </c>
      <c r="X510">
        <v>0.79164000000000001</v>
      </c>
      <c r="Y510">
        <v>94.316666666666663</v>
      </c>
      <c r="Z510">
        <v>6.2220705000000001</v>
      </c>
      <c r="AA510">
        <v>7.8597222222222216</v>
      </c>
      <c r="AB510">
        <v>169939.77</v>
      </c>
      <c r="AC510">
        <v>8</v>
      </c>
      <c r="AD510" s="1" t="s">
        <v>40</v>
      </c>
      <c r="AE510">
        <v>8</v>
      </c>
      <c r="AF510">
        <v>0</v>
      </c>
      <c r="AG510">
        <v>17.664473684210527</v>
      </c>
    </row>
    <row r="511" spans="1:33">
      <c r="A511" s="1" t="s">
        <v>530</v>
      </c>
      <c r="B511" s="1" t="s">
        <v>1577</v>
      </c>
      <c r="C511" s="2">
        <v>46769</v>
      </c>
      <c r="D511" s="1" t="s">
        <v>34</v>
      </c>
      <c r="E511">
        <v>10481</v>
      </c>
      <c r="F511" s="2">
        <v>46081</v>
      </c>
      <c r="G511" s="1" t="s">
        <v>531</v>
      </c>
      <c r="H511" s="1" t="s">
        <v>70</v>
      </c>
      <c r="I511" s="1" t="s">
        <v>37</v>
      </c>
      <c r="J511" s="1" t="s">
        <v>38</v>
      </c>
      <c r="K511" s="1" t="s">
        <v>39</v>
      </c>
      <c r="L511">
        <v>180</v>
      </c>
      <c r="M511">
        <v>58.3</v>
      </c>
      <c r="N511">
        <v>37.1</v>
      </c>
      <c r="O511">
        <v>30.5</v>
      </c>
      <c r="P511">
        <v>6.5970000000000001E-2</v>
      </c>
      <c r="Q511">
        <v>19.64</v>
      </c>
      <c r="R511">
        <v>10.01</v>
      </c>
      <c r="S511">
        <v>4</v>
      </c>
      <c r="T511">
        <v>3</v>
      </c>
      <c r="U511">
        <v>12</v>
      </c>
      <c r="V511">
        <v>106.5</v>
      </c>
      <c r="W511">
        <v>260.68</v>
      </c>
      <c r="X511">
        <v>0.79164000000000001</v>
      </c>
      <c r="Y511">
        <v>58.227777777777774</v>
      </c>
      <c r="Z511">
        <v>3.8412864999999998</v>
      </c>
      <c r="AA511">
        <v>4.8523148148148145</v>
      </c>
      <c r="AB511">
        <v>104914.81</v>
      </c>
      <c r="AC511">
        <v>5</v>
      </c>
      <c r="AD511" s="1" t="s">
        <v>40</v>
      </c>
      <c r="AE511">
        <v>5</v>
      </c>
      <c r="AF511">
        <v>0</v>
      </c>
      <c r="AG511">
        <v>22.631578947368421</v>
      </c>
    </row>
    <row r="512" spans="1:33">
      <c r="A512" s="1" t="s">
        <v>530</v>
      </c>
      <c r="B512" s="1" t="s">
        <v>1578</v>
      </c>
      <c r="C512" s="2">
        <v>47053</v>
      </c>
      <c r="D512" s="1" t="s">
        <v>34</v>
      </c>
      <c r="E512">
        <v>586</v>
      </c>
      <c r="F512" s="2">
        <v>46081</v>
      </c>
      <c r="G512" s="1" t="s">
        <v>531</v>
      </c>
      <c r="H512" s="1" t="s">
        <v>70</v>
      </c>
      <c r="I512" s="1" t="s">
        <v>37</v>
      </c>
      <c r="J512" s="1" t="s">
        <v>38</v>
      </c>
      <c r="K512" s="1" t="s">
        <v>39</v>
      </c>
      <c r="L512">
        <v>180</v>
      </c>
      <c r="M512">
        <v>58.3</v>
      </c>
      <c r="N512">
        <v>37.1</v>
      </c>
      <c r="O512">
        <v>30.5</v>
      </c>
      <c r="P512">
        <v>6.5970000000000001E-2</v>
      </c>
      <c r="Q512">
        <v>19.64</v>
      </c>
      <c r="R512">
        <v>10.01</v>
      </c>
      <c r="S512">
        <v>4</v>
      </c>
      <c r="T512">
        <v>3</v>
      </c>
      <c r="U512">
        <v>12</v>
      </c>
      <c r="V512">
        <v>106.5</v>
      </c>
      <c r="W512">
        <v>260.68</v>
      </c>
      <c r="X512">
        <v>0.79164000000000001</v>
      </c>
      <c r="Y512">
        <v>3.2555555555555555</v>
      </c>
      <c r="Z512">
        <v>0.21476899999999999</v>
      </c>
      <c r="AA512">
        <v>0.27129629629629631</v>
      </c>
      <c r="AB512">
        <v>5865.86</v>
      </c>
      <c r="AC512">
        <v>1</v>
      </c>
      <c r="AD512" s="1" t="s">
        <v>44</v>
      </c>
      <c r="AE512">
        <v>0</v>
      </c>
      <c r="AF512">
        <v>1</v>
      </c>
      <c r="AG512">
        <v>31.973684210526319</v>
      </c>
    </row>
    <row r="513" spans="1:33">
      <c r="A513" s="1" t="s">
        <v>530</v>
      </c>
      <c r="B513" s="1" t="s">
        <v>1579</v>
      </c>
      <c r="C513" s="2">
        <v>46430</v>
      </c>
      <c r="D513" s="1" t="s">
        <v>45</v>
      </c>
      <c r="E513">
        <v>661</v>
      </c>
      <c r="F513" s="2">
        <v>46081</v>
      </c>
      <c r="G513" s="1" t="s">
        <v>531</v>
      </c>
      <c r="H513" s="1" t="s">
        <v>70</v>
      </c>
      <c r="I513" s="1" t="s">
        <v>37</v>
      </c>
      <c r="J513" s="1" t="s">
        <v>38</v>
      </c>
      <c r="K513" s="1" t="s">
        <v>39</v>
      </c>
      <c r="L513">
        <v>180</v>
      </c>
      <c r="M513">
        <v>58.3</v>
      </c>
      <c r="N513">
        <v>37.1</v>
      </c>
      <c r="O513">
        <v>30.5</v>
      </c>
      <c r="P513">
        <v>6.5970000000000001E-2</v>
      </c>
      <c r="Q513">
        <v>19.64</v>
      </c>
      <c r="R513">
        <v>10.01</v>
      </c>
      <c r="S513">
        <v>4</v>
      </c>
      <c r="T513">
        <v>3</v>
      </c>
      <c r="U513">
        <v>12</v>
      </c>
      <c r="V513">
        <v>106.5</v>
      </c>
      <c r="W513">
        <v>260.68</v>
      </c>
      <c r="X513">
        <v>0.79164000000000001</v>
      </c>
      <c r="Y513">
        <v>3.6722222222222221</v>
      </c>
      <c r="Z513">
        <v>0.24225649999999999</v>
      </c>
      <c r="AA513">
        <v>0.30601851851851852</v>
      </c>
      <c r="AB513">
        <v>6616.61</v>
      </c>
      <c r="AC513">
        <v>1</v>
      </c>
      <c r="AD513" s="1" t="s">
        <v>44</v>
      </c>
      <c r="AE513">
        <v>0</v>
      </c>
      <c r="AF513">
        <v>1</v>
      </c>
      <c r="AG513">
        <v>11.480263157894738</v>
      </c>
    </row>
    <row r="514" spans="1:33">
      <c r="A514" s="1" t="s">
        <v>532</v>
      </c>
      <c r="B514" s="1" t="s">
        <v>1580</v>
      </c>
      <c r="C514" s="2">
        <v>47033</v>
      </c>
      <c r="D514" s="1" t="s">
        <v>34</v>
      </c>
      <c r="E514">
        <v>4886</v>
      </c>
      <c r="F514" s="2">
        <v>46081</v>
      </c>
      <c r="G514" s="1" t="s">
        <v>533</v>
      </c>
      <c r="H514" s="1" t="s">
        <v>48</v>
      </c>
      <c r="I514" s="1" t="s">
        <v>37</v>
      </c>
      <c r="J514" s="1" t="s">
        <v>38</v>
      </c>
      <c r="K514" s="1" t="s">
        <v>39</v>
      </c>
      <c r="L514">
        <v>100</v>
      </c>
      <c r="M514">
        <v>35.200000000000003</v>
      </c>
      <c r="N514">
        <v>36.4</v>
      </c>
      <c r="O514">
        <v>17.399999999999999</v>
      </c>
      <c r="P514">
        <v>2.2290000000000001E-2</v>
      </c>
      <c r="Q514">
        <v>6.31</v>
      </c>
      <c r="R514">
        <v>7.55</v>
      </c>
      <c r="S514">
        <v>5</v>
      </c>
      <c r="T514">
        <v>8</v>
      </c>
      <c r="U514">
        <v>40</v>
      </c>
      <c r="V514">
        <v>154.19999999999999</v>
      </c>
      <c r="W514">
        <v>277.39999999999998</v>
      </c>
      <c r="X514">
        <v>0.89160000000000006</v>
      </c>
      <c r="Y514">
        <v>48.86</v>
      </c>
      <c r="Z514">
        <v>1.0890894</v>
      </c>
      <c r="AA514">
        <v>1.2215</v>
      </c>
      <c r="AB514">
        <v>36889.299999999996</v>
      </c>
      <c r="AC514">
        <v>2</v>
      </c>
      <c r="AD514" s="1" t="s">
        <v>40</v>
      </c>
      <c r="AE514">
        <v>2</v>
      </c>
      <c r="AF514">
        <v>0</v>
      </c>
      <c r="AG514">
        <v>31.315789473684212</v>
      </c>
    </row>
    <row r="515" spans="1:33">
      <c r="A515" s="1" t="s">
        <v>534</v>
      </c>
      <c r="B515" s="1" t="s">
        <v>1581</v>
      </c>
      <c r="C515" s="2">
        <v>46453</v>
      </c>
      <c r="D515" s="1" t="s">
        <v>34</v>
      </c>
      <c r="E515">
        <v>8</v>
      </c>
      <c r="F515" s="2">
        <v>46081</v>
      </c>
      <c r="G515" s="1" t="s">
        <v>535</v>
      </c>
      <c r="H515" s="1" t="s">
        <v>52</v>
      </c>
      <c r="I515" s="1" t="s">
        <v>37</v>
      </c>
      <c r="J515" s="1" t="s">
        <v>38</v>
      </c>
      <c r="K515" s="1" t="s">
        <v>39</v>
      </c>
      <c r="L515">
        <v>60</v>
      </c>
      <c r="M515">
        <v>47.2</v>
      </c>
      <c r="N515">
        <v>38.5</v>
      </c>
      <c r="O515">
        <v>23.1</v>
      </c>
      <c r="P515">
        <v>4.1980000000000003E-2</v>
      </c>
      <c r="Q515">
        <v>10.47</v>
      </c>
      <c r="R515">
        <v>15.54</v>
      </c>
      <c r="S515">
        <v>6</v>
      </c>
      <c r="T515">
        <v>5</v>
      </c>
      <c r="U515">
        <v>30</v>
      </c>
      <c r="V515">
        <v>130.5</v>
      </c>
      <c r="W515">
        <v>339.1</v>
      </c>
      <c r="X515">
        <v>1.2594000000000001</v>
      </c>
      <c r="Y515">
        <v>0.13333333333333333</v>
      </c>
      <c r="Z515">
        <v>5.5973333333333335E-3</v>
      </c>
      <c r="AA515">
        <v>4.4444444444444444E-3</v>
      </c>
      <c r="AB515">
        <v>124.32</v>
      </c>
      <c r="AC515">
        <v>1</v>
      </c>
      <c r="AD515" s="1" t="s">
        <v>44</v>
      </c>
      <c r="AE515">
        <v>0</v>
      </c>
      <c r="AF515">
        <v>1</v>
      </c>
      <c r="AG515">
        <v>12.236842105263159</v>
      </c>
    </row>
    <row r="516" spans="1:33">
      <c r="A516" s="1" t="s">
        <v>536</v>
      </c>
      <c r="B516" s="1" t="s">
        <v>1582</v>
      </c>
      <c r="C516" s="2">
        <v>46871</v>
      </c>
      <c r="D516" s="1" t="s">
        <v>34</v>
      </c>
      <c r="E516">
        <v>59938</v>
      </c>
      <c r="F516" s="2">
        <v>46081</v>
      </c>
      <c r="G516" s="1" t="s">
        <v>537</v>
      </c>
      <c r="H516" s="1" t="s">
        <v>48</v>
      </c>
      <c r="I516" s="1" t="s">
        <v>37</v>
      </c>
      <c r="J516" s="1" t="s">
        <v>38</v>
      </c>
      <c r="K516" s="1" t="s">
        <v>39</v>
      </c>
      <c r="L516">
        <v>240</v>
      </c>
      <c r="M516">
        <v>54</v>
      </c>
      <c r="N516">
        <v>26.8</v>
      </c>
      <c r="O516">
        <v>32.6</v>
      </c>
      <c r="P516">
        <v>4.718E-2</v>
      </c>
      <c r="Q516">
        <v>9.4700000000000006</v>
      </c>
      <c r="R516">
        <v>25</v>
      </c>
      <c r="S516">
        <v>6</v>
      </c>
      <c r="T516">
        <v>3</v>
      </c>
      <c r="U516">
        <v>18</v>
      </c>
      <c r="V516">
        <v>112.8</v>
      </c>
      <c r="W516">
        <v>195.46</v>
      </c>
      <c r="X516">
        <v>0.84923999999999999</v>
      </c>
      <c r="Y516">
        <v>249.74166666666667</v>
      </c>
      <c r="Z516">
        <v>11.782811833333334</v>
      </c>
      <c r="AA516">
        <v>13.874537037037037</v>
      </c>
      <c r="AB516">
        <v>1498450</v>
      </c>
      <c r="AC516">
        <v>14</v>
      </c>
      <c r="AD516" s="1" t="s">
        <v>40</v>
      </c>
      <c r="AE516">
        <v>14</v>
      </c>
      <c r="AF516">
        <v>0</v>
      </c>
      <c r="AG516">
        <v>25.986842105263158</v>
      </c>
    </row>
    <row r="517" spans="1:33">
      <c r="A517" s="1" t="s">
        <v>538</v>
      </c>
      <c r="B517" s="1" t="s">
        <v>1583</v>
      </c>
      <c r="C517" s="2">
        <v>46851</v>
      </c>
      <c r="D517" s="1" t="s">
        <v>34</v>
      </c>
      <c r="E517">
        <v>11019</v>
      </c>
      <c r="F517" s="2">
        <v>46081</v>
      </c>
      <c r="G517" s="1" t="s">
        <v>539</v>
      </c>
      <c r="H517" s="1" t="s">
        <v>36</v>
      </c>
      <c r="I517" s="1" t="s">
        <v>37</v>
      </c>
      <c r="J517" s="1" t="s">
        <v>38</v>
      </c>
      <c r="K517" s="1" t="s">
        <v>39</v>
      </c>
      <c r="L517">
        <v>100</v>
      </c>
      <c r="M517">
        <v>38.6</v>
      </c>
      <c r="N517">
        <v>31.9</v>
      </c>
      <c r="O517">
        <v>31.7</v>
      </c>
      <c r="P517">
        <v>3.9030000000000002E-2</v>
      </c>
      <c r="Q517">
        <v>10.96</v>
      </c>
      <c r="R517">
        <v>2.34</v>
      </c>
      <c r="S517">
        <v>8</v>
      </c>
      <c r="T517">
        <v>3</v>
      </c>
      <c r="U517">
        <v>24</v>
      </c>
      <c r="V517">
        <v>110.1</v>
      </c>
      <c r="W517">
        <v>288.04000000000002</v>
      </c>
      <c r="X517">
        <v>0.93672</v>
      </c>
      <c r="Y517">
        <v>110.19</v>
      </c>
      <c r="Z517">
        <v>4.3007157000000005</v>
      </c>
      <c r="AA517">
        <v>4.5912499999999996</v>
      </c>
      <c r="AB517">
        <v>25784.46</v>
      </c>
      <c r="AC517">
        <v>5</v>
      </c>
      <c r="AD517" s="1" t="s">
        <v>40</v>
      </c>
      <c r="AE517">
        <v>5</v>
      </c>
      <c r="AF517">
        <v>0</v>
      </c>
      <c r="AG517">
        <v>25.328947368421055</v>
      </c>
    </row>
    <row r="518" spans="1:33">
      <c r="A518" s="1" t="s">
        <v>540</v>
      </c>
      <c r="B518" s="1" t="s">
        <v>1584</v>
      </c>
      <c r="C518" s="2">
        <v>47055</v>
      </c>
      <c r="D518" s="1" t="s">
        <v>34</v>
      </c>
      <c r="E518">
        <v>5865</v>
      </c>
      <c r="F518" s="2">
        <v>46081</v>
      </c>
      <c r="G518" s="1" t="s">
        <v>541</v>
      </c>
      <c r="H518" s="1" t="s">
        <v>67</v>
      </c>
      <c r="I518" s="1" t="s">
        <v>37</v>
      </c>
      <c r="J518" s="1" t="s">
        <v>38</v>
      </c>
      <c r="K518" s="1" t="s">
        <v>39</v>
      </c>
      <c r="L518">
        <v>240</v>
      </c>
      <c r="M518">
        <v>51.7</v>
      </c>
      <c r="N518">
        <v>26.6</v>
      </c>
      <c r="O518">
        <v>18.399999999999999</v>
      </c>
      <c r="P518">
        <v>2.5304047999999999E-2</v>
      </c>
      <c r="Q518">
        <v>5.5</v>
      </c>
      <c r="R518">
        <v>22.07</v>
      </c>
      <c r="S518">
        <v>6</v>
      </c>
      <c r="T518">
        <v>5</v>
      </c>
      <c r="U518">
        <v>30</v>
      </c>
      <c r="V518">
        <v>107</v>
      </c>
      <c r="W518">
        <v>190</v>
      </c>
      <c r="X518">
        <v>0.75912144000000004</v>
      </c>
      <c r="Y518">
        <v>24.4375</v>
      </c>
      <c r="Z518">
        <v>0.61836767299999995</v>
      </c>
      <c r="AA518">
        <v>0.81458333333333333</v>
      </c>
      <c r="AB518">
        <v>129440.55</v>
      </c>
      <c r="AC518">
        <v>1</v>
      </c>
      <c r="AD518" s="1" t="s">
        <v>40</v>
      </c>
      <c r="AE518">
        <v>1</v>
      </c>
      <c r="AF518">
        <v>0</v>
      </c>
      <c r="AG518">
        <v>32.039473684210527</v>
      </c>
    </row>
    <row r="519" spans="1:33">
      <c r="A519" s="1" t="s">
        <v>540</v>
      </c>
      <c r="B519" s="1" t="s">
        <v>1585</v>
      </c>
      <c r="C519" s="2">
        <v>46956</v>
      </c>
      <c r="D519" s="1" t="s">
        <v>34</v>
      </c>
      <c r="E519">
        <v>2719</v>
      </c>
      <c r="F519" s="2">
        <v>46081</v>
      </c>
      <c r="G519" s="1" t="s">
        <v>541</v>
      </c>
      <c r="H519" s="1" t="s">
        <v>67</v>
      </c>
      <c r="I519" s="1" t="s">
        <v>37</v>
      </c>
      <c r="J519" s="1" t="s">
        <v>38</v>
      </c>
      <c r="K519" s="1" t="s">
        <v>39</v>
      </c>
      <c r="L519">
        <v>240</v>
      </c>
      <c r="M519">
        <v>51.7</v>
      </c>
      <c r="N519">
        <v>26.6</v>
      </c>
      <c r="O519">
        <v>18.399999999999999</v>
      </c>
      <c r="P519">
        <v>2.5304047999999999E-2</v>
      </c>
      <c r="Q519">
        <v>5.5</v>
      </c>
      <c r="R519">
        <v>22.07</v>
      </c>
      <c r="S519">
        <v>6</v>
      </c>
      <c r="T519">
        <v>5</v>
      </c>
      <c r="U519">
        <v>30</v>
      </c>
      <c r="V519">
        <v>107</v>
      </c>
      <c r="W519">
        <v>190</v>
      </c>
      <c r="X519">
        <v>0.75912144000000004</v>
      </c>
      <c r="Y519">
        <v>11.329166666666667</v>
      </c>
      <c r="Z519">
        <v>0.28667377713333336</v>
      </c>
      <c r="AA519">
        <v>0.37763888888888891</v>
      </c>
      <c r="AB519">
        <v>60008.33</v>
      </c>
      <c r="AC519">
        <v>1</v>
      </c>
      <c r="AD519" s="1" t="s">
        <v>40</v>
      </c>
      <c r="AE519">
        <v>1</v>
      </c>
      <c r="AF519">
        <v>0</v>
      </c>
      <c r="AG519">
        <v>28.782894736842106</v>
      </c>
    </row>
    <row r="520" spans="1:33">
      <c r="A520" s="1" t="s">
        <v>540</v>
      </c>
      <c r="B520" s="1" t="s">
        <v>1586</v>
      </c>
      <c r="C520" s="2">
        <v>46369</v>
      </c>
      <c r="D520" s="1" t="s">
        <v>34</v>
      </c>
      <c r="E520">
        <v>2536</v>
      </c>
      <c r="F520" s="2">
        <v>46081</v>
      </c>
      <c r="G520" s="1" t="s">
        <v>541</v>
      </c>
      <c r="H520" s="1" t="s">
        <v>67</v>
      </c>
      <c r="I520" s="1" t="s">
        <v>37</v>
      </c>
      <c r="J520" s="1" t="s">
        <v>38</v>
      </c>
      <c r="K520" s="1" t="s">
        <v>39</v>
      </c>
      <c r="L520">
        <v>240</v>
      </c>
      <c r="M520">
        <v>51.7</v>
      </c>
      <c r="N520">
        <v>26.6</v>
      </c>
      <c r="O520">
        <v>18.399999999999999</v>
      </c>
      <c r="P520">
        <v>2.5304047999999999E-2</v>
      </c>
      <c r="Q520">
        <v>5.5</v>
      </c>
      <c r="R520">
        <v>22.07</v>
      </c>
      <c r="S520">
        <v>6</v>
      </c>
      <c r="T520">
        <v>5</v>
      </c>
      <c r="U520">
        <v>30</v>
      </c>
      <c r="V520">
        <v>107</v>
      </c>
      <c r="W520">
        <v>190</v>
      </c>
      <c r="X520">
        <v>0.75912144000000004</v>
      </c>
      <c r="Y520">
        <v>10.566666666666666</v>
      </c>
      <c r="Z520">
        <v>0.26737944053333335</v>
      </c>
      <c r="AA520">
        <v>0.35222222222222221</v>
      </c>
      <c r="AB520">
        <v>55969.520000000004</v>
      </c>
      <c r="AC520">
        <v>1</v>
      </c>
      <c r="AD520" s="1" t="s">
        <v>40</v>
      </c>
      <c r="AE520">
        <v>1</v>
      </c>
      <c r="AF520">
        <v>0</v>
      </c>
      <c r="AG520">
        <v>9.4736842105263168</v>
      </c>
    </row>
    <row r="521" spans="1:33">
      <c r="A521" s="1" t="s">
        <v>542</v>
      </c>
      <c r="B521" s="1" t="s">
        <v>1587</v>
      </c>
      <c r="C521" s="2">
        <v>47076</v>
      </c>
      <c r="D521" s="1" t="s">
        <v>34</v>
      </c>
      <c r="E521">
        <v>1969</v>
      </c>
      <c r="F521" s="2">
        <v>46081</v>
      </c>
      <c r="G521" s="1" t="s">
        <v>543</v>
      </c>
      <c r="H521" s="1" t="s">
        <v>70</v>
      </c>
      <c r="I521" s="1" t="s">
        <v>37</v>
      </c>
      <c r="J521" s="1" t="s">
        <v>38</v>
      </c>
      <c r="K521" s="1" t="s">
        <v>39</v>
      </c>
      <c r="L521">
        <v>180</v>
      </c>
      <c r="M521">
        <v>42.4</v>
      </c>
      <c r="N521">
        <v>36</v>
      </c>
      <c r="O521">
        <v>17.2</v>
      </c>
      <c r="P521">
        <v>2.6249999999999999E-2</v>
      </c>
      <c r="Q521">
        <v>5.2</v>
      </c>
      <c r="R521">
        <v>7.67</v>
      </c>
      <c r="S521">
        <v>6</v>
      </c>
      <c r="T521">
        <v>5</v>
      </c>
      <c r="U521">
        <v>30</v>
      </c>
      <c r="V521">
        <v>101</v>
      </c>
      <c r="W521">
        <v>181</v>
      </c>
      <c r="X521">
        <v>0.78749999999999998</v>
      </c>
      <c r="Y521">
        <v>10.938888888888888</v>
      </c>
      <c r="Z521">
        <v>0.28714583333333332</v>
      </c>
      <c r="AA521">
        <v>0.36462962962962958</v>
      </c>
      <c r="AB521">
        <v>15102.23</v>
      </c>
      <c r="AC521">
        <v>1</v>
      </c>
      <c r="AD521" s="1" t="s">
        <v>40</v>
      </c>
      <c r="AE521">
        <v>1</v>
      </c>
      <c r="AF521">
        <v>0</v>
      </c>
      <c r="AG521">
        <v>32.73026315789474</v>
      </c>
    </row>
    <row r="522" spans="1:33">
      <c r="A522" s="1" t="s">
        <v>542</v>
      </c>
      <c r="B522" s="1" t="s">
        <v>1588</v>
      </c>
      <c r="C522" s="2">
        <v>46291</v>
      </c>
      <c r="D522" s="1" t="s">
        <v>49</v>
      </c>
      <c r="E522">
        <v>98</v>
      </c>
      <c r="F522" s="2">
        <v>46081</v>
      </c>
      <c r="G522" s="1" t="s">
        <v>543</v>
      </c>
      <c r="H522" s="1" t="s">
        <v>70</v>
      </c>
      <c r="I522" s="1" t="s">
        <v>37</v>
      </c>
      <c r="J522" s="1" t="s">
        <v>38</v>
      </c>
      <c r="K522" s="1" t="s">
        <v>39</v>
      </c>
      <c r="L522">
        <v>180</v>
      </c>
      <c r="M522">
        <v>42.4</v>
      </c>
      <c r="N522">
        <v>36</v>
      </c>
      <c r="O522">
        <v>17.2</v>
      </c>
      <c r="P522">
        <v>2.6249999999999999E-2</v>
      </c>
      <c r="Q522">
        <v>5.2</v>
      </c>
      <c r="R522">
        <v>7.67</v>
      </c>
      <c r="S522">
        <v>6</v>
      </c>
      <c r="T522">
        <v>5</v>
      </c>
      <c r="U522">
        <v>30</v>
      </c>
      <c r="V522">
        <v>101</v>
      </c>
      <c r="W522">
        <v>181</v>
      </c>
      <c r="X522">
        <v>0.78749999999999998</v>
      </c>
      <c r="Y522">
        <v>0.5444444444444444</v>
      </c>
      <c r="Z522">
        <v>1.4291666666666664E-2</v>
      </c>
      <c r="AA522">
        <v>1.8148148148148146E-2</v>
      </c>
      <c r="AB522">
        <v>751.66</v>
      </c>
      <c r="AC522">
        <v>1</v>
      </c>
      <c r="AD522" s="1" t="s">
        <v>44</v>
      </c>
      <c r="AE522">
        <v>0</v>
      </c>
      <c r="AF522">
        <v>1</v>
      </c>
      <c r="AG522">
        <v>6.9078947368421053</v>
      </c>
    </row>
    <row r="523" spans="1:33">
      <c r="A523" s="1" t="s">
        <v>544</v>
      </c>
      <c r="B523" s="1" t="s">
        <v>1589</v>
      </c>
      <c r="C523" s="2">
        <v>46640</v>
      </c>
      <c r="D523" s="1" t="s">
        <v>34</v>
      </c>
      <c r="E523">
        <v>4507</v>
      </c>
      <c r="F523" s="2">
        <v>46081</v>
      </c>
      <c r="G523" s="1" t="s">
        <v>545</v>
      </c>
      <c r="H523" s="1" t="s">
        <v>52</v>
      </c>
      <c r="I523" s="1" t="s">
        <v>37</v>
      </c>
      <c r="J523" s="1" t="s">
        <v>38</v>
      </c>
      <c r="K523" s="1" t="s">
        <v>39</v>
      </c>
      <c r="L523">
        <v>240</v>
      </c>
      <c r="M523">
        <v>52</v>
      </c>
      <c r="N523">
        <v>38</v>
      </c>
      <c r="O523">
        <v>31.7</v>
      </c>
      <c r="P523">
        <v>6.2640000000000001E-2</v>
      </c>
      <c r="Q523">
        <v>17.399999999999999</v>
      </c>
      <c r="R523">
        <v>10.1</v>
      </c>
      <c r="S523">
        <v>3</v>
      </c>
      <c r="T523">
        <v>4</v>
      </c>
      <c r="U523">
        <v>12</v>
      </c>
      <c r="V523">
        <v>141.80000000000001</v>
      </c>
      <c r="W523">
        <v>233.8</v>
      </c>
      <c r="X523">
        <v>0.75168000000000001</v>
      </c>
      <c r="Y523">
        <v>18.779166666666665</v>
      </c>
      <c r="Z523">
        <v>1.1763269999999999</v>
      </c>
      <c r="AA523">
        <v>1.5649305555555555</v>
      </c>
      <c r="AB523">
        <v>45520.7</v>
      </c>
      <c r="AC523">
        <v>2</v>
      </c>
      <c r="AD523" s="1" t="s">
        <v>40</v>
      </c>
      <c r="AE523">
        <v>2</v>
      </c>
      <c r="AF523">
        <v>0</v>
      </c>
      <c r="AG523">
        <v>18.388157894736842</v>
      </c>
    </row>
    <row r="524" spans="1:33">
      <c r="A524" s="1" t="s">
        <v>546</v>
      </c>
      <c r="B524" s="1" t="s">
        <v>1590</v>
      </c>
      <c r="C524" s="2">
        <v>47087</v>
      </c>
      <c r="D524" s="1" t="s">
        <v>34</v>
      </c>
      <c r="E524">
        <v>59229</v>
      </c>
      <c r="F524" s="2">
        <v>46081</v>
      </c>
      <c r="G524" s="1" t="s">
        <v>547</v>
      </c>
      <c r="H524" s="1" t="s">
        <v>48</v>
      </c>
      <c r="I524" s="1" t="s">
        <v>37</v>
      </c>
      <c r="J524" s="1" t="s">
        <v>38</v>
      </c>
      <c r="K524" s="1" t="s">
        <v>39</v>
      </c>
      <c r="L524">
        <v>240</v>
      </c>
      <c r="M524">
        <v>47.1</v>
      </c>
      <c r="N524">
        <v>26.5</v>
      </c>
      <c r="O524">
        <v>19.2</v>
      </c>
      <c r="P524">
        <v>2.3959999999999999E-2</v>
      </c>
      <c r="Q524">
        <v>3.92</v>
      </c>
      <c r="R524">
        <v>24.76</v>
      </c>
      <c r="S524">
        <v>8</v>
      </c>
      <c r="T524">
        <v>5</v>
      </c>
      <c r="U524">
        <v>40</v>
      </c>
      <c r="V524">
        <v>111</v>
      </c>
      <c r="W524">
        <v>181.8</v>
      </c>
      <c r="X524">
        <v>0.95840000000000003</v>
      </c>
      <c r="Y524">
        <v>246.78749999999999</v>
      </c>
      <c r="Z524">
        <v>5.9130284999999994</v>
      </c>
      <c r="AA524">
        <v>6.1696875000000002</v>
      </c>
      <c r="AB524">
        <v>1466510.04</v>
      </c>
      <c r="AC524">
        <v>7</v>
      </c>
      <c r="AD524" s="1" t="s">
        <v>40</v>
      </c>
      <c r="AE524">
        <v>7</v>
      </c>
      <c r="AF524">
        <v>0</v>
      </c>
      <c r="AG524">
        <v>33.092105263157897</v>
      </c>
    </row>
    <row r="525" spans="1:33">
      <c r="A525" s="1" t="s">
        <v>546</v>
      </c>
      <c r="B525" s="1" t="s">
        <v>1591</v>
      </c>
      <c r="C525" s="2">
        <v>47059</v>
      </c>
      <c r="D525" s="1" t="s">
        <v>34</v>
      </c>
      <c r="E525">
        <v>4700</v>
      </c>
      <c r="F525" s="2">
        <v>46081</v>
      </c>
      <c r="G525" s="1" t="s">
        <v>547</v>
      </c>
      <c r="H525" s="1" t="s">
        <v>48</v>
      </c>
      <c r="I525" s="1" t="s">
        <v>37</v>
      </c>
      <c r="J525" s="1" t="s">
        <v>38</v>
      </c>
      <c r="K525" s="1" t="s">
        <v>39</v>
      </c>
      <c r="L525">
        <v>240</v>
      </c>
      <c r="M525">
        <v>47.1</v>
      </c>
      <c r="N525">
        <v>26.5</v>
      </c>
      <c r="O525">
        <v>19.2</v>
      </c>
      <c r="P525">
        <v>2.3959999999999999E-2</v>
      </c>
      <c r="Q525">
        <v>3.92</v>
      </c>
      <c r="R525">
        <v>24.76</v>
      </c>
      <c r="S525">
        <v>8</v>
      </c>
      <c r="T525">
        <v>5</v>
      </c>
      <c r="U525">
        <v>40</v>
      </c>
      <c r="V525">
        <v>111</v>
      </c>
      <c r="W525">
        <v>181.8</v>
      </c>
      <c r="X525">
        <v>0.95840000000000003</v>
      </c>
      <c r="Y525">
        <v>19.583333333333332</v>
      </c>
      <c r="Z525">
        <v>0.46921666666666662</v>
      </c>
      <c r="AA525">
        <v>0.48958333333333331</v>
      </c>
      <c r="AB525">
        <v>116372.00000000001</v>
      </c>
      <c r="AC525">
        <v>1</v>
      </c>
      <c r="AD525" s="1" t="s">
        <v>40</v>
      </c>
      <c r="AE525">
        <v>1</v>
      </c>
      <c r="AF525">
        <v>0</v>
      </c>
      <c r="AG525">
        <v>32.171052631578952</v>
      </c>
    </row>
    <row r="526" spans="1:33">
      <c r="A526" s="1" t="s">
        <v>548</v>
      </c>
      <c r="B526" s="1" t="s">
        <v>1592</v>
      </c>
      <c r="C526" s="2">
        <v>47044</v>
      </c>
      <c r="D526" s="1" t="s">
        <v>34</v>
      </c>
      <c r="E526">
        <v>1462</v>
      </c>
      <c r="F526" s="2">
        <v>46081</v>
      </c>
      <c r="G526" s="1" t="s">
        <v>549</v>
      </c>
      <c r="H526" s="1" t="s">
        <v>70</v>
      </c>
      <c r="I526" s="1" t="s">
        <v>37</v>
      </c>
      <c r="J526" s="1" t="s">
        <v>38</v>
      </c>
      <c r="K526" s="1" t="s">
        <v>39</v>
      </c>
      <c r="L526">
        <v>120</v>
      </c>
      <c r="M526">
        <v>57.1</v>
      </c>
      <c r="N526">
        <v>32.799999999999997</v>
      </c>
      <c r="O526">
        <v>31.5</v>
      </c>
      <c r="P526">
        <v>5.8999999999999997E-2</v>
      </c>
      <c r="Q526">
        <v>10.039999999999999</v>
      </c>
      <c r="R526">
        <v>16.62</v>
      </c>
      <c r="S526">
        <v>6</v>
      </c>
      <c r="T526">
        <v>4</v>
      </c>
      <c r="U526">
        <v>24</v>
      </c>
      <c r="V526">
        <v>141</v>
      </c>
      <c r="W526">
        <v>265.95999999999998</v>
      </c>
      <c r="X526">
        <v>1.4159999999999999</v>
      </c>
      <c r="Y526">
        <v>12.183333333333334</v>
      </c>
      <c r="Z526">
        <v>0.71881666666666666</v>
      </c>
      <c r="AA526">
        <v>0.50763888888888886</v>
      </c>
      <c r="AB526">
        <v>24298.440000000002</v>
      </c>
      <c r="AC526">
        <v>1</v>
      </c>
      <c r="AD526" s="1" t="s">
        <v>40</v>
      </c>
      <c r="AE526">
        <v>1</v>
      </c>
      <c r="AF526">
        <v>0</v>
      </c>
      <c r="AG526">
        <v>31.67763157894737</v>
      </c>
    </row>
    <row r="527" spans="1:33">
      <c r="A527" s="1" t="s">
        <v>548</v>
      </c>
      <c r="B527" s="1" t="s">
        <v>1593</v>
      </c>
      <c r="C527" s="2">
        <v>46756</v>
      </c>
      <c r="D527" s="1" t="s">
        <v>34</v>
      </c>
      <c r="E527">
        <v>1615</v>
      </c>
      <c r="F527" s="2">
        <v>46081</v>
      </c>
      <c r="G527" s="1" t="s">
        <v>549</v>
      </c>
      <c r="H527" s="1" t="s">
        <v>70</v>
      </c>
      <c r="I527" s="1" t="s">
        <v>37</v>
      </c>
      <c r="J527" s="1" t="s">
        <v>38</v>
      </c>
      <c r="K527" s="1" t="s">
        <v>39</v>
      </c>
      <c r="L527">
        <v>120</v>
      </c>
      <c r="M527">
        <v>57.1</v>
      </c>
      <c r="N527">
        <v>32.799999999999997</v>
      </c>
      <c r="O527">
        <v>31.5</v>
      </c>
      <c r="P527">
        <v>5.8999999999999997E-2</v>
      </c>
      <c r="Q527">
        <v>10.039999999999999</v>
      </c>
      <c r="R527">
        <v>16.62</v>
      </c>
      <c r="S527">
        <v>6</v>
      </c>
      <c r="T527">
        <v>4</v>
      </c>
      <c r="U527">
        <v>24</v>
      </c>
      <c r="V527">
        <v>141</v>
      </c>
      <c r="W527">
        <v>265.95999999999998</v>
      </c>
      <c r="X527">
        <v>1.4159999999999999</v>
      </c>
      <c r="Y527">
        <v>13.458333333333334</v>
      </c>
      <c r="Z527">
        <v>0.79404166666666665</v>
      </c>
      <c r="AA527">
        <v>0.56076388888888895</v>
      </c>
      <c r="AB527">
        <v>26841.300000000003</v>
      </c>
      <c r="AC527">
        <v>1</v>
      </c>
      <c r="AD527" s="1" t="s">
        <v>40</v>
      </c>
      <c r="AE527">
        <v>1</v>
      </c>
      <c r="AF527">
        <v>0</v>
      </c>
      <c r="AG527">
        <v>22.203947368421055</v>
      </c>
    </row>
    <row r="528" spans="1:33">
      <c r="A528" s="1" t="s">
        <v>548</v>
      </c>
      <c r="B528" s="1" t="s">
        <v>1594</v>
      </c>
      <c r="C528" s="2">
        <v>45899</v>
      </c>
      <c r="D528" s="1" t="s">
        <v>73</v>
      </c>
      <c r="E528">
        <v>246</v>
      </c>
      <c r="F528" s="2">
        <v>46081</v>
      </c>
      <c r="G528" s="1" t="s">
        <v>549</v>
      </c>
      <c r="H528" s="1" t="s">
        <v>70</v>
      </c>
      <c r="I528" s="1" t="s">
        <v>37</v>
      </c>
      <c r="J528" s="1" t="s">
        <v>38</v>
      </c>
      <c r="K528" s="1" t="s">
        <v>39</v>
      </c>
      <c r="L528">
        <v>120</v>
      </c>
      <c r="M528">
        <v>57.1</v>
      </c>
      <c r="N528">
        <v>32.799999999999997</v>
      </c>
      <c r="O528">
        <v>31.5</v>
      </c>
      <c r="P528">
        <v>5.8999999999999997E-2</v>
      </c>
      <c r="Q528">
        <v>10.039999999999999</v>
      </c>
      <c r="R528">
        <v>16.62</v>
      </c>
      <c r="S528">
        <v>6</v>
      </c>
      <c r="T528">
        <v>4</v>
      </c>
      <c r="U528">
        <v>24</v>
      </c>
      <c r="V528">
        <v>141</v>
      </c>
      <c r="W528">
        <v>265.95999999999998</v>
      </c>
      <c r="X528">
        <v>1.4159999999999999</v>
      </c>
      <c r="Y528">
        <v>2.0499999999999998</v>
      </c>
      <c r="Z528">
        <v>0.12094999999999999</v>
      </c>
      <c r="AA528">
        <v>8.5416666666666655E-2</v>
      </c>
      <c r="AB528">
        <v>4088.5200000000004</v>
      </c>
      <c r="AC528">
        <v>1</v>
      </c>
      <c r="AD528" s="1" t="s">
        <v>74</v>
      </c>
      <c r="AE528">
        <v>0</v>
      </c>
      <c r="AF528">
        <v>0</v>
      </c>
      <c r="AG528">
        <v>-5.9868421052631584</v>
      </c>
    </row>
    <row r="529" spans="1:33">
      <c r="A529" s="1" t="s">
        <v>550</v>
      </c>
      <c r="B529" s="1" t="s">
        <v>1595</v>
      </c>
      <c r="C529" s="2">
        <v>46351</v>
      </c>
      <c r="D529" s="1" t="s">
        <v>34</v>
      </c>
      <c r="E529">
        <v>2873</v>
      </c>
      <c r="F529" s="2">
        <v>46081</v>
      </c>
      <c r="G529" s="1" t="s">
        <v>551</v>
      </c>
      <c r="H529" s="1" t="s">
        <v>43</v>
      </c>
      <c r="I529" s="1" t="s">
        <v>37</v>
      </c>
      <c r="J529" s="1" t="s">
        <v>38</v>
      </c>
      <c r="K529" s="1" t="s">
        <v>39</v>
      </c>
      <c r="L529">
        <v>120</v>
      </c>
      <c r="M529">
        <v>55.3</v>
      </c>
      <c r="N529">
        <v>25.9</v>
      </c>
      <c r="O529">
        <v>16.7</v>
      </c>
      <c r="P529">
        <v>2.392E-2</v>
      </c>
      <c r="Q529">
        <v>3.92</v>
      </c>
      <c r="R529">
        <v>19.34</v>
      </c>
      <c r="S529">
        <v>6</v>
      </c>
      <c r="T529">
        <v>5</v>
      </c>
      <c r="U529">
        <v>30</v>
      </c>
      <c r="V529">
        <v>98.5</v>
      </c>
      <c r="W529">
        <v>142.6</v>
      </c>
      <c r="X529">
        <v>0.71760000000000002</v>
      </c>
      <c r="Y529">
        <v>23.941666666666666</v>
      </c>
      <c r="Z529">
        <v>0.57268466666666662</v>
      </c>
      <c r="AA529">
        <v>0.79805555555555552</v>
      </c>
      <c r="AB529">
        <v>55563.82</v>
      </c>
      <c r="AC529">
        <v>1</v>
      </c>
      <c r="AD529" s="1" t="s">
        <v>40</v>
      </c>
      <c r="AE529">
        <v>1</v>
      </c>
      <c r="AF529">
        <v>0</v>
      </c>
      <c r="AG529">
        <v>8.8815789473684212</v>
      </c>
    </row>
    <row r="530" spans="1:33">
      <c r="A530" s="1" t="s">
        <v>550</v>
      </c>
      <c r="B530" s="1" t="s">
        <v>1596</v>
      </c>
      <c r="C530" s="2">
        <v>46765</v>
      </c>
      <c r="D530" s="1" t="s">
        <v>34</v>
      </c>
      <c r="E530">
        <v>3875</v>
      </c>
      <c r="F530" s="2">
        <v>46081</v>
      </c>
      <c r="G530" s="1" t="s">
        <v>551</v>
      </c>
      <c r="H530" s="1" t="s">
        <v>43</v>
      </c>
      <c r="I530" s="1" t="s">
        <v>37</v>
      </c>
      <c r="J530" s="1" t="s">
        <v>38</v>
      </c>
      <c r="K530" s="1" t="s">
        <v>39</v>
      </c>
      <c r="L530">
        <v>120</v>
      </c>
      <c r="M530">
        <v>55.3</v>
      </c>
      <c r="N530">
        <v>25.9</v>
      </c>
      <c r="O530">
        <v>16.7</v>
      </c>
      <c r="P530">
        <v>2.392E-2</v>
      </c>
      <c r="Q530">
        <v>3.92</v>
      </c>
      <c r="R530">
        <v>19.34</v>
      </c>
      <c r="S530">
        <v>6</v>
      </c>
      <c r="T530">
        <v>5</v>
      </c>
      <c r="U530">
        <v>30</v>
      </c>
      <c r="V530">
        <v>98.5</v>
      </c>
      <c r="W530">
        <v>142.6</v>
      </c>
      <c r="X530">
        <v>0.71760000000000002</v>
      </c>
      <c r="Y530">
        <v>32.291666666666664</v>
      </c>
      <c r="Z530">
        <v>0.77241666666666664</v>
      </c>
      <c r="AA530">
        <v>1.0763888888888888</v>
      </c>
      <c r="AB530">
        <v>74942.5</v>
      </c>
      <c r="AC530">
        <v>2</v>
      </c>
      <c r="AD530" s="1" t="s">
        <v>40</v>
      </c>
      <c r="AE530">
        <v>2</v>
      </c>
      <c r="AF530">
        <v>0</v>
      </c>
      <c r="AG530">
        <v>22.5</v>
      </c>
    </row>
    <row r="531" spans="1:33">
      <c r="A531" s="1" t="s">
        <v>550</v>
      </c>
      <c r="B531" s="1" t="s">
        <v>1597</v>
      </c>
      <c r="C531" s="2">
        <v>47047</v>
      </c>
      <c r="D531" s="1" t="s">
        <v>34</v>
      </c>
      <c r="E531">
        <v>2210</v>
      </c>
      <c r="F531" s="2">
        <v>46081</v>
      </c>
      <c r="G531" s="1" t="s">
        <v>551</v>
      </c>
      <c r="H531" s="1" t="s">
        <v>43</v>
      </c>
      <c r="I531" s="1" t="s">
        <v>37</v>
      </c>
      <c r="J531" s="1" t="s">
        <v>38</v>
      </c>
      <c r="K531" s="1" t="s">
        <v>39</v>
      </c>
      <c r="L531">
        <v>120</v>
      </c>
      <c r="M531">
        <v>55.3</v>
      </c>
      <c r="N531">
        <v>25.9</v>
      </c>
      <c r="O531">
        <v>16.7</v>
      </c>
      <c r="P531">
        <v>2.392E-2</v>
      </c>
      <c r="Q531">
        <v>3.92</v>
      </c>
      <c r="R531">
        <v>19.34</v>
      </c>
      <c r="S531">
        <v>6</v>
      </c>
      <c r="T531">
        <v>5</v>
      </c>
      <c r="U531">
        <v>30</v>
      </c>
      <c r="V531">
        <v>98.5</v>
      </c>
      <c r="W531">
        <v>142.6</v>
      </c>
      <c r="X531">
        <v>0.71760000000000002</v>
      </c>
      <c r="Y531">
        <v>18.416666666666668</v>
      </c>
      <c r="Z531">
        <v>0.44052666666666668</v>
      </c>
      <c r="AA531">
        <v>0.61388888888888893</v>
      </c>
      <c r="AB531">
        <v>42741.4</v>
      </c>
      <c r="AC531">
        <v>1</v>
      </c>
      <c r="AD531" s="1" t="s">
        <v>40</v>
      </c>
      <c r="AE531">
        <v>1</v>
      </c>
      <c r="AF531">
        <v>0</v>
      </c>
      <c r="AG531">
        <v>31.776315789473685</v>
      </c>
    </row>
    <row r="532" spans="1:33">
      <c r="A532" s="1" t="s">
        <v>550</v>
      </c>
      <c r="B532" s="1" t="s">
        <v>1598</v>
      </c>
      <c r="C532" s="2">
        <v>47111</v>
      </c>
      <c r="D532" s="1" t="s">
        <v>34</v>
      </c>
      <c r="E532">
        <v>2691</v>
      </c>
      <c r="F532" s="2">
        <v>46081</v>
      </c>
      <c r="G532" s="1" t="s">
        <v>551</v>
      </c>
      <c r="H532" s="1" t="s">
        <v>43</v>
      </c>
      <c r="I532" s="1" t="s">
        <v>37</v>
      </c>
      <c r="J532" s="1" t="s">
        <v>38</v>
      </c>
      <c r="K532" s="1" t="s">
        <v>39</v>
      </c>
      <c r="L532">
        <v>120</v>
      </c>
      <c r="M532">
        <v>55.3</v>
      </c>
      <c r="N532">
        <v>25.9</v>
      </c>
      <c r="O532">
        <v>16.7</v>
      </c>
      <c r="P532">
        <v>2.392E-2</v>
      </c>
      <c r="Q532">
        <v>3.92</v>
      </c>
      <c r="R532">
        <v>19.34</v>
      </c>
      <c r="S532">
        <v>6</v>
      </c>
      <c r="T532">
        <v>5</v>
      </c>
      <c r="U532">
        <v>30</v>
      </c>
      <c r="V532">
        <v>98.5</v>
      </c>
      <c r="W532">
        <v>142.6</v>
      </c>
      <c r="X532">
        <v>0.71760000000000002</v>
      </c>
      <c r="Y532">
        <v>22.425000000000001</v>
      </c>
      <c r="Z532">
        <v>0.53640600000000005</v>
      </c>
      <c r="AA532">
        <v>0.74750000000000005</v>
      </c>
      <c r="AB532">
        <v>52043.94</v>
      </c>
      <c r="AC532">
        <v>1</v>
      </c>
      <c r="AD532" s="1" t="s">
        <v>40</v>
      </c>
      <c r="AE532">
        <v>1</v>
      </c>
      <c r="AF532">
        <v>0</v>
      </c>
      <c r="AG532">
        <v>33.881578947368425</v>
      </c>
    </row>
    <row r="533" spans="1:33">
      <c r="A533" s="1" t="s">
        <v>550</v>
      </c>
      <c r="B533" s="1" t="s">
        <v>1599</v>
      </c>
      <c r="C533" s="2">
        <v>46451</v>
      </c>
      <c r="D533" s="1" t="s">
        <v>34</v>
      </c>
      <c r="E533">
        <v>687</v>
      </c>
      <c r="F533" s="2">
        <v>46081</v>
      </c>
      <c r="G533" s="1" t="s">
        <v>551</v>
      </c>
      <c r="H533" s="1" t="s">
        <v>43</v>
      </c>
      <c r="I533" s="1" t="s">
        <v>37</v>
      </c>
      <c r="J533" s="1" t="s">
        <v>38</v>
      </c>
      <c r="K533" s="1" t="s">
        <v>39</v>
      </c>
      <c r="L533">
        <v>120</v>
      </c>
      <c r="M533">
        <v>55.3</v>
      </c>
      <c r="N533">
        <v>25.9</v>
      </c>
      <c r="O533">
        <v>16.7</v>
      </c>
      <c r="P533">
        <v>2.392E-2</v>
      </c>
      <c r="Q533">
        <v>3.92</v>
      </c>
      <c r="R533">
        <v>19.34</v>
      </c>
      <c r="S533">
        <v>6</v>
      </c>
      <c r="T533">
        <v>5</v>
      </c>
      <c r="U533">
        <v>30</v>
      </c>
      <c r="V533">
        <v>98.5</v>
      </c>
      <c r="W533">
        <v>142.6</v>
      </c>
      <c r="X533">
        <v>0.71760000000000002</v>
      </c>
      <c r="Y533">
        <v>5.7249999999999996</v>
      </c>
      <c r="Z533">
        <v>0.13694199999999998</v>
      </c>
      <c r="AA533">
        <v>0.19083333333333333</v>
      </c>
      <c r="AB533">
        <v>13286.58</v>
      </c>
      <c r="AC533">
        <v>1</v>
      </c>
      <c r="AD533" s="1" t="s">
        <v>44</v>
      </c>
      <c r="AE533">
        <v>0</v>
      </c>
      <c r="AF533">
        <v>1</v>
      </c>
      <c r="AG533">
        <v>12.171052631578949</v>
      </c>
    </row>
    <row r="534" spans="1:33">
      <c r="A534" s="1" t="s">
        <v>552</v>
      </c>
      <c r="B534" s="1" t="s">
        <v>1600</v>
      </c>
      <c r="C534" s="2">
        <v>46362</v>
      </c>
      <c r="D534" s="1" t="s">
        <v>34</v>
      </c>
      <c r="E534">
        <v>9392</v>
      </c>
      <c r="F534" s="2">
        <v>46081</v>
      </c>
      <c r="G534" s="1" t="s">
        <v>553</v>
      </c>
      <c r="H534" s="1" t="s">
        <v>48</v>
      </c>
      <c r="I534" s="1" t="s">
        <v>37</v>
      </c>
      <c r="J534" s="1" t="s">
        <v>38</v>
      </c>
      <c r="K534" s="1" t="s">
        <v>39</v>
      </c>
      <c r="L534">
        <v>120</v>
      </c>
      <c r="M534">
        <v>37.299999999999997</v>
      </c>
      <c r="N534">
        <v>40</v>
      </c>
      <c r="O534">
        <v>20.8</v>
      </c>
      <c r="P534">
        <v>3.1029999999999999E-2</v>
      </c>
      <c r="Q534">
        <v>6.79</v>
      </c>
      <c r="R534">
        <v>10</v>
      </c>
      <c r="S534">
        <v>6</v>
      </c>
      <c r="T534">
        <v>7</v>
      </c>
      <c r="U534">
        <v>42</v>
      </c>
      <c r="V534">
        <v>160.6</v>
      </c>
      <c r="W534">
        <v>310.18</v>
      </c>
      <c r="X534">
        <v>1.3032600000000001</v>
      </c>
      <c r="Y534">
        <v>78.266666666666666</v>
      </c>
      <c r="Z534">
        <v>2.4286146666666664</v>
      </c>
      <c r="AA534">
        <v>1.8634920634920635</v>
      </c>
      <c r="AB534">
        <v>93920</v>
      </c>
      <c r="AC534">
        <v>2</v>
      </c>
      <c r="AD534" s="1" t="s">
        <v>40</v>
      </c>
      <c r="AE534">
        <v>2</v>
      </c>
      <c r="AF534">
        <v>0</v>
      </c>
      <c r="AG534">
        <v>9.2434210526315788</v>
      </c>
    </row>
    <row r="535" spans="1:33">
      <c r="A535" s="1" t="s">
        <v>552</v>
      </c>
      <c r="B535" s="1" t="s">
        <v>1601</v>
      </c>
      <c r="C535" s="2">
        <v>46604</v>
      </c>
      <c r="D535" s="1" t="s">
        <v>34</v>
      </c>
      <c r="E535">
        <v>16169</v>
      </c>
      <c r="F535" s="2">
        <v>46081</v>
      </c>
      <c r="G535" s="1" t="s">
        <v>553</v>
      </c>
      <c r="H535" s="1" t="s">
        <v>48</v>
      </c>
      <c r="I535" s="1" t="s">
        <v>37</v>
      </c>
      <c r="J535" s="1" t="s">
        <v>38</v>
      </c>
      <c r="K535" s="1" t="s">
        <v>39</v>
      </c>
      <c r="L535">
        <v>120</v>
      </c>
      <c r="M535">
        <v>37.299999999999997</v>
      </c>
      <c r="N535">
        <v>40</v>
      </c>
      <c r="O535">
        <v>20.8</v>
      </c>
      <c r="P535">
        <v>3.1029999999999999E-2</v>
      </c>
      <c r="Q535">
        <v>6.79</v>
      </c>
      <c r="R535">
        <v>10</v>
      </c>
      <c r="S535">
        <v>6</v>
      </c>
      <c r="T535">
        <v>7</v>
      </c>
      <c r="U535">
        <v>42</v>
      </c>
      <c r="V535">
        <v>160.6</v>
      </c>
      <c r="W535">
        <v>310.18</v>
      </c>
      <c r="X535">
        <v>1.3032600000000001</v>
      </c>
      <c r="Y535">
        <v>134.74166666666667</v>
      </c>
      <c r="Z535">
        <v>4.1810339166666664</v>
      </c>
      <c r="AA535">
        <v>3.208134920634921</v>
      </c>
      <c r="AB535">
        <v>161690</v>
      </c>
      <c r="AC535">
        <v>4</v>
      </c>
      <c r="AD535" s="1" t="s">
        <v>40</v>
      </c>
      <c r="AE535">
        <v>4</v>
      </c>
      <c r="AF535">
        <v>0</v>
      </c>
      <c r="AG535">
        <v>17.203947368421055</v>
      </c>
    </row>
    <row r="536" spans="1:33">
      <c r="A536" s="1" t="s">
        <v>552</v>
      </c>
      <c r="B536" s="1" t="s">
        <v>1602</v>
      </c>
      <c r="C536" s="2">
        <v>46712</v>
      </c>
      <c r="D536" s="1" t="s">
        <v>34</v>
      </c>
      <c r="E536">
        <v>2541</v>
      </c>
      <c r="F536" s="2">
        <v>46081</v>
      </c>
      <c r="G536" s="1" t="s">
        <v>553</v>
      </c>
      <c r="H536" s="1" t="s">
        <v>48</v>
      </c>
      <c r="I536" s="1" t="s">
        <v>37</v>
      </c>
      <c r="J536" s="1" t="s">
        <v>38</v>
      </c>
      <c r="K536" s="1" t="s">
        <v>39</v>
      </c>
      <c r="L536">
        <v>120</v>
      </c>
      <c r="M536">
        <v>37.299999999999997</v>
      </c>
      <c r="N536">
        <v>40</v>
      </c>
      <c r="O536">
        <v>20.8</v>
      </c>
      <c r="P536">
        <v>3.1029999999999999E-2</v>
      </c>
      <c r="Q536">
        <v>6.79</v>
      </c>
      <c r="R536">
        <v>10</v>
      </c>
      <c r="S536">
        <v>6</v>
      </c>
      <c r="T536">
        <v>7</v>
      </c>
      <c r="U536">
        <v>42</v>
      </c>
      <c r="V536">
        <v>160.6</v>
      </c>
      <c r="W536">
        <v>310.18</v>
      </c>
      <c r="X536">
        <v>1.3032600000000001</v>
      </c>
      <c r="Y536">
        <v>21.175000000000001</v>
      </c>
      <c r="Z536">
        <v>0.65706025000000001</v>
      </c>
      <c r="AA536">
        <v>0.50416666666666665</v>
      </c>
      <c r="AB536">
        <v>25410</v>
      </c>
      <c r="AC536">
        <v>1</v>
      </c>
      <c r="AD536" s="1" t="s">
        <v>40</v>
      </c>
      <c r="AE536">
        <v>1</v>
      </c>
      <c r="AF536">
        <v>0</v>
      </c>
      <c r="AG536">
        <v>20.756578947368421</v>
      </c>
    </row>
    <row r="537" spans="1:33">
      <c r="A537" s="1" t="s">
        <v>552</v>
      </c>
      <c r="B537" s="1" t="s">
        <v>1603</v>
      </c>
      <c r="C537" s="2">
        <v>46402</v>
      </c>
      <c r="D537" s="1" t="s">
        <v>34</v>
      </c>
      <c r="E537">
        <v>9957</v>
      </c>
      <c r="F537" s="2">
        <v>46081</v>
      </c>
      <c r="G537" s="1" t="s">
        <v>553</v>
      </c>
      <c r="H537" s="1" t="s">
        <v>48</v>
      </c>
      <c r="I537" s="1" t="s">
        <v>37</v>
      </c>
      <c r="J537" s="1" t="s">
        <v>38</v>
      </c>
      <c r="K537" s="1" t="s">
        <v>39</v>
      </c>
      <c r="L537">
        <v>120</v>
      </c>
      <c r="M537">
        <v>37.299999999999997</v>
      </c>
      <c r="N537">
        <v>40</v>
      </c>
      <c r="O537">
        <v>20.8</v>
      </c>
      <c r="P537">
        <v>3.1029999999999999E-2</v>
      </c>
      <c r="Q537">
        <v>6.79</v>
      </c>
      <c r="R537">
        <v>10</v>
      </c>
      <c r="S537">
        <v>6</v>
      </c>
      <c r="T537">
        <v>7</v>
      </c>
      <c r="U537">
        <v>42</v>
      </c>
      <c r="V537">
        <v>160.6</v>
      </c>
      <c r="W537">
        <v>310.18</v>
      </c>
      <c r="X537">
        <v>1.3032600000000001</v>
      </c>
      <c r="Y537">
        <v>82.974999999999994</v>
      </c>
      <c r="Z537">
        <v>2.5747142499999995</v>
      </c>
      <c r="AA537">
        <v>1.975595238095238</v>
      </c>
      <c r="AB537">
        <v>99570</v>
      </c>
      <c r="AC537">
        <v>2</v>
      </c>
      <c r="AD537" s="1" t="s">
        <v>40</v>
      </c>
      <c r="AE537">
        <v>2</v>
      </c>
      <c r="AF537">
        <v>0</v>
      </c>
      <c r="AG537">
        <v>10.559210526315789</v>
      </c>
    </row>
    <row r="538" spans="1:33">
      <c r="A538" s="1" t="s">
        <v>554</v>
      </c>
      <c r="B538" s="1" t="s">
        <v>1604</v>
      </c>
      <c r="C538" s="2">
        <v>46245</v>
      </c>
      <c r="D538" s="1" t="s">
        <v>34</v>
      </c>
      <c r="E538">
        <v>31830</v>
      </c>
      <c r="F538" s="2">
        <v>46081</v>
      </c>
      <c r="G538" s="1" t="s">
        <v>555</v>
      </c>
      <c r="H538" s="1" t="s">
        <v>43</v>
      </c>
      <c r="I538" s="1" t="s">
        <v>37</v>
      </c>
      <c r="J538" s="1" t="s">
        <v>38</v>
      </c>
      <c r="K538" s="1" t="s">
        <v>39</v>
      </c>
      <c r="L538">
        <v>240</v>
      </c>
      <c r="M538">
        <v>49.8</v>
      </c>
      <c r="N538">
        <v>30</v>
      </c>
      <c r="O538">
        <v>19.7</v>
      </c>
      <c r="P538">
        <v>2.9430000000000001E-2</v>
      </c>
      <c r="Q538">
        <v>6.89</v>
      </c>
      <c r="R538">
        <v>16.559999999999999</v>
      </c>
      <c r="S538">
        <v>8</v>
      </c>
      <c r="T538">
        <v>4</v>
      </c>
      <c r="U538">
        <v>32</v>
      </c>
      <c r="V538">
        <v>93.8</v>
      </c>
      <c r="W538">
        <v>245.48</v>
      </c>
      <c r="X538">
        <v>0.94176000000000004</v>
      </c>
      <c r="Y538">
        <v>132.625</v>
      </c>
      <c r="Z538">
        <v>3.90315375</v>
      </c>
      <c r="AA538">
        <v>4.14453125</v>
      </c>
      <c r="AB538">
        <v>527104.79999999993</v>
      </c>
      <c r="AC538">
        <v>5</v>
      </c>
      <c r="AD538" s="1" t="s">
        <v>40</v>
      </c>
      <c r="AE538">
        <v>5</v>
      </c>
      <c r="AF538">
        <v>0</v>
      </c>
      <c r="AG538">
        <v>5.3947368421052637</v>
      </c>
    </row>
    <row r="539" spans="1:33">
      <c r="A539" s="1" t="s">
        <v>554</v>
      </c>
      <c r="B539" s="1" t="s">
        <v>1605</v>
      </c>
      <c r="C539" s="2">
        <v>46730</v>
      </c>
      <c r="D539" s="1" t="s">
        <v>49</v>
      </c>
      <c r="E539">
        <v>1591</v>
      </c>
      <c r="F539" s="2">
        <v>46081</v>
      </c>
      <c r="G539" s="1" t="s">
        <v>555</v>
      </c>
      <c r="H539" s="1" t="s">
        <v>43</v>
      </c>
      <c r="I539" s="1" t="s">
        <v>37</v>
      </c>
      <c r="J539" s="1" t="s">
        <v>38</v>
      </c>
      <c r="K539" s="1" t="s">
        <v>39</v>
      </c>
      <c r="L539">
        <v>240</v>
      </c>
      <c r="M539">
        <v>49.8</v>
      </c>
      <c r="N539">
        <v>30</v>
      </c>
      <c r="O539">
        <v>19.7</v>
      </c>
      <c r="P539">
        <v>2.9430000000000001E-2</v>
      </c>
      <c r="Q539">
        <v>6.89</v>
      </c>
      <c r="R539">
        <v>16.559999999999999</v>
      </c>
      <c r="S539">
        <v>8</v>
      </c>
      <c r="T539">
        <v>4</v>
      </c>
      <c r="U539">
        <v>32</v>
      </c>
      <c r="V539">
        <v>93.8</v>
      </c>
      <c r="W539">
        <v>245.48</v>
      </c>
      <c r="X539">
        <v>0.94176000000000004</v>
      </c>
      <c r="Y539">
        <v>6.6291666666666664</v>
      </c>
      <c r="Z539">
        <v>0.19509637499999999</v>
      </c>
      <c r="AA539">
        <v>0.20716145833333333</v>
      </c>
      <c r="AB539">
        <v>26346.959999999999</v>
      </c>
      <c r="AC539">
        <v>1</v>
      </c>
      <c r="AD539" s="1" t="s">
        <v>44</v>
      </c>
      <c r="AE539">
        <v>0</v>
      </c>
      <c r="AF539">
        <v>1</v>
      </c>
      <c r="AG539">
        <v>21.348684210526315</v>
      </c>
    </row>
    <row r="540" spans="1:33">
      <c r="A540" s="1" t="s">
        <v>556</v>
      </c>
      <c r="B540" s="1" t="s">
        <v>1606</v>
      </c>
      <c r="C540" s="2">
        <v>46760</v>
      </c>
      <c r="D540" s="1" t="s">
        <v>34</v>
      </c>
      <c r="E540">
        <v>660</v>
      </c>
      <c r="F540" s="2">
        <v>46081</v>
      </c>
      <c r="G540" s="1" t="s">
        <v>557</v>
      </c>
      <c r="H540" s="1" t="s">
        <v>70</v>
      </c>
      <c r="I540" s="1" t="s">
        <v>37</v>
      </c>
      <c r="J540" s="1" t="s">
        <v>38</v>
      </c>
      <c r="K540" s="1" t="s">
        <v>39</v>
      </c>
      <c r="L540">
        <v>120</v>
      </c>
      <c r="M540">
        <v>58</v>
      </c>
      <c r="N540">
        <v>30.8</v>
      </c>
      <c r="O540">
        <v>30</v>
      </c>
      <c r="P540">
        <v>5.3589999999999999E-2</v>
      </c>
      <c r="Q540">
        <v>11.82</v>
      </c>
      <c r="R540">
        <v>11.32</v>
      </c>
      <c r="S540">
        <v>6</v>
      </c>
      <c r="T540">
        <v>2</v>
      </c>
      <c r="U540">
        <v>12</v>
      </c>
      <c r="V540">
        <v>75</v>
      </c>
      <c r="W540">
        <v>166.84</v>
      </c>
      <c r="X540">
        <v>0.64307999999999998</v>
      </c>
      <c r="Y540">
        <v>5.5</v>
      </c>
      <c r="Z540">
        <v>0.29474499999999998</v>
      </c>
      <c r="AA540">
        <v>0.45833333333333331</v>
      </c>
      <c r="AB540">
        <v>7471.2</v>
      </c>
      <c r="AC540">
        <v>1</v>
      </c>
      <c r="AD540" s="1" t="s">
        <v>40</v>
      </c>
      <c r="AE540">
        <v>1</v>
      </c>
      <c r="AF540">
        <v>0</v>
      </c>
      <c r="AG540">
        <v>22.335526315789476</v>
      </c>
    </row>
    <row r="541" spans="1:33">
      <c r="A541" s="1" t="s">
        <v>558</v>
      </c>
      <c r="B541" s="1" t="s">
        <v>1607</v>
      </c>
      <c r="C541" s="2">
        <v>46775</v>
      </c>
      <c r="D541" s="1" t="s">
        <v>34</v>
      </c>
      <c r="E541">
        <v>1161</v>
      </c>
      <c r="F541" s="2">
        <v>46081</v>
      </c>
      <c r="G541" s="1" t="s">
        <v>559</v>
      </c>
      <c r="H541" s="1" t="s">
        <v>52</v>
      </c>
      <c r="I541" s="1" t="s">
        <v>37</v>
      </c>
      <c r="J541" s="1" t="s">
        <v>38</v>
      </c>
      <c r="K541" s="1" t="s">
        <v>39</v>
      </c>
      <c r="L541">
        <v>240</v>
      </c>
      <c r="M541">
        <v>55.2</v>
      </c>
      <c r="N541">
        <v>25.4</v>
      </c>
      <c r="O541">
        <v>29.7</v>
      </c>
      <c r="P541">
        <v>4.1640000000000003E-2</v>
      </c>
      <c r="Q541">
        <v>6.37</v>
      </c>
      <c r="R541">
        <v>16.079999999999998</v>
      </c>
      <c r="S541">
        <v>6</v>
      </c>
      <c r="T541">
        <v>3</v>
      </c>
      <c r="U541">
        <v>18</v>
      </c>
      <c r="V541">
        <v>104.1</v>
      </c>
      <c r="W541">
        <v>139.66</v>
      </c>
      <c r="X541">
        <v>0.74952000000000008</v>
      </c>
      <c r="Y541">
        <v>4.8375000000000004</v>
      </c>
      <c r="Z541">
        <v>0.20143350000000004</v>
      </c>
      <c r="AA541">
        <v>0.26875000000000004</v>
      </c>
      <c r="AB541">
        <v>18668.879999999997</v>
      </c>
      <c r="AC541">
        <v>1</v>
      </c>
      <c r="AD541" s="1" t="s">
        <v>44</v>
      </c>
      <c r="AE541">
        <v>0</v>
      </c>
      <c r="AF541">
        <v>1</v>
      </c>
      <c r="AG541">
        <v>22.828947368421055</v>
      </c>
    </row>
    <row r="542" spans="1:33">
      <c r="A542" s="1" t="s">
        <v>560</v>
      </c>
      <c r="B542" s="1" t="s">
        <v>1608</v>
      </c>
      <c r="C542" s="2">
        <v>46681</v>
      </c>
      <c r="D542" s="1" t="s">
        <v>34</v>
      </c>
      <c r="E542">
        <v>1530</v>
      </c>
      <c r="F542" s="2">
        <v>46081</v>
      </c>
      <c r="G542" s="1" t="s">
        <v>561</v>
      </c>
      <c r="H542" s="1" t="s">
        <v>48</v>
      </c>
      <c r="I542" s="1" t="s">
        <v>37</v>
      </c>
      <c r="J542" s="1" t="s">
        <v>38</v>
      </c>
      <c r="K542" s="1" t="s">
        <v>39</v>
      </c>
      <c r="L542">
        <v>100</v>
      </c>
      <c r="M542">
        <v>42.2</v>
      </c>
      <c r="N542">
        <v>26.4</v>
      </c>
      <c r="O542">
        <v>30.9</v>
      </c>
      <c r="P542">
        <v>3.4430000000000002E-2</v>
      </c>
      <c r="Q542">
        <v>6.71</v>
      </c>
      <c r="R542">
        <v>20.48</v>
      </c>
      <c r="S542">
        <v>6</v>
      </c>
      <c r="T542">
        <v>4</v>
      </c>
      <c r="U542">
        <v>24</v>
      </c>
      <c r="V542">
        <v>138.6</v>
      </c>
      <c r="W542">
        <v>186.04</v>
      </c>
      <c r="X542">
        <v>0.82632000000000005</v>
      </c>
      <c r="Y542">
        <v>15.3</v>
      </c>
      <c r="Z542">
        <v>0.52677900000000011</v>
      </c>
      <c r="AA542">
        <v>0.63750000000000007</v>
      </c>
      <c r="AB542">
        <v>31334.400000000001</v>
      </c>
      <c r="AC542">
        <v>1</v>
      </c>
      <c r="AD542" s="1" t="s">
        <v>40</v>
      </c>
      <c r="AE542">
        <v>1</v>
      </c>
      <c r="AF542">
        <v>0</v>
      </c>
      <c r="AG542">
        <v>19.736842105263158</v>
      </c>
    </row>
    <row r="543" spans="1:33">
      <c r="A543" s="1" t="s">
        <v>562</v>
      </c>
      <c r="B543" s="1" t="s">
        <v>1609</v>
      </c>
      <c r="C543" s="2">
        <v>47068</v>
      </c>
      <c r="D543" s="1" t="s">
        <v>34</v>
      </c>
      <c r="E543">
        <v>2209</v>
      </c>
      <c r="F543" s="2">
        <v>46081</v>
      </c>
      <c r="G543" s="1" t="s">
        <v>563</v>
      </c>
      <c r="H543" s="1" t="s">
        <v>36</v>
      </c>
      <c r="I543" s="1" t="s">
        <v>37</v>
      </c>
      <c r="J543" s="1" t="s">
        <v>564</v>
      </c>
      <c r="K543" s="1" t="s">
        <v>39</v>
      </c>
      <c r="L543">
        <v>120</v>
      </c>
      <c r="M543">
        <v>52.1</v>
      </c>
      <c r="N543">
        <v>25.4</v>
      </c>
      <c r="O543">
        <v>21.1</v>
      </c>
      <c r="P543">
        <v>2.792E-2</v>
      </c>
      <c r="Q543">
        <v>7.13</v>
      </c>
      <c r="R543">
        <v>21.25</v>
      </c>
      <c r="S543">
        <v>6</v>
      </c>
      <c r="T543">
        <v>5</v>
      </c>
      <c r="U543">
        <v>30</v>
      </c>
      <c r="V543">
        <v>120.5</v>
      </c>
      <c r="W543">
        <v>238.9</v>
      </c>
      <c r="X543">
        <v>0.83760000000000001</v>
      </c>
      <c r="Y543">
        <v>18.408333333333335</v>
      </c>
      <c r="Z543">
        <v>0.51396066666666673</v>
      </c>
      <c r="AA543">
        <v>0.61361111111111122</v>
      </c>
      <c r="AB543">
        <v>46941.25</v>
      </c>
      <c r="AC543">
        <v>1</v>
      </c>
      <c r="AD543" s="1" t="s">
        <v>40</v>
      </c>
      <c r="AE543">
        <v>1</v>
      </c>
      <c r="AF543">
        <v>0</v>
      </c>
      <c r="AG543">
        <v>32.467105263157897</v>
      </c>
    </row>
    <row r="544" spans="1:33">
      <c r="A544" s="1" t="s">
        <v>565</v>
      </c>
      <c r="B544" s="1" t="s">
        <v>1610</v>
      </c>
      <c r="C544" s="2">
        <v>46652</v>
      </c>
      <c r="D544" s="1" t="s">
        <v>34</v>
      </c>
      <c r="E544">
        <v>2460</v>
      </c>
      <c r="F544" s="2">
        <v>46081</v>
      </c>
      <c r="G544" s="1" t="s">
        <v>566</v>
      </c>
      <c r="H544" s="1" t="s">
        <v>70</v>
      </c>
      <c r="I544" s="1" t="s">
        <v>37</v>
      </c>
      <c r="J544" s="1" t="s">
        <v>564</v>
      </c>
      <c r="K544" s="1" t="s">
        <v>39</v>
      </c>
      <c r="L544">
        <v>120</v>
      </c>
      <c r="M544">
        <v>37</v>
      </c>
      <c r="N544">
        <v>35.799999999999997</v>
      </c>
      <c r="O544">
        <v>29.1</v>
      </c>
      <c r="P544">
        <v>3.8550000000000001E-2</v>
      </c>
      <c r="Q544">
        <v>8.86</v>
      </c>
      <c r="R544">
        <v>9.57</v>
      </c>
      <c r="S544">
        <v>6</v>
      </c>
      <c r="T544">
        <v>2</v>
      </c>
      <c r="U544">
        <v>12</v>
      </c>
      <c r="V544">
        <v>73.2</v>
      </c>
      <c r="W544">
        <v>131.32</v>
      </c>
      <c r="X544">
        <v>0.46260000000000001</v>
      </c>
      <c r="Y544">
        <v>20.5</v>
      </c>
      <c r="Z544">
        <v>0.79027500000000006</v>
      </c>
      <c r="AA544">
        <v>1.7083333333333333</v>
      </c>
      <c r="AB544">
        <v>23542.2</v>
      </c>
      <c r="AC544">
        <v>2</v>
      </c>
      <c r="AD544" s="1" t="s">
        <v>40</v>
      </c>
      <c r="AE544">
        <v>2</v>
      </c>
      <c r="AF544">
        <v>0</v>
      </c>
      <c r="AG544">
        <v>18.782894736842106</v>
      </c>
    </row>
    <row r="545" spans="1:33">
      <c r="A545" s="1" t="s">
        <v>567</v>
      </c>
      <c r="B545" s="1" t="s">
        <v>1611</v>
      </c>
      <c r="C545" s="2">
        <v>46193</v>
      </c>
      <c r="D545" s="1" t="s">
        <v>34</v>
      </c>
      <c r="E545">
        <v>1578</v>
      </c>
      <c r="F545" s="2">
        <v>46081</v>
      </c>
      <c r="G545" s="1" t="s">
        <v>568</v>
      </c>
      <c r="H545" s="1" t="s">
        <v>36</v>
      </c>
      <c r="I545" s="1" t="s">
        <v>37</v>
      </c>
      <c r="J545" s="1" t="s">
        <v>564</v>
      </c>
      <c r="K545" s="1" t="s">
        <v>39</v>
      </c>
      <c r="L545">
        <v>100</v>
      </c>
      <c r="M545">
        <v>38.4</v>
      </c>
      <c r="N545">
        <v>30.6</v>
      </c>
      <c r="O545">
        <v>27.6</v>
      </c>
      <c r="P545">
        <v>3.243E-2</v>
      </c>
      <c r="Q545">
        <v>5.37</v>
      </c>
      <c r="R545">
        <v>27.66</v>
      </c>
      <c r="S545">
        <v>9</v>
      </c>
      <c r="T545">
        <v>3</v>
      </c>
      <c r="U545">
        <v>27</v>
      </c>
      <c r="V545">
        <v>97.8</v>
      </c>
      <c r="W545">
        <v>169.99</v>
      </c>
      <c r="X545">
        <v>0.87561</v>
      </c>
      <c r="Y545">
        <v>15.78</v>
      </c>
      <c r="Z545">
        <v>0.51174540000000002</v>
      </c>
      <c r="AA545">
        <v>0.58444444444444443</v>
      </c>
      <c r="AB545">
        <v>43647.48</v>
      </c>
      <c r="AC545">
        <v>1</v>
      </c>
      <c r="AD545" s="1" t="s">
        <v>40</v>
      </c>
      <c r="AE545">
        <v>1</v>
      </c>
      <c r="AF545">
        <v>0</v>
      </c>
      <c r="AG545">
        <v>3.6842105263157898</v>
      </c>
    </row>
    <row r="546" spans="1:33">
      <c r="A546" s="1" t="s">
        <v>567</v>
      </c>
      <c r="B546" s="1" t="s">
        <v>1612</v>
      </c>
      <c r="C546" s="2">
        <v>46347</v>
      </c>
      <c r="D546" s="1" t="s">
        <v>153</v>
      </c>
      <c r="E546">
        <v>47</v>
      </c>
      <c r="F546" s="2">
        <v>46081</v>
      </c>
      <c r="G546" s="1" t="s">
        <v>568</v>
      </c>
      <c r="H546" s="1" t="s">
        <v>36</v>
      </c>
      <c r="I546" s="1" t="s">
        <v>37</v>
      </c>
      <c r="J546" s="1" t="s">
        <v>564</v>
      </c>
      <c r="K546" s="1" t="s">
        <v>39</v>
      </c>
      <c r="L546">
        <v>100</v>
      </c>
      <c r="M546">
        <v>38.4</v>
      </c>
      <c r="N546">
        <v>30.6</v>
      </c>
      <c r="O546">
        <v>27.6</v>
      </c>
      <c r="P546">
        <v>3.243E-2</v>
      </c>
      <c r="Q546">
        <v>5.37</v>
      </c>
      <c r="R546">
        <v>27.66</v>
      </c>
      <c r="S546">
        <v>9</v>
      </c>
      <c r="T546">
        <v>3</v>
      </c>
      <c r="U546">
        <v>27</v>
      </c>
      <c r="V546">
        <v>97.8</v>
      </c>
      <c r="W546">
        <v>169.99</v>
      </c>
      <c r="X546">
        <v>0.87561</v>
      </c>
      <c r="Y546">
        <v>0.47</v>
      </c>
      <c r="Z546">
        <v>1.52421E-2</v>
      </c>
      <c r="AA546">
        <v>1.7407407407407406E-2</v>
      </c>
      <c r="AB546">
        <v>1300.02</v>
      </c>
      <c r="AC546">
        <v>1</v>
      </c>
      <c r="AD546" s="1" t="s">
        <v>74</v>
      </c>
      <c r="AE546">
        <v>0</v>
      </c>
      <c r="AF546">
        <v>0</v>
      </c>
      <c r="AG546">
        <v>8.75</v>
      </c>
    </row>
    <row r="547" spans="1:33">
      <c r="A547" s="1" t="s">
        <v>569</v>
      </c>
      <c r="B547" s="1" t="s">
        <v>1613</v>
      </c>
      <c r="C547" s="2">
        <v>46634</v>
      </c>
      <c r="D547" s="1" t="s">
        <v>34</v>
      </c>
      <c r="E547">
        <v>5541</v>
      </c>
      <c r="F547" s="2">
        <v>46081</v>
      </c>
      <c r="G547" s="1" t="s">
        <v>570</v>
      </c>
      <c r="H547" s="1" t="s">
        <v>43</v>
      </c>
      <c r="I547" s="1" t="s">
        <v>37</v>
      </c>
      <c r="J547" s="1" t="s">
        <v>564</v>
      </c>
      <c r="K547" s="1" t="s">
        <v>39</v>
      </c>
      <c r="L547">
        <v>60</v>
      </c>
      <c r="M547">
        <v>44.9</v>
      </c>
      <c r="N547">
        <v>39.200000000000003</v>
      </c>
      <c r="O547">
        <v>20.8</v>
      </c>
      <c r="P547">
        <v>3.6609999999999997E-2</v>
      </c>
      <c r="Q547">
        <v>6.19</v>
      </c>
      <c r="R547">
        <v>10.6</v>
      </c>
      <c r="S547">
        <v>5</v>
      </c>
      <c r="T547">
        <v>7</v>
      </c>
      <c r="U547">
        <v>35</v>
      </c>
      <c r="V547">
        <v>160.6</v>
      </c>
      <c r="W547">
        <v>241.65</v>
      </c>
      <c r="X547">
        <v>1.28135</v>
      </c>
      <c r="Y547">
        <v>92.35</v>
      </c>
      <c r="Z547">
        <v>3.3809334999999994</v>
      </c>
      <c r="AA547">
        <v>2.6385714285714283</v>
      </c>
      <c r="AB547">
        <v>58734.6</v>
      </c>
      <c r="AC547">
        <v>3</v>
      </c>
      <c r="AD547" s="1" t="s">
        <v>40</v>
      </c>
      <c r="AE547">
        <v>3</v>
      </c>
      <c r="AF547">
        <v>0</v>
      </c>
      <c r="AG547">
        <v>18.190789473684212</v>
      </c>
    </row>
    <row r="548" spans="1:33">
      <c r="A548" s="1" t="s">
        <v>569</v>
      </c>
      <c r="B548" s="1" t="s">
        <v>1614</v>
      </c>
      <c r="C548" s="2">
        <v>46315</v>
      </c>
      <c r="D548" s="1" t="s">
        <v>45</v>
      </c>
      <c r="E548">
        <v>110</v>
      </c>
      <c r="F548" s="2">
        <v>46081</v>
      </c>
      <c r="G548" s="1" t="s">
        <v>570</v>
      </c>
      <c r="H548" s="1" t="s">
        <v>43</v>
      </c>
      <c r="I548" s="1" t="s">
        <v>37</v>
      </c>
      <c r="J548" s="1" t="s">
        <v>564</v>
      </c>
      <c r="K548" s="1" t="s">
        <v>39</v>
      </c>
      <c r="L548">
        <v>60</v>
      </c>
      <c r="M548">
        <v>44.9</v>
      </c>
      <c r="N548">
        <v>39.200000000000003</v>
      </c>
      <c r="O548">
        <v>20.8</v>
      </c>
      <c r="P548">
        <v>3.6609999999999997E-2</v>
      </c>
      <c r="Q548">
        <v>6.19</v>
      </c>
      <c r="R548">
        <v>10.6</v>
      </c>
      <c r="S548">
        <v>5</v>
      </c>
      <c r="T548">
        <v>7</v>
      </c>
      <c r="U548">
        <v>35</v>
      </c>
      <c r="V548">
        <v>160.6</v>
      </c>
      <c r="W548">
        <v>241.65</v>
      </c>
      <c r="X548">
        <v>1.28135</v>
      </c>
      <c r="Y548">
        <v>1.8333333333333333</v>
      </c>
      <c r="Z548">
        <v>6.7118333333333322E-2</v>
      </c>
      <c r="AA548">
        <v>5.2380952380952382E-2</v>
      </c>
      <c r="AB548">
        <v>1166</v>
      </c>
      <c r="AC548">
        <v>1</v>
      </c>
      <c r="AD548" s="1" t="s">
        <v>44</v>
      </c>
      <c r="AE548">
        <v>0</v>
      </c>
      <c r="AF548">
        <v>1</v>
      </c>
      <c r="AG548">
        <v>7.6973684210526319</v>
      </c>
    </row>
    <row r="549" spans="1:33">
      <c r="A549" s="1" t="s">
        <v>571</v>
      </c>
      <c r="B549" s="1" t="s">
        <v>1615</v>
      </c>
      <c r="C549" s="2">
        <v>46886</v>
      </c>
      <c r="D549" s="1" t="s">
        <v>34</v>
      </c>
      <c r="E549">
        <v>1768</v>
      </c>
      <c r="F549" s="2">
        <v>46081</v>
      </c>
      <c r="G549" s="1" t="s">
        <v>572</v>
      </c>
      <c r="H549" s="1" t="s">
        <v>36</v>
      </c>
      <c r="I549" s="1" t="s">
        <v>37</v>
      </c>
      <c r="J549" s="1" t="s">
        <v>564</v>
      </c>
      <c r="K549" s="1" t="s">
        <v>39</v>
      </c>
      <c r="L549">
        <v>100</v>
      </c>
      <c r="M549">
        <v>40.299999999999997</v>
      </c>
      <c r="N549">
        <v>36.299999999999997</v>
      </c>
      <c r="O549">
        <v>23.1</v>
      </c>
      <c r="P549">
        <v>3.3790000000000001E-2</v>
      </c>
      <c r="Q549">
        <v>9.4499999999999993</v>
      </c>
      <c r="R549">
        <v>16.52</v>
      </c>
      <c r="S549">
        <v>6</v>
      </c>
      <c r="T549">
        <v>3</v>
      </c>
      <c r="U549">
        <v>18</v>
      </c>
      <c r="V549">
        <v>84.300000000000011</v>
      </c>
      <c r="W549">
        <v>195.1</v>
      </c>
      <c r="X549">
        <v>0.60821999999999998</v>
      </c>
      <c r="Y549">
        <v>17.68</v>
      </c>
      <c r="Z549">
        <v>0.59740720000000003</v>
      </c>
      <c r="AA549">
        <v>0.98222222222222222</v>
      </c>
      <c r="AB549">
        <v>29207.360000000001</v>
      </c>
      <c r="AC549">
        <v>1</v>
      </c>
      <c r="AD549" s="1" t="s">
        <v>40</v>
      </c>
      <c r="AE549">
        <v>1</v>
      </c>
      <c r="AF549">
        <v>0</v>
      </c>
      <c r="AG549">
        <v>26.48026315789474</v>
      </c>
    </row>
    <row r="550" spans="1:33">
      <c r="A550" s="1" t="s">
        <v>573</v>
      </c>
      <c r="B550" s="1" t="s">
        <v>1616</v>
      </c>
      <c r="C550" s="2">
        <v>46649</v>
      </c>
      <c r="D550" s="1" t="s">
        <v>34</v>
      </c>
      <c r="E550">
        <v>610</v>
      </c>
      <c r="F550" s="2">
        <v>46081</v>
      </c>
      <c r="G550" s="1" t="s">
        <v>574</v>
      </c>
      <c r="H550" s="1" t="s">
        <v>36</v>
      </c>
      <c r="I550" s="1" t="s">
        <v>37</v>
      </c>
      <c r="J550" s="1" t="s">
        <v>564</v>
      </c>
      <c r="K550" s="1" t="s">
        <v>39</v>
      </c>
      <c r="L550">
        <v>200</v>
      </c>
      <c r="M550">
        <v>43.5</v>
      </c>
      <c r="N550">
        <v>25.1</v>
      </c>
      <c r="O550">
        <v>26.4</v>
      </c>
      <c r="P550">
        <v>2.8819999999999998E-2</v>
      </c>
      <c r="Q550">
        <v>4.5599999999999996</v>
      </c>
      <c r="R550">
        <v>4.54</v>
      </c>
      <c r="S550">
        <v>8</v>
      </c>
      <c r="T550">
        <v>3</v>
      </c>
      <c r="U550">
        <v>24</v>
      </c>
      <c r="V550">
        <v>94.2</v>
      </c>
      <c r="W550">
        <v>134.44</v>
      </c>
      <c r="X550">
        <v>0.69167999999999996</v>
      </c>
      <c r="Y550">
        <v>3.05</v>
      </c>
      <c r="Z550">
        <v>8.7900999999999993E-2</v>
      </c>
      <c r="AA550">
        <v>0.12708333333333333</v>
      </c>
      <c r="AB550">
        <v>2769.4</v>
      </c>
      <c r="AC550">
        <v>1</v>
      </c>
      <c r="AD550" s="1" t="s">
        <v>44</v>
      </c>
      <c r="AE550">
        <v>0</v>
      </c>
      <c r="AF550">
        <v>1</v>
      </c>
      <c r="AG550">
        <v>18.684210526315791</v>
      </c>
    </row>
    <row r="551" spans="1:33">
      <c r="A551" s="1" t="s">
        <v>573</v>
      </c>
      <c r="B551" s="1" t="s">
        <v>1617</v>
      </c>
      <c r="C551" s="2">
        <v>46924</v>
      </c>
      <c r="D551" s="1" t="s">
        <v>34</v>
      </c>
      <c r="E551">
        <v>3313</v>
      </c>
      <c r="F551" s="2">
        <v>46081</v>
      </c>
      <c r="G551" s="1" t="s">
        <v>574</v>
      </c>
      <c r="H551" s="1" t="s">
        <v>36</v>
      </c>
      <c r="I551" s="1" t="s">
        <v>37</v>
      </c>
      <c r="J551" s="1" t="s">
        <v>564</v>
      </c>
      <c r="K551" s="1" t="s">
        <v>39</v>
      </c>
      <c r="L551">
        <v>200</v>
      </c>
      <c r="M551">
        <v>43.5</v>
      </c>
      <c r="N551">
        <v>25.1</v>
      </c>
      <c r="O551">
        <v>26.4</v>
      </c>
      <c r="P551">
        <v>2.8819999999999998E-2</v>
      </c>
      <c r="Q551">
        <v>4.5599999999999996</v>
      </c>
      <c r="R551">
        <v>4.54</v>
      </c>
      <c r="S551">
        <v>8</v>
      </c>
      <c r="T551">
        <v>3</v>
      </c>
      <c r="U551">
        <v>24</v>
      </c>
      <c r="V551">
        <v>94.2</v>
      </c>
      <c r="W551">
        <v>134.44</v>
      </c>
      <c r="X551">
        <v>0.69167999999999996</v>
      </c>
      <c r="Y551">
        <v>16.565000000000001</v>
      </c>
      <c r="Z551">
        <v>0.47740330000000003</v>
      </c>
      <c r="AA551">
        <v>0.69020833333333342</v>
      </c>
      <c r="AB551">
        <v>15041.02</v>
      </c>
      <c r="AC551">
        <v>1</v>
      </c>
      <c r="AD551" s="1" t="s">
        <v>40</v>
      </c>
      <c r="AE551">
        <v>1</v>
      </c>
      <c r="AF551">
        <v>0</v>
      </c>
      <c r="AG551">
        <v>27.73026315789474</v>
      </c>
    </row>
    <row r="552" spans="1:33">
      <c r="A552" s="1" t="s">
        <v>575</v>
      </c>
      <c r="B552" s="1" t="s">
        <v>1618</v>
      </c>
      <c r="C552" s="2">
        <v>46668</v>
      </c>
      <c r="D552" s="1" t="s">
        <v>34</v>
      </c>
      <c r="E552">
        <v>109</v>
      </c>
      <c r="F552" s="2">
        <v>46081</v>
      </c>
      <c r="G552" s="1" t="s">
        <v>576</v>
      </c>
      <c r="H552" s="1" t="s">
        <v>577</v>
      </c>
      <c r="I552" s="1" t="s">
        <v>37</v>
      </c>
      <c r="J552" s="1" t="s">
        <v>564</v>
      </c>
      <c r="K552" s="1" t="s">
        <v>39</v>
      </c>
      <c r="L552">
        <v>60</v>
      </c>
      <c r="M552">
        <v>40.700000000000003</v>
      </c>
      <c r="N552">
        <v>33.5</v>
      </c>
      <c r="O552">
        <v>16.2</v>
      </c>
      <c r="P552">
        <v>2.2089999999999999E-2</v>
      </c>
      <c r="Q552">
        <v>5.53</v>
      </c>
      <c r="R552">
        <v>20.66</v>
      </c>
      <c r="S552">
        <v>6</v>
      </c>
      <c r="T552">
        <v>5</v>
      </c>
      <c r="U552">
        <v>30</v>
      </c>
      <c r="V552">
        <v>96</v>
      </c>
      <c r="W552">
        <v>190.9</v>
      </c>
      <c r="X552">
        <v>0.66269999999999996</v>
      </c>
      <c r="Y552">
        <v>1.8166666666666667</v>
      </c>
      <c r="Z552">
        <v>4.0130166666666661E-2</v>
      </c>
      <c r="AA552">
        <v>6.0555555555555557E-2</v>
      </c>
      <c r="AB552">
        <v>2251.94</v>
      </c>
      <c r="AC552">
        <v>1</v>
      </c>
      <c r="AD552" s="1" t="s">
        <v>44</v>
      </c>
      <c r="AE552">
        <v>0</v>
      </c>
      <c r="AF552">
        <v>1</v>
      </c>
      <c r="AG552">
        <v>19.309210526315791</v>
      </c>
    </row>
    <row r="553" spans="1:33">
      <c r="A553" s="1" t="s">
        <v>575</v>
      </c>
      <c r="B553" s="1" t="s">
        <v>1619</v>
      </c>
      <c r="C553" s="2">
        <v>46856</v>
      </c>
      <c r="D553" s="1" t="s">
        <v>34</v>
      </c>
      <c r="E553">
        <v>50</v>
      </c>
      <c r="F553" s="2">
        <v>46081</v>
      </c>
      <c r="G553" s="1" t="s">
        <v>576</v>
      </c>
      <c r="H553" s="1" t="s">
        <v>577</v>
      </c>
      <c r="I553" s="1" t="s">
        <v>37</v>
      </c>
      <c r="J553" s="1" t="s">
        <v>564</v>
      </c>
      <c r="K553" s="1" t="s">
        <v>39</v>
      </c>
      <c r="L553">
        <v>60</v>
      </c>
      <c r="M553">
        <v>40.700000000000003</v>
      </c>
      <c r="N553">
        <v>33.5</v>
      </c>
      <c r="O553">
        <v>16.2</v>
      </c>
      <c r="P553">
        <v>2.2089999999999999E-2</v>
      </c>
      <c r="Q553">
        <v>5.53</v>
      </c>
      <c r="R553">
        <v>20.66</v>
      </c>
      <c r="S553">
        <v>6</v>
      </c>
      <c r="T553">
        <v>5</v>
      </c>
      <c r="U553">
        <v>30</v>
      </c>
      <c r="V553">
        <v>96</v>
      </c>
      <c r="W553">
        <v>190.9</v>
      </c>
      <c r="X553">
        <v>0.66269999999999996</v>
      </c>
      <c r="Y553">
        <v>0.83333333333333337</v>
      </c>
      <c r="Z553">
        <v>1.8408333333333332E-2</v>
      </c>
      <c r="AA553">
        <v>2.777777777777778E-2</v>
      </c>
      <c r="AB553">
        <v>1033</v>
      </c>
      <c r="AC553">
        <v>1</v>
      </c>
      <c r="AD553" s="1" t="s">
        <v>44</v>
      </c>
      <c r="AE553">
        <v>0</v>
      </c>
      <c r="AF553">
        <v>1</v>
      </c>
      <c r="AG553">
        <v>25.493421052631579</v>
      </c>
    </row>
    <row r="554" spans="1:33">
      <c r="A554" s="1" t="s">
        <v>575</v>
      </c>
      <c r="B554" s="1" t="s">
        <v>1620</v>
      </c>
      <c r="C554" s="2">
        <v>46409</v>
      </c>
      <c r="D554" s="1" t="s">
        <v>49</v>
      </c>
      <c r="E554">
        <v>8</v>
      </c>
      <c r="F554" s="2">
        <v>46081</v>
      </c>
      <c r="G554" s="1" t="s">
        <v>576</v>
      </c>
      <c r="H554" s="1" t="s">
        <v>577</v>
      </c>
      <c r="I554" s="1" t="s">
        <v>37</v>
      </c>
      <c r="J554" s="1" t="s">
        <v>564</v>
      </c>
      <c r="K554" s="1" t="s">
        <v>39</v>
      </c>
      <c r="L554">
        <v>60</v>
      </c>
      <c r="M554">
        <v>40.700000000000003</v>
      </c>
      <c r="N554">
        <v>33.5</v>
      </c>
      <c r="O554">
        <v>16.2</v>
      </c>
      <c r="P554">
        <v>2.2089999999999999E-2</v>
      </c>
      <c r="Q554">
        <v>5.53</v>
      </c>
      <c r="R554">
        <v>20.66</v>
      </c>
      <c r="S554">
        <v>6</v>
      </c>
      <c r="T554">
        <v>5</v>
      </c>
      <c r="U554">
        <v>30</v>
      </c>
      <c r="V554">
        <v>96</v>
      </c>
      <c r="W554">
        <v>190.9</v>
      </c>
      <c r="X554">
        <v>0.66269999999999996</v>
      </c>
      <c r="Y554">
        <v>0.13333333333333333</v>
      </c>
      <c r="Z554">
        <v>2.9453333333333332E-3</v>
      </c>
      <c r="AA554">
        <v>4.4444444444444444E-3</v>
      </c>
      <c r="AB554">
        <v>165.28</v>
      </c>
      <c r="AC554">
        <v>1</v>
      </c>
      <c r="AD554" s="1" t="s">
        <v>44</v>
      </c>
      <c r="AE554">
        <v>0</v>
      </c>
      <c r="AF554">
        <v>1</v>
      </c>
      <c r="AG554">
        <v>10.789473684210527</v>
      </c>
    </row>
    <row r="555" spans="1:33">
      <c r="A555" s="1" t="s">
        <v>578</v>
      </c>
      <c r="B555" s="1" t="s">
        <v>1621</v>
      </c>
      <c r="C555" s="2">
        <v>46771</v>
      </c>
      <c r="D555" s="1" t="s">
        <v>34</v>
      </c>
      <c r="E555">
        <v>1399</v>
      </c>
      <c r="F555" s="2">
        <v>46081</v>
      </c>
      <c r="G555" s="1" t="s">
        <v>579</v>
      </c>
      <c r="H555" s="1" t="s">
        <v>36</v>
      </c>
      <c r="I555" s="1" t="s">
        <v>37</v>
      </c>
      <c r="J555" s="1" t="s">
        <v>564</v>
      </c>
      <c r="K555" s="1" t="s">
        <v>39</v>
      </c>
      <c r="L555">
        <v>60</v>
      </c>
      <c r="M555">
        <v>51.2</v>
      </c>
      <c r="N555">
        <v>38.6</v>
      </c>
      <c r="O555">
        <v>29.8</v>
      </c>
      <c r="P555">
        <v>5.8889999999999998E-2</v>
      </c>
      <c r="Q555">
        <v>8.3699999999999992</v>
      </c>
      <c r="R555">
        <v>15.79</v>
      </c>
      <c r="S555">
        <v>4</v>
      </c>
      <c r="T555">
        <v>2</v>
      </c>
      <c r="U555">
        <v>8</v>
      </c>
      <c r="V555">
        <v>74.599999999999994</v>
      </c>
      <c r="W555">
        <v>91.96</v>
      </c>
      <c r="X555">
        <v>0.47111999999999998</v>
      </c>
      <c r="Y555">
        <v>23.316666666666666</v>
      </c>
      <c r="Z555">
        <v>1.3731184999999999</v>
      </c>
      <c r="AA555">
        <v>2.9145833333333333</v>
      </c>
      <c r="AB555">
        <v>22090.21</v>
      </c>
      <c r="AC555">
        <v>3</v>
      </c>
      <c r="AD555" s="1" t="s">
        <v>40</v>
      </c>
      <c r="AE555">
        <v>3</v>
      </c>
      <c r="AF555">
        <v>0</v>
      </c>
      <c r="AG555">
        <v>22.697368421052634</v>
      </c>
    </row>
    <row r="556" spans="1:33">
      <c r="A556" s="1" t="s">
        <v>578</v>
      </c>
      <c r="B556" s="1" t="s">
        <v>1622</v>
      </c>
      <c r="C556" s="2">
        <v>47092</v>
      </c>
      <c r="D556" s="1" t="s">
        <v>34</v>
      </c>
      <c r="E556">
        <v>521</v>
      </c>
      <c r="F556" s="2">
        <v>46081</v>
      </c>
      <c r="G556" s="1" t="s">
        <v>579</v>
      </c>
      <c r="H556" s="1" t="s">
        <v>36</v>
      </c>
      <c r="I556" s="1" t="s">
        <v>37</v>
      </c>
      <c r="J556" s="1" t="s">
        <v>564</v>
      </c>
      <c r="K556" s="1" t="s">
        <v>39</v>
      </c>
      <c r="L556">
        <v>60</v>
      </c>
      <c r="M556">
        <v>51.2</v>
      </c>
      <c r="N556">
        <v>38.6</v>
      </c>
      <c r="O556">
        <v>29.8</v>
      </c>
      <c r="P556">
        <v>5.8889999999999998E-2</v>
      </c>
      <c r="Q556">
        <v>8.3699999999999992</v>
      </c>
      <c r="R556">
        <v>15.79</v>
      </c>
      <c r="S556">
        <v>4</v>
      </c>
      <c r="T556">
        <v>2</v>
      </c>
      <c r="U556">
        <v>8</v>
      </c>
      <c r="V556">
        <v>74.599999999999994</v>
      </c>
      <c r="W556">
        <v>91.96</v>
      </c>
      <c r="X556">
        <v>0.47111999999999998</v>
      </c>
      <c r="Y556">
        <v>8.6833333333333336</v>
      </c>
      <c r="Z556">
        <v>0.51136150000000002</v>
      </c>
      <c r="AA556">
        <v>1.0854166666666667</v>
      </c>
      <c r="AB556">
        <v>8226.59</v>
      </c>
      <c r="AC556">
        <v>2</v>
      </c>
      <c r="AD556" s="1" t="s">
        <v>40</v>
      </c>
      <c r="AE556">
        <v>2</v>
      </c>
      <c r="AF556">
        <v>0</v>
      </c>
      <c r="AG556">
        <v>33.256578947368425</v>
      </c>
    </row>
    <row r="557" spans="1:33">
      <c r="A557" s="1" t="s">
        <v>580</v>
      </c>
      <c r="B557" s="1" t="s">
        <v>1623</v>
      </c>
      <c r="C557" s="2">
        <v>46692</v>
      </c>
      <c r="D557" s="1" t="s">
        <v>34</v>
      </c>
      <c r="E557">
        <v>175</v>
      </c>
      <c r="F557" s="2">
        <v>46081</v>
      </c>
      <c r="G557" s="1" t="s">
        <v>581</v>
      </c>
      <c r="H557" s="1" t="s">
        <v>43</v>
      </c>
      <c r="I557" s="1" t="s">
        <v>37</v>
      </c>
      <c r="J557" s="1" t="s">
        <v>564</v>
      </c>
      <c r="K557" s="1" t="s">
        <v>39</v>
      </c>
      <c r="L557">
        <v>200</v>
      </c>
      <c r="M557">
        <v>37</v>
      </c>
      <c r="N557">
        <v>25.9</v>
      </c>
      <c r="O557">
        <v>24.3</v>
      </c>
      <c r="P557">
        <v>2.3290000000000002E-2</v>
      </c>
      <c r="Q557">
        <v>4.62</v>
      </c>
      <c r="R557">
        <v>20.7</v>
      </c>
      <c r="S557">
        <v>9</v>
      </c>
      <c r="T557">
        <v>5</v>
      </c>
      <c r="U557">
        <v>45</v>
      </c>
      <c r="V557">
        <v>136.5</v>
      </c>
      <c r="W557">
        <v>232.9</v>
      </c>
      <c r="X557">
        <v>1.0480499999999999</v>
      </c>
      <c r="Y557">
        <v>0.875</v>
      </c>
      <c r="Z557">
        <v>2.0378750000000001E-2</v>
      </c>
      <c r="AA557">
        <v>1.9444444444444445E-2</v>
      </c>
      <c r="AB557">
        <v>3622.5</v>
      </c>
      <c r="AC557">
        <v>1</v>
      </c>
      <c r="AD557" s="1" t="s">
        <v>44</v>
      </c>
      <c r="AE557">
        <v>0</v>
      </c>
      <c r="AF557">
        <v>1</v>
      </c>
      <c r="AG557">
        <v>20.098684210526315</v>
      </c>
    </row>
    <row r="558" spans="1:33">
      <c r="A558" s="1" t="s">
        <v>580</v>
      </c>
      <c r="B558" s="1" t="s">
        <v>1624</v>
      </c>
      <c r="C558" s="2">
        <v>46644</v>
      </c>
      <c r="D558" s="1" t="s">
        <v>34</v>
      </c>
      <c r="E558">
        <v>504</v>
      </c>
      <c r="F558" s="2">
        <v>46081</v>
      </c>
      <c r="G558" s="1" t="s">
        <v>581</v>
      </c>
      <c r="H558" s="1" t="s">
        <v>43</v>
      </c>
      <c r="I558" s="1" t="s">
        <v>37</v>
      </c>
      <c r="J558" s="1" t="s">
        <v>564</v>
      </c>
      <c r="K558" s="1" t="s">
        <v>39</v>
      </c>
      <c r="L558">
        <v>200</v>
      </c>
      <c r="M558">
        <v>37</v>
      </c>
      <c r="N558">
        <v>25.9</v>
      </c>
      <c r="O558">
        <v>24.3</v>
      </c>
      <c r="P558">
        <v>2.3290000000000002E-2</v>
      </c>
      <c r="Q558">
        <v>4.62</v>
      </c>
      <c r="R558">
        <v>20.7</v>
      </c>
      <c r="S558">
        <v>9</v>
      </c>
      <c r="T558">
        <v>5</v>
      </c>
      <c r="U558">
        <v>45</v>
      </c>
      <c r="V558">
        <v>136.5</v>
      </c>
      <c r="W558">
        <v>232.9</v>
      </c>
      <c r="X558">
        <v>1.0480499999999999</v>
      </c>
      <c r="Y558">
        <v>2.52</v>
      </c>
      <c r="Z558">
        <v>5.8690800000000001E-2</v>
      </c>
      <c r="AA558">
        <v>5.6000000000000001E-2</v>
      </c>
      <c r="AB558">
        <v>10432.799999999999</v>
      </c>
      <c r="AC558">
        <v>1</v>
      </c>
      <c r="AD558" s="1" t="s">
        <v>44</v>
      </c>
      <c r="AE558">
        <v>0</v>
      </c>
      <c r="AF558">
        <v>1</v>
      </c>
      <c r="AG558">
        <v>18.519736842105264</v>
      </c>
    </row>
    <row r="559" spans="1:33">
      <c r="A559" s="1" t="s">
        <v>580</v>
      </c>
      <c r="B559" s="1" t="s">
        <v>1625</v>
      </c>
      <c r="C559" s="2">
        <v>47151</v>
      </c>
      <c r="D559" s="1" t="s">
        <v>34</v>
      </c>
      <c r="E559">
        <v>933</v>
      </c>
      <c r="F559" s="2">
        <v>46081</v>
      </c>
      <c r="G559" s="1" t="s">
        <v>581</v>
      </c>
      <c r="H559" s="1" t="s">
        <v>43</v>
      </c>
      <c r="I559" s="1" t="s">
        <v>37</v>
      </c>
      <c r="J559" s="1" t="s">
        <v>564</v>
      </c>
      <c r="K559" s="1" t="s">
        <v>39</v>
      </c>
      <c r="L559">
        <v>200</v>
      </c>
      <c r="M559">
        <v>37</v>
      </c>
      <c r="N559">
        <v>25.9</v>
      </c>
      <c r="O559">
        <v>24.3</v>
      </c>
      <c r="P559">
        <v>2.3290000000000002E-2</v>
      </c>
      <c r="Q559">
        <v>4.62</v>
      </c>
      <c r="R559">
        <v>20.7</v>
      </c>
      <c r="S559">
        <v>9</v>
      </c>
      <c r="T559">
        <v>5</v>
      </c>
      <c r="U559">
        <v>45</v>
      </c>
      <c r="V559">
        <v>136.5</v>
      </c>
      <c r="W559">
        <v>232.9</v>
      </c>
      <c r="X559">
        <v>1.0480499999999999</v>
      </c>
      <c r="Y559">
        <v>4.665</v>
      </c>
      <c r="Z559">
        <v>0.10864785</v>
      </c>
      <c r="AA559">
        <v>0.10366666666666667</v>
      </c>
      <c r="AB559">
        <v>19313.099999999999</v>
      </c>
      <c r="AC559">
        <v>1</v>
      </c>
      <c r="AD559" s="1" t="s">
        <v>44</v>
      </c>
      <c r="AE559">
        <v>0</v>
      </c>
      <c r="AF559">
        <v>1</v>
      </c>
      <c r="AG559">
        <v>35.19736842105263</v>
      </c>
    </row>
    <row r="560" spans="1:33">
      <c r="A560" s="1" t="s">
        <v>582</v>
      </c>
      <c r="B560" s="1" t="s">
        <v>1626</v>
      </c>
      <c r="C560" s="2">
        <v>46742</v>
      </c>
      <c r="D560" s="1" t="s">
        <v>34</v>
      </c>
      <c r="E560">
        <v>71587</v>
      </c>
      <c r="F560" s="2">
        <v>46081</v>
      </c>
      <c r="G560" s="1" t="s">
        <v>583</v>
      </c>
      <c r="H560" s="1" t="s">
        <v>43</v>
      </c>
      <c r="I560" s="1" t="s">
        <v>37</v>
      </c>
      <c r="J560" s="1" t="s">
        <v>564</v>
      </c>
      <c r="K560" s="1" t="s">
        <v>39</v>
      </c>
      <c r="L560">
        <v>200</v>
      </c>
      <c r="M560">
        <v>30.2</v>
      </c>
      <c r="N560">
        <v>30.3</v>
      </c>
      <c r="O560">
        <v>16.7</v>
      </c>
      <c r="P560">
        <v>1.528E-2</v>
      </c>
      <c r="Q560">
        <v>3.19</v>
      </c>
      <c r="R560">
        <v>23.99</v>
      </c>
      <c r="S560">
        <v>9</v>
      </c>
      <c r="T560">
        <v>6</v>
      </c>
      <c r="U560">
        <v>54</v>
      </c>
      <c r="V560">
        <v>115.2</v>
      </c>
      <c r="W560">
        <v>197.26</v>
      </c>
      <c r="X560">
        <v>0.82511999999999996</v>
      </c>
      <c r="Y560">
        <v>357.935</v>
      </c>
      <c r="Z560">
        <v>5.4692468000000005</v>
      </c>
      <c r="AA560">
        <v>6.6284259259259262</v>
      </c>
      <c r="AB560">
        <v>1717372.13</v>
      </c>
      <c r="AC560">
        <v>7</v>
      </c>
      <c r="AD560" s="1" t="s">
        <v>40</v>
      </c>
      <c r="AE560">
        <v>7</v>
      </c>
      <c r="AF560">
        <v>0</v>
      </c>
      <c r="AG560">
        <v>21.743421052631579</v>
      </c>
    </row>
    <row r="561" spans="1:33">
      <c r="A561" s="1" t="s">
        <v>584</v>
      </c>
      <c r="B561" s="1" t="s">
        <v>1627</v>
      </c>
      <c r="C561" s="2">
        <v>47039</v>
      </c>
      <c r="D561" s="1" t="s">
        <v>34</v>
      </c>
      <c r="E561">
        <v>74</v>
      </c>
      <c r="F561" s="2">
        <v>46081</v>
      </c>
      <c r="G561" s="1" t="s">
        <v>585</v>
      </c>
      <c r="H561" s="1" t="s">
        <v>36</v>
      </c>
      <c r="I561" s="1" t="s">
        <v>37</v>
      </c>
      <c r="J561" s="1" t="s">
        <v>564</v>
      </c>
      <c r="K561" s="1" t="s">
        <v>39</v>
      </c>
      <c r="L561">
        <v>120</v>
      </c>
      <c r="M561">
        <v>48.3</v>
      </c>
      <c r="N561">
        <v>39.799999999999997</v>
      </c>
      <c r="O561">
        <v>28.5</v>
      </c>
      <c r="P561">
        <v>5.4789999999999998E-2</v>
      </c>
      <c r="Q561">
        <v>7.81</v>
      </c>
      <c r="R561">
        <v>23.66</v>
      </c>
      <c r="S561">
        <v>6</v>
      </c>
      <c r="T561">
        <v>3</v>
      </c>
      <c r="U561">
        <v>18</v>
      </c>
      <c r="V561">
        <v>100.5</v>
      </c>
      <c r="W561">
        <v>165.57999999999998</v>
      </c>
      <c r="X561">
        <v>0.98621999999999999</v>
      </c>
      <c r="Y561">
        <v>0.6166666666666667</v>
      </c>
      <c r="Z561">
        <v>3.3787166666666667E-2</v>
      </c>
      <c r="AA561">
        <v>3.425925925925926E-2</v>
      </c>
      <c r="AB561">
        <v>1750.84</v>
      </c>
      <c r="AC561">
        <v>1</v>
      </c>
      <c r="AD561" s="1" t="s">
        <v>44</v>
      </c>
      <c r="AE561">
        <v>0</v>
      </c>
      <c r="AF561">
        <v>1</v>
      </c>
      <c r="AG561">
        <v>31.513157894736842</v>
      </c>
    </row>
    <row r="562" spans="1:33">
      <c r="A562" s="1" t="s">
        <v>584</v>
      </c>
      <c r="B562" s="1" t="s">
        <v>1628</v>
      </c>
      <c r="C562" s="2">
        <v>46273</v>
      </c>
      <c r="D562" s="1" t="s">
        <v>34</v>
      </c>
      <c r="E562">
        <v>8</v>
      </c>
      <c r="F562" s="2">
        <v>46081</v>
      </c>
      <c r="G562" s="1" t="s">
        <v>585</v>
      </c>
      <c r="H562" s="1" t="s">
        <v>36</v>
      </c>
      <c r="I562" s="1" t="s">
        <v>37</v>
      </c>
      <c r="J562" s="1" t="s">
        <v>564</v>
      </c>
      <c r="K562" s="1" t="s">
        <v>39</v>
      </c>
      <c r="L562">
        <v>120</v>
      </c>
      <c r="M562">
        <v>48.3</v>
      </c>
      <c r="N562">
        <v>39.799999999999997</v>
      </c>
      <c r="O562">
        <v>28.5</v>
      </c>
      <c r="P562">
        <v>5.4789999999999998E-2</v>
      </c>
      <c r="Q562">
        <v>7.81</v>
      </c>
      <c r="R562">
        <v>23.66</v>
      </c>
      <c r="S562">
        <v>6</v>
      </c>
      <c r="T562">
        <v>3</v>
      </c>
      <c r="U562">
        <v>18</v>
      </c>
      <c r="V562">
        <v>100.5</v>
      </c>
      <c r="W562">
        <v>165.57999999999998</v>
      </c>
      <c r="X562">
        <v>0.98621999999999999</v>
      </c>
      <c r="Y562">
        <v>6.6666666666666666E-2</v>
      </c>
      <c r="Z562">
        <v>3.6526666666666665E-3</v>
      </c>
      <c r="AA562">
        <v>3.7037037037037038E-3</v>
      </c>
      <c r="AB562">
        <v>189.28</v>
      </c>
      <c r="AC562">
        <v>1</v>
      </c>
      <c r="AD562" s="1" t="s">
        <v>44</v>
      </c>
      <c r="AE562">
        <v>0</v>
      </c>
      <c r="AF562">
        <v>1</v>
      </c>
      <c r="AG562">
        <v>6.3157894736842106</v>
      </c>
    </row>
    <row r="563" spans="1:33">
      <c r="A563" s="1" t="s">
        <v>584</v>
      </c>
      <c r="B563" s="1" t="s">
        <v>1629</v>
      </c>
      <c r="C563" s="2">
        <v>46653</v>
      </c>
      <c r="D563" s="1" t="s">
        <v>34</v>
      </c>
      <c r="E563">
        <v>36</v>
      </c>
      <c r="F563" s="2">
        <v>46081</v>
      </c>
      <c r="G563" s="1" t="s">
        <v>585</v>
      </c>
      <c r="H563" s="1" t="s">
        <v>36</v>
      </c>
      <c r="I563" s="1" t="s">
        <v>37</v>
      </c>
      <c r="J563" s="1" t="s">
        <v>564</v>
      </c>
      <c r="K563" s="1" t="s">
        <v>39</v>
      </c>
      <c r="L563">
        <v>120</v>
      </c>
      <c r="M563">
        <v>48.3</v>
      </c>
      <c r="N563">
        <v>39.799999999999997</v>
      </c>
      <c r="O563">
        <v>28.5</v>
      </c>
      <c r="P563">
        <v>5.4789999999999998E-2</v>
      </c>
      <c r="Q563">
        <v>7.81</v>
      </c>
      <c r="R563">
        <v>23.66</v>
      </c>
      <c r="S563">
        <v>6</v>
      </c>
      <c r="T563">
        <v>3</v>
      </c>
      <c r="U563">
        <v>18</v>
      </c>
      <c r="V563">
        <v>100.5</v>
      </c>
      <c r="W563">
        <v>165.57999999999998</v>
      </c>
      <c r="X563">
        <v>0.98621999999999999</v>
      </c>
      <c r="Y563">
        <v>0.3</v>
      </c>
      <c r="Z563">
        <v>1.6437E-2</v>
      </c>
      <c r="AA563">
        <v>1.6666666666666666E-2</v>
      </c>
      <c r="AB563">
        <v>851.76</v>
      </c>
      <c r="AC563">
        <v>1</v>
      </c>
      <c r="AD563" s="1" t="s">
        <v>44</v>
      </c>
      <c r="AE563">
        <v>0</v>
      </c>
      <c r="AF563">
        <v>1</v>
      </c>
      <c r="AG563">
        <v>18.815789473684212</v>
      </c>
    </row>
    <row r="564" spans="1:33">
      <c r="A564" s="1" t="s">
        <v>586</v>
      </c>
      <c r="B564" s="1" t="s">
        <v>1630</v>
      </c>
      <c r="C564" s="2">
        <v>46954</v>
      </c>
      <c r="D564" s="1" t="s">
        <v>34</v>
      </c>
      <c r="E564">
        <v>1515</v>
      </c>
      <c r="F564" s="2">
        <v>46081</v>
      </c>
      <c r="G564" s="1" t="s">
        <v>587</v>
      </c>
      <c r="H564" s="1" t="s">
        <v>577</v>
      </c>
      <c r="I564" s="1" t="s">
        <v>37</v>
      </c>
      <c r="J564" s="1" t="s">
        <v>564</v>
      </c>
      <c r="K564" s="1" t="s">
        <v>39</v>
      </c>
      <c r="L564">
        <v>120</v>
      </c>
      <c r="M564">
        <v>45.4</v>
      </c>
      <c r="N564">
        <v>39</v>
      </c>
      <c r="O564">
        <v>17.8</v>
      </c>
      <c r="P564">
        <v>3.1519999999999999E-2</v>
      </c>
      <c r="Q564">
        <v>4.7</v>
      </c>
      <c r="R564">
        <v>20.09</v>
      </c>
      <c r="S564">
        <v>6</v>
      </c>
      <c r="T564">
        <v>6</v>
      </c>
      <c r="U564">
        <v>36</v>
      </c>
      <c r="V564">
        <v>121.8</v>
      </c>
      <c r="W564">
        <v>194.2</v>
      </c>
      <c r="X564">
        <v>1.13472</v>
      </c>
      <c r="Y564">
        <v>12.625</v>
      </c>
      <c r="Z564">
        <v>0.39794000000000002</v>
      </c>
      <c r="AA564">
        <v>0.35069444444444442</v>
      </c>
      <c r="AB564">
        <v>30436.35</v>
      </c>
      <c r="AC564">
        <v>1</v>
      </c>
      <c r="AD564" s="1" t="s">
        <v>40</v>
      </c>
      <c r="AE564">
        <v>1</v>
      </c>
      <c r="AF564">
        <v>0</v>
      </c>
      <c r="AG564">
        <v>28.717105263157897</v>
      </c>
    </row>
    <row r="565" spans="1:33">
      <c r="A565" s="1" t="s">
        <v>588</v>
      </c>
      <c r="B565" s="1" t="s">
        <v>1631</v>
      </c>
      <c r="C565" s="2">
        <v>46903</v>
      </c>
      <c r="D565" s="1" t="s">
        <v>34</v>
      </c>
      <c r="E565">
        <v>13</v>
      </c>
      <c r="F565" s="2">
        <v>46081</v>
      </c>
      <c r="G565" s="1" t="s">
        <v>589</v>
      </c>
      <c r="H565" s="1" t="s">
        <v>43</v>
      </c>
      <c r="I565" s="1" t="s">
        <v>37</v>
      </c>
      <c r="J565" s="1" t="s">
        <v>564</v>
      </c>
      <c r="K565" s="1" t="s">
        <v>39</v>
      </c>
      <c r="L565">
        <v>100</v>
      </c>
      <c r="M565">
        <v>38.1</v>
      </c>
      <c r="N565">
        <v>33</v>
      </c>
      <c r="O565">
        <v>20.7</v>
      </c>
      <c r="P565">
        <v>2.6030000000000001E-2</v>
      </c>
      <c r="Q565">
        <v>4.6900000000000004</v>
      </c>
      <c r="R565">
        <v>12.02</v>
      </c>
      <c r="S565">
        <v>9</v>
      </c>
      <c r="T565">
        <v>5</v>
      </c>
      <c r="U565">
        <v>45</v>
      </c>
      <c r="V565">
        <v>118.5</v>
      </c>
      <c r="W565">
        <v>236.05</v>
      </c>
      <c r="X565">
        <v>1.1713499999999999</v>
      </c>
      <c r="Y565">
        <v>0.13</v>
      </c>
      <c r="Z565">
        <v>3.3839000000000004E-3</v>
      </c>
      <c r="AA565">
        <v>2.8888888888888892E-3</v>
      </c>
      <c r="AB565">
        <v>156.26</v>
      </c>
      <c r="AC565">
        <v>1</v>
      </c>
      <c r="AD565" s="1" t="s">
        <v>44</v>
      </c>
      <c r="AE565">
        <v>0</v>
      </c>
      <c r="AF565">
        <v>1</v>
      </c>
      <c r="AG565">
        <v>27.039473684210527</v>
      </c>
    </row>
    <row r="566" spans="1:33">
      <c r="A566" s="1" t="s">
        <v>588</v>
      </c>
      <c r="B566" s="1" t="s">
        <v>1632</v>
      </c>
      <c r="C566" s="2">
        <v>46174</v>
      </c>
      <c r="D566" s="1" t="s">
        <v>34</v>
      </c>
      <c r="E566">
        <v>155</v>
      </c>
      <c r="F566" s="2">
        <v>46081</v>
      </c>
      <c r="G566" s="1" t="s">
        <v>589</v>
      </c>
      <c r="H566" s="1" t="s">
        <v>43</v>
      </c>
      <c r="I566" s="1" t="s">
        <v>37</v>
      </c>
      <c r="J566" s="1" t="s">
        <v>564</v>
      </c>
      <c r="K566" s="1" t="s">
        <v>39</v>
      </c>
      <c r="L566">
        <v>100</v>
      </c>
      <c r="M566">
        <v>38.1</v>
      </c>
      <c r="N566">
        <v>33</v>
      </c>
      <c r="O566">
        <v>20.7</v>
      </c>
      <c r="P566">
        <v>2.6030000000000001E-2</v>
      </c>
      <c r="Q566">
        <v>4.6900000000000004</v>
      </c>
      <c r="R566">
        <v>12.02</v>
      </c>
      <c r="S566">
        <v>9</v>
      </c>
      <c r="T566">
        <v>5</v>
      </c>
      <c r="U566">
        <v>45</v>
      </c>
      <c r="V566">
        <v>118.5</v>
      </c>
      <c r="W566">
        <v>236.05</v>
      </c>
      <c r="X566">
        <v>1.1713499999999999</v>
      </c>
      <c r="Y566">
        <v>1.55</v>
      </c>
      <c r="Z566">
        <v>4.03465E-2</v>
      </c>
      <c r="AA566">
        <v>3.4444444444444444E-2</v>
      </c>
      <c r="AB566">
        <v>1863.1</v>
      </c>
      <c r="AC566">
        <v>1</v>
      </c>
      <c r="AD566" s="1" t="s">
        <v>44</v>
      </c>
      <c r="AE566">
        <v>0</v>
      </c>
      <c r="AF566">
        <v>1</v>
      </c>
      <c r="AG566">
        <v>3.0592105263157898</v>
      </c>
    </row>
    <row r="567" spans="1:33">
      <c r="A567" s="1" t="s">
        <v>588</v>
      </c>
      <c r="B567" s="1" t="s">
        <v>1633</v>
      </c>
      <c r="C567" s="2">
        <v>46120</v>
      </c>
      <c r="D567" s="1" t="s">
        <v>153</v>
      </c>
      <c r="E567">
        <v>5</v>
      </c>
      <c r="F567" s="2">
        <v>46081</v>
      </c>
      <c r="G567" s="1" t="s">
        <v>589</v>
      </c>
      <c r="H567" s="1" t="s">
        <v>43</v>
      </c>
      <c r="I567" s="1" t="s">
        <v>37</v>
      </c>
      <c r="J567" s="1" t="s">
        <v>564</v>
      </c>
      <c r="K567" s="1" t="s">
        <v>39</v>
      </c>
      <c r="L567">
        <v>100</v>
      </c>
      <c r="M567">
        <v>38.1</v>
      </c>
      <c r="N567">
        <v>33</v>
      </c>
      <c r="O567">
        <v>20.7</v>
      </c>
      <c r="P567">
        <v>2.6030000000000001E-2</v>
      </c>
      <c r="Q567">
        <v>4.6900000000000004</v>
      </c>
      <c r="R567">
        <v>12.02</v>
      </c>
      <c r="S567">
        <v>9</v>
      </c>
      <c r="T567">
        <v>5</v>
      </c>
      <c r="U567">
        <v>45</v>
      </c>
      <c r="V567">
        <v>118.5</v>
      </c>
      <c r="W567">
        <v>236.05</v>
      </c>
      <c r="X567">
        <v>1.1713499999999999</v>
      </c>
      <c r="Y567">
        <v>0.05</v>
      </c>
      <c r="Z567">
        <v>1.3015000000000001E-3</v>
      </c>
      <c r="AA567">
        <v>1.1111111111111111E-3</v>
      </c>
      <c r="AB567">
        <v>60.099999999999994</v>
      </c>
      <c r="AC567">
        <v>1</v>
      </c>
      <c r="AD567" s="1" t="s">
        <v>74</v>
      </c>
      <c r="AE567">
        <v>0</v>
      </c>
      <c r="AF567">
        <v>0</v>
      </c>
      <c r="AG567">
        <v>1.2828947368421053</v>
      </c>
    </row>
    <row r="568" spans="1:33">
      <c r="A568" s="1" t="s">
        <v>590</v>
      </c>
      <c r="B568" s="1" t="s">
        <v>1634</v>
      </c>
      <c r="C568" s="2">
        <v>47156</v>
      </c>
      <c r="D568" s="1" t="s">
        <v>34</v>
      </c>
      <c r="E568">
        <v>696</v>
      </c>
      <c r="F568" s="2">
        <v>46081</v>
      </c>
      <c r="G568" s="1" t="s">
        <v>591</v>
      </c>
      <c r="H568" s="1" t="s">
        <v>577</v>
      </c>
      <c r="I568" s="1" t="s">
        <v>37</v>
      </c>
      <c r="J568" s="1" t="s">
        <v>564</v>
      </c>
      <c r="K568" s="1" t="s">
        <v>39</v>
      </c>
      <c r="L568">
        <v>200</v>
      </c>
      <c r="M568">
        <v>49.1</v>
      </c>
      <c r="N568">
        <v>31.8</v>
      </c>
      <c r="O568">
        <v>25.5</v>
      </c>
      <c r="P568">
        <v>3.9820000000000001E-2</v>
      </c>
      <c r="Q568">
        <v>8.91</v>
      </c>
      <c r="R568">
        <v>24.28</v>
      </c>
      <c r="S568">
        <v>6</v>
      </c>
      <c r="T568">
        <v>5</v>
      </c>
      <c r="U568">
        <v>30</v>
      </c>
      <c r="V568">
        <v>142.5</v>
      </c>
      <c r="W568">
        <v>292.3</v>
      </c>
      <c r="X568">
        <v>1.1946000000000001</v>
      </c>
      <c r="Y568">
        <v>3.48</v>
      </c>
      <c r="Z568">
        <v>0.13857359999999999</v>
      </c>
      <c r="AA568">
        <v>0.11600000000000001</v>
      </c>
      <c r="AB568">
        <v>16898.88</v>
      </c>
      <c r="AC568">
        <v>1</v>
      </c>
      <c r="AD568" s="1" t="s">
        <v>44</v>
      </c>
      <c r="AE568">
        <v>0</v>
      </c>
      <c r="AF568">
        <v>1</v>
      </c>
      <c r="AG568">
        <v>35.361842105263158</v>
      </c>
    </row>
    <row r="569" spans="1:33">
      <c r="A569" s="1" t="s">
        <v>590</v>
      </c>
      <c r="B569" s="1" t="s">
        <v>1635</v>
      </c>
      <c r="C569" s="2">
        <v>46336</v>
      </c>
      <c r="D569" s="1" t="s">
        <v>34</v>
      </c>
      <c r="E569">
        <v>1865</v>
      </c>
      <c r="F569" s="2">
        <v>46081</v>
      </c>
      <c r="G569" s="1" t="s">
        <v>591</v>
      </c>
      <c r="H569" s="1" t="s">
        <v>577</v>
      </c>
      <c r="I569" s="1" t="s">
        <v>37</v>
      </c>
      <c r="J569" s="1" t="s">
        <v>564</v>
      </c>
      <c r="K569" s="1" t="s">
        <v>39</v>
      </c>
      <c r="L569">
        <v>200</v>
      </c>
      <c r="M569">
        <v>49.1</v>
      </c>
      <c r="N569">
        <v>31.8</v>
      </c>
      <c r="O569">
        <v>25.5</v>
      </c>
      <c r="P569">
        <v>3.9820000000000001E-2</v>
      </c>
      <c r="Q569">
        <v>8.91</v>
      </c>
      <c r="R569">
        <v>24.28</v>
      </c>
      <c r="S569">
        <v>6</v>
      </c>
      <c r="T569">
        <v>5</v>
      </c>
      <c r="U569">
        <v>30</v>
      </c>
      <c r="V569">
        <v>142.5</v>
      </c>
      <c r="W569">
        <v>292.3</v>
      </c>
      <c r="X569">
        <v>1.1946000000000001</v>
      </c>
      <c r="Y569">
        <v>9.3249999999999993</v>
      </c>
      <c r="Z569">
        <v>0.37132149999999997</v>
      </c>
      <c r="AA569">
        <v>0.31083333333333329</v>
      </c>
      <c r="AB569">
        <v>45282.200000000004</v>
      </c>
      <c r="AC569">
        <v>1</v>
      </c>
      <c r="AD569" s="1" t="s">
        <v>40</v>
      </c>
      <c r="AE569">
        <v>1</v>
      </c>
      <c r="AF569">
        <v>0</v>
      </c>
      <c r="AG569">
        <v>8.3881578947368425</v>
      </c>
    </row>
    <row r="570" spans="1:33">
      <c r="A570" s="1" t="s">
        <v>590</v>
      </c>
      <c r="B570" s="1" t="s">
        <v>1636</v>
      </c>
      <c r="C570" s="2">
        <v>46708</v>
      </c>
      <c r="D570" s="1" t="s">
        <v>34</v>
      </c>
      <c r="E570">
        <v>3720</v>
      </c>
      <c r="F570" s="2">
        <v>46081</v>
      </c>
      <c r="G570" s="1" t="s">
        <v>591</v>
      </c>
      <c r="H570" s="1" t="s">
        <v>577</v>
      </c>
      <c r="I570" s="1" t="s">
        <v>37</v>
      </c>
      <c r="J570" s="1" t="s">
        <v>564</v>
      </c>
      <c r="K570" s="1" t="s">
        <v>39</v>
      </c>
      <c r="L570">
        <v>200</v>
      </c>
      <c r="M570">
        <v>49.1</v>
      </c>
      <c r="N570">
        <v>31.8</v>
      </c>
      <c r="O570">
        <v>25.5</v>
      </c>
      <c r="P570">
        <v>3.9820000000000001E-2</v>
      </c>
      <c r="Q570">
        <v>8.91</v>
      </c>
      <c r="R570">
        <v>24.28</v>
      </c>
      <c r="S570">
        <v>6</v>
      </c>
      <c r="T570">
        <v>5</v>
      </c>
      <c r="U570">
        <v>30</v>
      </c>
      <c r="V570">
        <v>142.5</v>
      </c>
      <c r="W570">
        <v>292.3</v>
      </c>
      <c r="X570">
        <v>1.1946000000000001</v>
      </c>
      <c r="Y570">
        <v>18.600000000000001</v>
      </c>
      <c r="Z570">
        <v>0.74065200000000009</v>
      </c>
      <c r="AA570">
        <v>0.62</v>
      </c>
      <c r="AB570">
        <v>90321.600000000006</v>
      </c>
      <c r="AC570">
        <v>1</v>
      </c>
      <c r="AD570" s="1" t="s">
        <v>40</v>
      </c>
      <c r="AE570">
        <v>1</v>
      </c>
      <c r="AF570">
        <v>0</v>
      </c>
      <c r="AG570">
        <v>20.625</v>
      </c>
    </row>
    <row r="571" spans="1:33">
      <c r="A571" s="1" t="s">
        <v>590</v>
      </c>
      <c r="B571" s="1" t="s">
        <v>1637</v>
      </c>
      <c r="C571" s="2">
        <v>46508</v>
      </c>
      <c r="D571" s="1" t="s">
        <v>34</v>
      </c>
      <c r="E571">
        <v>948</v>
      </c>
      <c r="F571" s="2">
        <v>46081</v>
      </c>
      <c r="G571" s="1" t="s">
        <v>591</v>
      </c>
      <c r="H571" s="1" t="s">
        <v>577</v>
      </c>
      <c r="I571" s="1" t="s">
        <v>37</v>
      </c>
      <c r="J571" s="1" t="s">
        <v>564</v>
      </c>
      <c r="K571" s="1" t="s">
        <v>39</v>
      </c>
      <c r="L571">
        <v>200</v>
      </c>
      <c r="M571">
        <v>49.1</v>
      </c>
      <c r="N571">
        <v>31.8</v>
      </c>
      <c r="O571">
        <v>25.5</v>
      </c>
      <c r="P571">
        <v>3.9820000000000001E-2</v>
      </c>
      <c r="Q571">
        <v>8.91</v>
      </c>
      <c r="R571">
        <v>24.28</v>
      </c>
      <c r="S571">
        <v>6</v>
      </c>
      <c r="T571">
        <v>5</v>
      </c>
      <c r="U571">
        <v>30</v>
      </c>
      <c r="V571">
        <v>142.5</v>
      </c>
      <c r="W571">
        <v>292.3</v>
      </c>
      <c r="X571">
        <v>1.1946000000000001</v>
      </c>
      <c r="Y571">
        <v>4.74</v>
      </c>
      <c r="Z571">
        <v>0.18874680000000002</v>
      </c>
      <c r="AA571">
        <v>0.158</v>
      </c>
      <c r="AB571">
        <v>23017.440000000002</v>
      </c>
      <c r="AC571">
        <v>1</v>
      </c>
      <c r="AD571" s="1" t="s">
        <v>44</v>
      </c>
      <c r="AE571">
        <v>0</v>
      </c>
      <c r="AF571">
        <v>1</v>
      </c>
      <c r="AG571">
        <v>14.046052631578949</v>
      </c>
    </row>
    <row r="572" spans="1:33">
      <c r="A572" s="1" t="s">
        <v>590</v>
      </c>
      <c r="B572" s="1" t="s">
        <v>1638</v>
      </c>
      <c r="C572" s="2">
        <v>45721</v>
      </c>
      <c r="D572" s="1" t="s">
        <v>73</v>
      </c>
      <c r="E572">
        <v>578</v>
      </c>
      <c r="F572" s="2">
        <v>46081</v>
      </c>
      <c r="G572" s="1" t="s">
        <v>591</v>
      </c>
      <c r="H572" s="1" t="s">
        <v>577</v>
      </c>
      <c r="I572" s="1" t="s">
        <v>37</v>
      </c>
      <c r="J572" s="1" t="s">
        <v>564</v>
      </c>
      <c r="K572" s="1" t="s">
        <v>39</v>
      </c>
      <c r="L572">
        <v>200</v>
      </c>
      <c r="M572">
        <v>49.1</v>
      </c>
      <c r="N572">
        <v>31.8</v>
      </c>
      <c r="O572">
        <v>25.5</v>
      </c>
      <c r="P572">
        <v>3.9820000000000001E-2</v>
      </c>
      <c r="Q572">
        <v>8.91</v>
      </c>
      <c r="R572">
        <v>24.28</v>
      </c>
      <c r="S572">
        <v>6</v>
      </c>
      <c r="T572">
        <v>5</v>
      </c>
      <c r="U572">
        <v>30</v>
      </c>
      <c r="V572">
        <v>142.5</v>
      </c>
      <c r="W572">
        <v>292.3</v>
      </c>
      <c r="X572">
        <v>1.1946000000000001</v>
      </c>
      <c r="Y572">
        <v>2.89</v>
      </c>
      <c r="Z572">
        <v>0.11507980000000001</v>
      </c>
      <c r="AA572">
        <v>9.633333333333334E-2</v>
      </c>
      <c r="AB572">
        <v>14033.84</v>
      </c>
      <c r="AC572">
        <v>1</v>
      </c>
      <c r="AD572" s="1" t="s">
        <v>74</v>
      </c>
      <c r="AE572">
        <v>0</v>
      </c>
      <c r="AF572">
        <v>0</v>
      </c>
      <c r="AG572">
        <v>-11.842105263157896</v>
      </c>
    </row>
    <row r="573" spans="1:33">
      <c r="A573" s="1" t="s">
        <v>592</v>
      </c>
      <c r="B573" s="1" t="s">
        <v>1639</v>
      </c>
      <c r="C573" s="2">
        <v>46584</v>
      </c>
      <c r="D573" s="1" t="s">
        <v>34</v>
      </c>
      <c r="E573">
        <v>2520</v>
      </c>
      <c r="F573" s="2">
        <v>46081</v>
      </c>
      <c r="G573" s="1" t="s">
        <v>593</v>
      </c>
      <c r="H573" s="1" t="s">
        <v>70</v>
      </c>
      <c r="I573" s="1" t="s">
        <v>37</v>
      </c>
      <c r="J573" s="1" t="s">
        <v>564</v>
      </c>
      <c r="K573" s="1" t="s">
        <v>39</v>
      </c>
      <c r="L573">
        <v>60</v>
      </c>
      <c r="M573">
        <v>34.6</v>
      </c>
      <c r="N573">
        <v>37.6</v>
      </c>
      <c r="O573">
        <v>18.7</v>
      </c>
      <c r="P573">
        <v>2.4330000000000001E-2</v>
      </c>
      <c r="Q573">
        <v>6.22</v>
      </c>
      <c r="R573">
        <v>19.05</v>
      </c>
      <c r="S573">
        <v>6</v>
      </c>
      <c r="T573">
        <v>3</v>
      </c>
      <c r="U573">
        <v>18</v>
      </c>
      <c r="V573">
        <v>71.099999999999994</v>
      </c>
      <c r="W573">
        <v>136.95999999999998</v>
      </c>
      <c r="X573">
        <v>0.43794</v>
      </c>
      <c r="Y573">
        <v>42</v>
      </c>
      <c r="Z573">
        <v>1.02186</v>
      </c>
      <c r="AA573">
        <v>2.3333333333333335</v>
      </c>
      <c r="AB573">
        <v>48006</v>
      </c>
      <c r="AC573">
        <v>3</v>
      </c>
      <c r="AD573" s="1" t="s">
        <v>40</v>
      </c>
      <c r="AE573">
        <v>3</v>
      </c>
      <c r="AF573">
        <v>0</v>
      </c>
      <c r="AG573">
        <v>16.546052631578949</v>
      </c>
    </row>
    <row r="574" spans="1:33">
      <c r="A574" s="1" t="s">
        <v>592</v>
      </c>
      <c r="B574" s="1" t="s">
        <v>1640</v>
      </c>
      <c r="C574" s="2">
        <v>46243</v>
      </c>
      <c r="D574" s="1" t="s">
        <v>34</v>
      </c>
      <c r="E574">
        <v>261</v>
      </c>
      <c r="F574" s="2">
        <v>46081</v>
      </c>
      <c r="G574" s="1" t="s">
        <v>593</v>
      </c>
      <c r="H574" s="1" t="s">
        <v>70</v>
      </c>
      <c r="I574" s="1" t="s">
        <v>37</v>
      </c>
      <c r="J574" s="1" t="s">
        <v>564</v>
      </c>
      <c r="K574" s="1" t="s">
        <v>39</v>
      </c>
      <c r="L574">
        <v>60</v>
      </c>
      <c r="M574">
        <v>34.6</v>
      </c>
      <c r="N574">
        <v>37.6</v>
      </c>
      <c r="O574">
        <v>18.7</v>
      </c>
      <c r="P574">
        <v>2.4330000000000001E-2</v>
      </c>
      <c r="Q574">
        <v>6.22</v>
      </c>
      <c r="R574">
        <v>19.05</v>
      </c>
      <c r="S574">
        <v>6</v>
      </c>
      <c r="T574">
        <v>3</v>
      </c>
      <c r="U574">
        <v>18</v>
      </c>
      <c r="V574">
        <v>71.099999999999994</v>
      </c>
      <c r="W574">
        <v>136.95999999999998</v>
      </c>
      <c r="X574">
        <v>0.43794</v>
      </c>
      <c r="Y574">
        <v>4.3499999999999996</v>
      </c>
      <c r="Z574">
        <v>0.1058355</v>
      </c>
      <c r="AA574">
        <v>0.24166666666666664</v>
      </c>
      <c r="AB574">
        <v>4972.05</v>
      </c>
      <c r="AC574">
        <v>1</v>
      </c>
      <c r="AD574" s="1" t="s">
        <v>44</v>
      </c>
      <c r="AE574">
        <v>0</v>
      </c>
      <c r="AF574">
        <v>1</v>
      </c>
      <c r="AG574">
        <v>5.3289473684210531</v>
      </c>
    </row>
    <row r="575" spans="1:33">
      <c r="A575" s="1" t="s">
        <v>594</v>
      </c>
      <c r="B575" s="1" t="s">
        <v>1641</v>
      </c>
      <c r="C575" s="2">
        <v>46671</v>
      </c>
      <c r="D575" s="1" t="s">
        <v>34</v>
      </c>
      <c r="E575">
        <v>409</v>
      </c>
      <c r="F575" s="2">
        <v>46081</v>
      </c>
      <c r="G575" s="1" t="s">
        <v>595</v>
      </c>
      <c r="H575" s="1" t="s">
        <v>43</v>
      </c>
      <c r="I575" s="1" t="s">
        <v>37</v>
      </c>
      <c r="J575" s="1" t="s">
        <v>564</v>
      </c>
      <c r="K575" s="1" t="s">
        <v>39</v>
      </c>
      <c r="L575">
        <v>100</v>
      </c>
      <c r="M575">
        <v>53.7</v>
      </c>
      <c r="N575">
        <v>29.2</v>
      </c>
      <c r="O575">
        <v>25.5</v>
      </c>
      <c r="P575">
        <v>3.9989999999999998E-2</v>
      </c>
      <c r="Q575">
        <v>8.48</v>
      </c>
      <c r="R575">
        <v>27.32</v>
      </c>
      <c r="S575">
        <v>6</v>
      </c>
      <c r="T575">
        <v>5</v>
      </c>
      <c r="U575">
        <v>30</v>
      </c>
      <c r="V575">
        <v>142.5</v>
      </c>
      <c r="W575">
        <v>279.39999999999998</v>
      </c>
      <c r="X575">
        <v>1.1997</v>
      </c>
      <c r="Y575">
        <v>4.09</v>
      </c>
      <c r="Z575">
        <v>0.16355909999999999</v>
      </c>
      <c r="AA575">
        <v>0.13633333333333333</v>
      </c>
      <c r="AB575">
        <v>11173.880000000001</v>
      </c>
      <c r="AC575">
        <v>1</v>
      </c>
      <c r="AD575" s="1" t="s">
        <v>44</v>
      </c>
      <c r="AE575">
        <v>0</v>
      </c>
      <c r="AF575">
        <v>1</v>
      </c>
      <c r="AG575">
        <v>19.407894736842106</v>
      </c>
    </row>
    <row r="576" spans="1:33">
      <c r="A576" s="1" t="s">
        <v>594</v>
      </c>
      <c r="B576" s="1" t="s">
        <v>1642</v>
      </c>
      <c r="C576" s="2">
        <v>46417</v>
      </c>
      <c r="D576" s="1" t="s">
        <v>34</v>
      </c>
      <c r="E576">
        <v>455</v>
      </c>
      <c r="F576" s="2">
        <v>46081</v>
      </c>
      <c r="G576" s="1" t="s">
        <v>595</v>
      </c>
      <c r="H576" s="1" t="s">
        <v>43</v>
      </c>
      <c r="I576" s="1" t="s">
        <v>37</v>
      </c>
      <c r="J576" s="1" t="s">
        <v>564</v>
      </c>
      <c r="K576" s="1" t="s">
        <v>39</v>
      </c>
      <c r="L576">
        <v>100</v>
      </c>
      <c r="M576">
        <v>53.7</v>
      </c>
      <c r="N576">
        <v>29.2</v>
      </c>
      <c r="O576">
        <v>25.5</v>
      </c>
      <c r="P576">
        <v>3.9989999999999998E-2</v>
      </c>
      <c r="Q576">
        <v>8.48</v>
      </c>
      <c r="R576">
        <v>27.32</v>
      </c>
      <c r="S576">
        <v>6</v>
      </c>
      <c r="T576">
        <v>5</v>
      </c>
      <c r="U576">
        <v>30</v>
      </c>
      <c r="V576">
        <v>142.5</v>
      </c>
      <c r="W576">
        <v>279.39999999999998</v>
      </c>
      <c r="X576">
        <v>1.1997</v>
      </c>
      <c r="Y576">
        <v>4.55</v>
      </c>
      <c r="Z576">
        <v>0.18195449999999999</v>
      </c>
      <c r="AA576">
        <v>0.15166666666666667</v>
      </c>
      <c r="AB576">
        <v>12430.6</v>
      </c>
      <c r="AC576">
        <v>1</v>
      </c>
      <c r="AD576" s="1" t="s">
        <v>44</v>
      </c>
      <c r="AE576">
        <v>0</v>
      </c>
      <c r="AF576">
        <v>1</v>
      </c>
      <c r="AG576">
        <v>11.052631578947368</v>
      </c>
    </row>
    <row r="577" spans="1:33">
      <c r="A577" s="1" t="s">
        <v>596</v>
      </c>
      <c r="B577" s="1" t="s">
        <v>1643</v>
      </c>
      <c r="C577" s="2">
        <v>46836</v>
      </c>
      <c r="D577" s="1" t="s">
        <v>34</v>
      </c>
      <c r="E577">
        <v>1768</v>
      </c>
      <c r="F577" s="2">
        <v>46081</v>
      </c>
      <c r="G577" s="1" t="s">
        <v>597</v>
      </c>
      <c r="H577" s="1" t="s">
        <v>43</v>
      </c>
      <c r="I577" s="1" t="s">
        <v>37</v>
      </c>
      <c r="J577" s="1" t="s">
        <v>564</v>
      </c>
      <c r="K577" s="1" t="s">
        <v>39</v>
      </c>
      <c r="L577">
        <v>120</v>
      </c>
      <c r="M577">
        <v>41.8</v>
      </c>
      <c r="N577">
        <v>33.4</v>
      </c>
      <c r="O577">
        <v>29.3</v>
      </c>
      <c r="P577">
        <v>4.0910000000000002E-2</v>
      </c>
      <c r="Q577">
        <v>9.5399999999999991</v>
      </c>
      <c r="R577">
        <v>13.24</v>
      </c>
      <c r="S577">
        <v>6</v>
      </c>
      <c r="T577">
        <v>5</v>
      </c>
      <c r="U577">
        <v>30</v>
      </c>
      <c r="V577">
        <v>161.5</v>
      </c>
      <c r="W577">
        <v>311.2</v>
      </c>
      <c r="X577">
        <v>1.2273000000000001</v>
      </c>
      <c r="Y577">
        <v>14.733333333333333</v>
      </c>
      <c r="Z577">
        <v>0.6027406666666667</v>
      </c>
      <c r="AA577">
        <v>0.49111111111111111</v>
      </c>
      <c r="AB577">
        <v>23408.32</v>
      </c>
      <c r="AC577">
        <v>1</v>
      </c>
      <c r="AD577" s="1" t="s">
        <v>40</v>
      </c>
      <c r="AE577">
        <v>1</v>
      </c>
      <c r="AF577">
        <v>0</v>
      </c>
      <c r="AG577">
        <v>24.835526315789476</v>
      </c>
    </row>
    <row r="578" spans="1:33">
      <c r="A578" s="1" t="s">
        <v>598</v>
      </c>
      <c r="B578" s="1" t="s">
        <v>1644</v>
      </c>
      <c r="C578" s="2">
        <v>46197</v>
      </c>
      <c r="D578" s="1" t="s">
        <v>34</v>
      </c>
      <c r="E578">
        <v>12</v>
      </c>
      <c r="F578" s="2">
        <v>46081</v>
      </c>
      <c r="G578" s="1" t="s">
        <v>599</v>
      </c>
      <c r="H578" s="1" t="s">
        <v>70</v>
      </c>
      <c r="I578" s="1" t="s">
        <v>37</v>
      </c>
      <c r="J578" s="1" t="s">
        <v>564</v>
      </c>
      <c r="K578" s="1" t="s">
        <v>39</v>
      </c>
      <c r="L578">
        <v>200</v>
      </c>
      <c r="M578">
        <v>51.7</v>
      </c>
      <c r="N578">
        <v>39.5</v>
      </c>
      <c r="O578">
        <v>20.8</v>
      </c>
      <c r="P578">
        <v>4.2479999999999997E-2</v>
      </c>
      <c r="Q578">
        <v>9.07</v>
      </c>
      <c r="R578">
        <v>8.58</v>
      </c>
      <c r="S578">
        <v>3</v>
      </c>
      <c r="T578">
        <v>4</v>
      </c>
      <c r="U578">
        <v>12</v>
      </c>
      <c r="V578">
        <v>98.2</v>
      </c>
      <c r="W578">
        <v>133.84</v>
      </c>
      <c r="X578">
        <v>0.50975999999999999</v>
      </c>
      <c r="Y578">
        <v>0.06</v>
      </c>
      <c r="Z578">
        <v>2.5487999999999999E-3</v>
      </c>
      <c r="AA578">
        <v>5.0000000000000001E-3</v>
      </c>
      <c r="AB578">
        <v>102.96000000000001</v>
      </c>
      <c r="AC578">
        <v>1</v>
      </c>
      <c r="AD578" s="1" t="s">
        <v>44</v>
      </c>
      <c r="AE578">
        <v>0</v>
      </c>
      <c r="AF578">
        <v>1</v>
      </c>
      <c r="AG578">
        <v>3.8157894736842106</v>
      </c>
    </row>
    <row r="579" spans="1:33">
      <c r="A579" s="1" t="s">
        <v>600</v>
      </c>
      <c r="B579" s="1" t="s">
        <v>1645</v>
      </c>
      <c r="C579" s="2">
        <v>46631</v>
      </c>
      <c r="D579" s="1" t="s">
        <v>34</v>
      </c>
      <c r="E579">
        <v>574</v>
      </c>
      <c r="F579" s="2">
        <v>46081</v>
      </c>
      <c r="G579" s="1" t="s">
        <v>601</v>
      </c>
      <c r="H579" s="1" t="s">
        <v>70</v>
      </c>
      <c r="I579" s="1" t="s">
        <v>37</v>
      </c>
      <c r="J579" s="1" t="s">
        <v>564</v>
      </c>
      <c r="K579" s="1" t="s">
        <v>39</v>
      </c>
      <c r="L579">
        <v>60</v>
      </c>
      <c r="M579">
        <v>52.3</v>
      </c>
      <c r="N579">
        <v>35.1</v>
      </c>
      <c r="O579">
        <v>21.6</v>
      </c>
      <c r="P579">
        <v>3.9649999999999998E-2</v>
      </c>
      <c r="Q579">
        <v>8.99</v>
      </c>
      <c r="R579">
        <v>6.15</v>
      </c>
      <c r="S579">
        <v>4</v>
      </c>
      <c r="T579">
        <v>4</v>
      </c>
      <c r="U579">
        <v>16</v>
      </c>
      <c r="V579">
        <v>101.4</v>
      </c>
      <c r="W579">
        <v>168.84</v>
      </c>
      <c r="X579">
        <v>0.63439999999999996</v>
      </c>
      <c r="Y579">
        <v>9.5666666666666664</v>
      </c>
      <c r="Z579">
        <v>0.37931833333333331</v>
      </c>
      <c r="AA579">
        <v>0.59791666666666665</v>
      </c>
      <c r="AB579">
        <v>3530.1000000000004</v>
      </c>
      <c r="AC579">
        <v>1</v>
      </c>
      <c r="AD579" s="1" t="s">
        <v>40</v>
      </c>
      <c r="AE579">
        <v>1</v>
      </c>
      <c r="AF579">
        <v>0</v>
      </c>
      <c r="AG579">
        <v>18.092105263157897</v>
      </c>
    </row>
    <row r="580" spans="1:33">
      <c r="A580" s="1" t="s">
        <v>600</v>
      </c>
      <c r="B580" s="1" t="s">
        <v>1646</v>
      </c>
      <c r="C580" s="2">
        <v>46240</v>
      </c>
      <c r="D580" s="1" t="s">
        <v>34</v>
      </c>
      <c r="E580">
        <v>54</v>
      </c>
      <c r="F580" s="2">
        <v>46081</v>
      </c>
      <c r="G580" s="1" t="s">
        <v>601</v>
      </c>
      <c r="H580" s="1" t="s">
        <v>70</v>
      </c>
      <c r="I580" s="1" t="s">
        <v>37</v>
      </c>
      <c r="J580" s="1" t="s">
        <v>564</v>
      </c>
      <c r="K580" s="1" t="s">
        <v>39</v>
      </c>
      <c r="L580">
        <v>60</v>
      </c>
      <c r="M580">
        <v>52.3</v>
      </c>
      <c r="N580">
        <v>35.1</v>
      </c>
      <c r="O580">
        <v>21.6</v>
      </c>
      <c r="P580">
        <v>3.9649999999999998E-2</v>
      </c>
      <c r="Q580">
        <v>8.99</v>
      </c>
      <c r="R580">
        <v>6.15</v>
      </c>
      <c r="S580">
        <v>4</v>
      </c>
      <c r="T580">
        <v>4</v>
      </c>
      <c r="U580">
        <v>16</v>
      </c>
      <c r="V580">
        <v>101.4</v>
      </c>
      <c r="W580">
        <v>168.84</v>
      </c>
      <c r="X580">
        <v>0.63439999999999996</v>
      </c>
      <c r="Y580">
        <v>0.9</v>
      </c>
      <c r="Z580">
        <v>3.5685000000000001E-2</v>
      </c>
      <c r="AA580">
        <v>5.6250000000000001E-2</v>
      </c>
      <c r="AB580">
        <v>332.1</v>
      </c>
      <c r="AC580">
        <v>1</v>
      </c>
      <c r="AD580" s="1" t="s">
        <v>44</v>
      </c>
      <c r="AE580">
        <v>0</v>
      </c>
      <c r="AF580">
        <v>1</v>
      </c>
      <c r="AG580">
        <v>5.2302631578947372</v>
      </c>
    </row>
    <row r="581" spans="1:33">
      <c r="A581" s="1" t="s">
        <v>600</v>
      </c>
      <c r="B581" s="1" t="s">
        <v>1647</v>
      </c>
      <c r="C581" s="2">
        <v>47020</v>
      </c>
      <c r="D581" s="1" t="s">
        <v>34</v>
      </c>
      <c r="E581">
        <v>79</v>
      </c>
      <c r="F581" s="2">
        <v>46081</v>
      </c>
      <c r="G581" s="1" t="s">
        <v>601</v>
      </c>
      <c r="H581" s="1" t="s">
        <v>70</v>
      </c>
      <c r="I581" s="1" t="s">
        <v>37</v>
      </c>
      <c r="J581" s="1" t="s">
        <v>564</v>
      </c>
      <c r="K581" s="1" t="s">
        <v>39</v>
      </c>
      <c r="L581">
        <v>60</v>
      </c>
      <c r="M581">
        <v>52.3</v>
      </c>
      <c r="N581">
        <v>35.1</v>
      </c>
      <c r="O581">
        <v>21.6</v>
      </c>
      <c r="P581">
        <v>3.9649999999999998E-2</v>
      </c>
      <c r="Q581">
        <v>8.99</v>
      </c>
      <c r="R581">
        <v>6.15</v>
      </c>
      <c r="S581">
        <v>4</v>
      </c>
      <c r="T581">
        <v>4</v>
      </c>
      <c r="U581">
        <v>16</v>
      </c>
      <c r="V581">
        <v>101.4</v>
      </c>
      <c r="W581">
        <v>168.84</v>
      </c>
      <c r="X581">
        <v>0.63439999999999996</v>
      </c>
      <c r="Y581">
        <v>1.3166666666666667</v>
      </c>
      <c r="Z581">
        <v>5.2205833333333326E-2</v>
      </c>
      <c r="AA581">
        <v>8.2291666666666666E-2</v>
      </c>
      <c r="AB581">
        <v>485.85</v>
      </c>
      <c r="AC581">
        <v>1</v>
      </c>
      <c r="AD581" s="1" t="s">
        <v>44</v>
      </c>
      <c r="AE581">
        <v>0</v>
      </c>
      <c r="AF581">
        <v>1</v>
      </c>
      <c r="AG581">
        <v>30.888157894736842</v>
      </c>
    </row>
    <row r="582" spans="1:33">
      <c r="A582" s="1" t="s">
        <v>600</v>
      </c>
      <c r="B582" s="1" t="s">
        <v>1648</v>
      </c>
      <c r="C582" s="2">
        <v>47027</v>
      </c>
      <c r="D582" s="1" t="s">
        <v>34</v>
      </c>
      <c r="E582">
        <v>335</v>
      </c>
      <c r="F582" s="2">
        <v>46081</v>
      </c>
      <c r="G582" s="1" t="s">
        <v>601</v>
      </c>
      <c r="H582" s="1" t="s">
        <v>70</v>
      </c>
      <c r="I582" s="1" t="s">
        <v>37</v>
      </c>
      <c r="J582" s="1" t="s">
        <v>564</v>
      </c>
      <c r="K582" s="1" t="s">
        <v>39</v>
      </c>
      <c r="L582">
        <v>60</v>
      </c>
      <c r="M582">
        <v>52.3</v>
      </c>
      <c r="N582">
        <v>35.1</v>
      </c>
      <c r="O582">
        <v>21.6</v>
      </c>
      <c r="P582">
        <v>3.9649999999999998E-2</v>
      </c>
      <c r="Q582">
        <v>8.99</v>
      </c>
      <c r="R582">
        <v>6.15</v>
      </c>
      <c r="S582">
        <v>4</v>
      </c>
      <c r="T582">
        <v>4</v>
      </c>
      <c r="U582">
        <v>16</v>
      </c>
      <c r="V582">
        <v>101.4</v>
      </c>
      <c r="W582">
        <v>168.84</v>
      </c>
      <c r="X582">
        <v>0.63439999999999996</v>
      </c>
      <c r="Y582">
        <v>5.583333333333333</v>
      </c>
      <c r="Z582">
        <v>0.22137916666666665</v>
      </c>
      <c r="AA582">
        <v>0.34895833333333331</v>
      </c>
      <c r="AB582">
        <v>2060.25</v>
      </c>
      <c r="AC582">
        <v>1</v>
      </c>
      <c r="AD582" s="1" t="s">
        <v>44</v>
      </c>
      <c r="AE582">
        <v>0</v>
      </c>
      <c r="AF582">
        <v>1</v>
      </c>
      <c r="AG582">
        <v>31.118421052631579</v>
      </c>
    </row>
    <row r="583" spans="1:33">
      <c r="A583" s="1" t="s">
        <v>602</v>
      </c>
      <c r="B583" s="1" t="s">
        <v>1649</v>
      </c>
      <c r="C583" s="2">
        <v>46754</v>
      </c>
      <c r="D583" s="1" t="s">
        <v>34</v>
      </c>
      <c r="E583">
        <v>1166</v>
      </c>
      <c r="F583" s="2">
        <v>46081</v>
      </c>
      <c r="G583" s="1" t="s">
        <v>603</v>
      </c>
      <c r="H583" s="1" t="s">
        <v>36</v>
      </c>
      <c r="I583" s="1" t="s">
        <v>37</v>
      </c>
      <c r="J583" s="1" t="s">
        <v>564</v>
      </c>
      <c r="K583" s="1" t="s">
        <v>39</v>
      </c>
      <c r="L583">
        <v>100</v>
      </c>
      <c r="M583">
        <v>39.799999999999997</v>
      </c>
      <c r="N583">
        <v>37.1</v>
      </c>
      <c r="O583">
        <v>17.100000000000001</v>
      </c>
      <c r="P583">
        <v>2.5250000000000002E-2</v>
      </c>
      <c r="Q583">
        <v>6.15</v>
      </c>
      <c r="R583">
        <v>3.88</v>
      </c>
      <c r="S583">
        <v>6</v>
      </c>
      <c r="T583">
        <v>4</v>
      </c>
      <c r="U583">
        <v>24</v>
      </c>
      <c r="V583">
        <v>83.4</v>
      </c>
      <c r="W583">
        <v>172.60000000000002</v>
      </c>
      <c r="X583">
        <v>0.60600000000000009</v>
      </c>
      <c r="Y583">
        <v>11.66</v>
      </c>
      <c r="Z583">
        <v>0.29441500000000004</v>
      </c>
      <c r="AA583">
        <v>0.48583333333333334</v>
      </c>
      <c r="AB583">
        <v>4524.08</v>
      </c>
      <c r="AC583">
        <v>1</v>
      </c>
      <c r="AD583" s="1" t="s">
        <v>40</v>
      </c>
      <c r="AE583">
        <v>1</v>
      </c>
      <c r="AF583">
        <v>0</v>
      </c>
      <c r="AG583">
        <v>22.138157894736842</v>
      </c>
    </row>
    <row r="584" spans="1:33">
      <c r="A584" s="1" t="s">
        <v>602</v>
      </c>
      <c r="B584" s="1" t="s">
        <v>1650</v>
      </c>
      <c r="C584" s="2">
        <v>46914</v>
      </c>
      <c r="D584" s="1" t="s">
        <v>34</v>
      </c>
      <c r="E584">
        <v>3840</v>
      </c>
      <c r="F584" s="2">
        <v>46081</v>
      </c>
      <c r="G584" s="1" t="s">
        <v>603</v>
      </c>
      <c r="H584" s="1" t="s">
        <v>36</v>
      </c>
      <c r="I584" s="1" t="s">
        <v>37</v>
      </c>
      <c r="J584" s="1" t="s">
        <v>564</v>
      </c>
      <c r="K584" s="1" t="s">
        <v>39</v>
      </c>
      <c r="L584">
        <v>100</v>
      </c>
      <c r="M584">
        <v>39.799999999999997</v>
      </c>
      <c r="N584">
        <v>37.1</v>
      </c>
      <c r="O584">
        <v>17.100000000000001</v>
      </c>
      <c r="P584">
        <v>2.5250000000000002E-2</v>
      </c>
      <c r="Q584">
        <v>6.15</v>
      </c>
      <c r="R584">
        <v>3.88</v>
      </c>
      <c r="S584">
        <v>6</v>
      </c>
      <c r="T584">
        <v>4</v>
      </c>
      <c r="U584">
        <v>24</v>
      </c>
      <c r="V584">
        <v>83.4</v>
      </c>
      <c r="W584">
        <v>172.60000000000002</v>
      </c>
      <c r="X584">
        <v>0.60600000000000009</v>
      </c>
      <c r="Y584">
        <v>38.4</v>
      </c>
      <c r="Z584">
        <v>0.96960000000000002</v>
      </c>
      <c r="AA584">
        <v>1.5999999999999999</v>
      </c>
      <c r="AB584">
        <v>14899.199999999999</v>
      </c>
      <c r="AC584">
        <v>2</v>
      </c>
      <c r="AD584" s="1" t="s">
        <v>40</v>
      </c>
      <c r="AE584">
        <v>2</v>
      </c>
      <c r="AF584">
        <v>0</v>
      </c>
      <c r="AG584">
        <v>27.401315789473685</v>
      </c>
    </row>
    <row r="585" spans="1:33">
      <c r="A585" s="1" t="s">
        <v>604</v>
      </c>
      <c r="B585" s="1" t="s">
        <v>1651</v>
      </c>
      <c r="C585" s="2">
        <v>46813</v>
      </c>
      <c r="D585" s="1" t="s">
        <v>34</v>
      </c>
      <c r="E585">
        <v>797</v>
      </c>
      <c r="F585" s="2">
        <v>46081</v>
      </c>
      <c r="G585" s="1" t="s">
        <v>605</v>
      </c>
      <c r="H585" s="1" t="s">
        <v>43</v>
      </c>
      <c r="I585" s="1" t="s">
        <v>37</v>
      </c>
      <c r="J585" s="1" t="s">
        <v>564</v>
      </c>
      <c r="K585" s="1" t="s">
        <v>39</v>
      </c>
      <c r="L585">
        <v>60</v>
      </c>
      <c r="M585">
        <v>50.7</v>
      </c>
      <c r="N585">
        <v>28.9</v>
      </c>
      <c r="O585">
        <v>17.600000000000001</v>
      </c>
      <c r="P585">
        <v>2.579E-2</v>
      </c>
      <c r="Q585">
        <v>5.91</v>
      </c>
      <c r="R585">
        <v>27.93</v>
      </c>
      <c r="S585">
        <v>6</v>
      </c>
      <c r="T585">
        <v>3</v>
      </c>
      <c r="U585">
        <v>18</v>
      </c>
      <c r="V585">
        <v>67.800000000000011</v>
      </c>
      <c r="W585">
        <v>131.38</v>
      </c>
      <c r="X585">
        <v>0.46422000000000002</v>
      </c>
      <c r="Y585">
        <v>13.283333333333333</v>
      </c>
      <c r="Z585">
        <v>0.34257716666666665</v>
      </c>
      <c r="AA585">
        <v>0.73796296296296293</v>
      </c>
      <c r="AB585">
        <v>22260.21</v>
      </c>
      <c r="AC585">
        <v>1</v>
      </c>
      <c r="AD585" s="1" t="s">
        <v>40</v>
      </c>
      <c r="AE585">
        <v>1</v>
      </c>
      <c r="AF585">
        <v>0</v>
      </c>
      <c r="AG585">
        <v>24.078947368421055</v>
      </c>
    </row>
    <row r="586" spans="1:33">
      <c r="A586" s="1" t="s">
        <v>604</v>
      </c>
      <c r="B586" s="1" t="s">
        <v>1652</v>
      </c>
      <c r="C586" s="2">
        <v>47050</v>
      </c>
      <c r="D586" s="1" t="s">
        <v>34</v>
      </c>
      <c r="E586">
        <v>2085</v>
      </c>
      <c r="F586" s="2">
        <v>46081</v>
      </c>
      <c r="G586" s="1" t="s">
        <v>605</v>
      </c>
      <c r="H586" s="1" t="s">
        <v>43</v>
      </c>
      <c r="I586" s="1" t="s">
        <v>37</v>
      </c>
      <c r="J586" s="1" t="s">
        <v>564</v>
      </c>
      <c r="K586" s="1" t="s">
        <v>39</v>
      </c>
      <c r="L586">
        <v>60</v>
      </c>
      <c r="M586">
        <v>50.7</v>
      </c>
      <c r="N586">
        <v>28.9</v>
      </c>
      <c r="O586">
        <v>17.600000000000001</v>
      </c>
      <c r="P586">
        <v>2.579E-2</v>
      </c>
      <c r="Q586">
        <v>5.91</v>
      </c>
      <c r="R586">
        <v>27.93</v>
      </c>
      <c r="S586">
        <v>6</v>
      </c>
      <c r="T586">
        <v>3</v>
      </c>
      <c r="U586">
        <v>18</v>
      </c>
      <c r="V586">
        <v>67.800000000000011</v>
      </c>
      <c r="W586">
        <v>131.38</v>
      </c>
      <c r="X586">
        <v>0.46422000000000002</v>
      </c>
      <c r="Y586">
        <v>34.75</v>
      </c>
      <c r="Z586">
        <v>0.89620250000000001</v>
      </c>
      <c r="AA586">
        <v>1.9305555555555556</v>
      </c>
      <c r="AB586">
        <v>58234.05</v>
      </c>
      <c r="AC586">
        <v>2</v>
      </c>
      <c r="AD586" s="1" t="s">
        <v>40</v>
      </c>
      <c r="AE586">
        <v>2</v>
      </c>
      <c r="AF586">
        <v>0</v>
      </c>
      <c r="AG586">
        <v>31.875</v>
      </c>
    </row>
    <row r="587" spans="1:33">
      <c r="A587" s="1" t="s">
        <v>604</v>
      </c>
      <c r="B587" s="1" t="s">
        <v>1653</v>
      </c>
      <c r="C587" s="2">
        <v>46503</v>
      </c>
      <c r="D587" s="1" t="s">
        <v>34</v>
      </c>
      <c r="E587">
        <v>322</v>
      </c>
      <c r="F587" s="2">
        <v>46081</v>
      </c>
      <c r="G587" s="1" t="s">
        <v>605</v>
      </c>
      <c r="H587" s="1" t="s">
        <v>43</v>
      </c>
      <c r="I587" s="1" t="s">
        <v>37</v>
      </c>
      <c r="J587" s="1" t="s">
        <v>564</v>
      </c>
      <c r="K587" s="1" t="s">
        <v>39</v>
      </c>
      <c r="L587">
        <v>60</v>
      </c>
      <c r="M587">
        <v>50.7</v>
      </c>
      <c r="N587">
        <v>28.9</v>
      </c>
      <c r="O587">
        <v>17.600000000000001</v>
      </c>
      <c r="P587">
        <v>2.579E-2</v>
      </c>
      <c r="Q587">
        <v>5.91</v>
      </c>
      <c r="R587">
        <v>27.93</v>
      </c>
      <c r="S587">
        <v>6</v>
      </c>
      <c r="T587">
        <v>3</v>
      </c>
      <c r="U587">
        <v>18</v>
      </c>
      <c r="V587">
        <v>67.800000000000011</v>
      </c>
      <c r="W587">
        <v>131.38</v>
      </c>
      <c r="X587">
        <v>0.46422000000000002</v>
      </c>
      <c r="Y587">
        <v>5.3666666666666663</v>
      </c>
      <c r="Z587">
        <v>0.13840633333333333</v>
      </c>
      <c r="AA587">
        <v>0.29814814814814811</v>
      </c>
      <c r="AB587">
        <v>8993.4599999999991</v>
      </c>
      <c r="AC587">
        <v>1</v>
      </c>
      <c r="AD587" s="1" t="s">
        <v>44</v>
      </c>
      <c r="AE587">
        <v>0</v>
      </c>
      <c r="AF587">
        <v>1</v>
      </c>
      <c r="AG587">
        <v>13.881578947368421</v>
      </c>
    </row>
    <row r="588" spans="1:33">
      <c r="A588" s="1" t="s">
        <v>604</v>
      </c>
      <c r="B588" s="1" t="s">
        <v>1654</v>
      </c>
      <c r="C588" s="2">
        <v>46759</v>
      </c>
      <c r="D588" s="1" t="s">
        <v>34</v>
      </c>
      <c r="E588">
        <v>9360</v>
      </c>
      <c r="F588" s="2">
        <v>46081</v>
      </c>
      <c r="G588" s="1" t="s">
        <v>605</v>
      </c>
      <c r="H588" s="1" t="s">
        <v>43</v>
      </c>
      <c r="I588" s="1" t="s">
        <v>37</v>
      </c>
      <c r="J588" s="1" t="s">
        <v>564</v>
      </c>
      <c r="K588" s="1" t="s">
        <v>39</v>
      </c>
      <c r="L588">
        <v>60</v>
      </c>
      <c r="M588">
        <v>50.7</v>
      </c>
      <c r="N588">
        <v>28.9</v>
      </c>
      <c r="O588">
        <v>17.600000000000001</v>
      </c>
      <c r="P588">
        <v>2.579E-2</v>
      </c>
      <c r="Q588">
        <v>5.91</v>
      </c>
      <c r="R588">
        <v>27.93</v>
      </c>
      <c r="S588">
        <v>6</v>
      </c>
      <c r="T588">
        <v>3</v>
      </c>
      <c r="U588">
        <v>18</v>
      </c>
      <c r="V588">
        <v>67.800000000000011</v>
      </c>
      <c r="W588">
        <v>131.38</v>
      </c>
      <c r="X588">
        <v>0.46422000000000002</v>
      </c>
      <c r="Y588">
        <v>156</v>
      </c>
      <c r="Z588">
        <v>4.0232400000000004</v>
      </c>
      <c r="AA588">
        <v>8.6666666666666661</v>
      </c>
      <c r="AB588">
        <v>261424.8</v>
      </c>
      <c r="AC588">
        <v>9</v>
      </c>
      <c r="AD588" s="1" t="s">
        <v>40</v>
      </c>
      <c r="AE588">
        <v>9</v>
      </c>
      <c r="AF588">
        <v>0</v>
      </c>
      <c r="AG588">
        <v>22.30263157894737</v>
      </c>
    </row>
    <row r="589" spans="1:33">
      <c r="A589" s="1" t="s">
        <v>606</v>
      </c>
      <c r="B589" s="1" t="s">
        <v>1655</v>
      </c>
      <c r="C589" s="2">
        <v>46212</v>
      </c>
      <c r="D589" s="1" t="s">
        <v>34</v>
      </c>
      <c r="E589">
        <v>1417</v>
      </c>
      <c r="F589" s="2">
        <v>46081</v>
      </c>
      <c r="G589" s="1" t="s">
        <v>607</v>
      </c>
      <c r="H589" s="1" t="s">
        <v>43</v>
      </c>
      <c r="I589" s="1" t="s">
        <v>37</v>
      </c>
      <c r="J589" s="1" t="s">
        <v>564</v>
      </c>
      <c r="K589" s="1" t="s">
        <v>39</v>
      </c>
      <c r="L589">
        <v>120</v>
      </c>
      <c r="M589">
        <v>39.700000000000003</v>
      </c>
      <c r="N589">
        <v>26.6</v>
      </c>
      <c r="O589">
        <v>19.399999999999999</v>
      </c>
      <c r="P589">
        <v>2.0490000000000001E-2</v>
      </c>
      <c r="Q589">
        <v>5.09</v>
      </c>
      <c r="R589">
        <v>15.97</v>
      </c>
      <c r="S589">
        <v>9</v>
      </c>
      <c r="T589">
        <v>4</v>
      </c>
      <c r="U589">
        <v>36</v>
      </c>
      <c r="V589">
        <v>92.6</v>
      </c>
      <c r="W589">
        <v>208.24</v>
      </c>
      <c r="X589">
        <v>0.73764000000000007</v>
      </c>
      <c r="Y589">
        <v>11.808333333333334</v>
      </c>
      <c r="Z589">
        <v>0.24195275000000002</v>
      </c>
      <c r="AA589">
        <v>0.32800925925925928</v>
      </c>
      <c r="AB589">
        <v>22629.49</v>
      </c>
      <c r="AC589">
        <v>1</v>
      </c>
      <c r="AD589" s="1" t="s">
        <v>44</v>
      </c>
      <c r="AE589">
        <v>0</v>
      </c>
      <c r="AF589">
        <v>1</v>
      </c>
      <c r="AG589">
        <v>4.3092105263157894</v>
      </c>
    </row>
    <row r="590" spans="1:33">
      <c r="A590" s="1" t="s">
        <v>606</v>
      </c>
      <c r="B590" s="1" t="s">
        <v>1656</v>
      </c>
      <c r="C590" s="2">
        <v>46957</v>
      </c>
      <c r="D590" s="1" t="s">
        <v>34</v>
      </c>
      <c r="E590">
        <v>3588</v>
      </c>
      <c r="F590" s="2">
        <v>46081</v>
      </c>
      <c r="G590" s="1" t="s">
        <v>607</v>
      </c>
      <c r="H590" s="1" t="s">
        <v>43</v>
      </c>
      <c r="I590" s="1" t="s">
        <v>37</v>
      </c>
      <c r="J590" s="1" t="s">
        <v>564</v>
      </c>
      <c r="K590" s="1" t="s">
        <v>39</v>
      </c>
      <c r="L590">
        <v>120</v>
      </c>
      <c r="M590">
        <v>39.700000000000003</v>
      </c>
      <c r="N590">
        <v>26.6</v>
      </c>
      <c r="O590">
        <v>19.399999999999999</v>
      </c>
      <c r="P590">
        <v>2.0490000000000001E-2</v>
      </c>
      <c r="Q590">
        <v>5.09</v>
      </c>
      <c r="R590">
        <v>15.97</v>
      </c>
      <c r="S590">
        <v>9</v>
      </c>
      <c r="T590">
        <v>4</v>
      </c>
      <c r="U590">
        <v>36</v>
      </c>
      <c r="V590">
        <v>92.6</v>
      </c>
      <c r="W590">
        <v>208.24</v>
      </c>
      <c r="X590">
        <v>0.73764000000000007</v>
      </c>
      <c r="Y590">
        <v>29.9</v>
      </c>
      <c r="Z590">
        <v>0.61265100000000006</v>
      </c>
      <c r="AA590">
        <v>0.83055555555555549</v>
      </c>
      <c r="AB590">
        <v>57300.36</v>
      </c>
      <c r="AC590">
        <v>1</v>
      </c>
      <c r="AD590" s="1" t="s">
        <v>40</v>
      </c>
      <c r="AE590">
        <v>1</v>
      </c>
      <c r="AF590">
        <v>0</v>
      </c>
      <c r="AG590">
        <v>28.815789473684212</v>
      </c>
    </row>
    <row r="591" spans="1:33">
      <c r="A591" s="1" t="s">
        <v>606</v>
      </c>
      <c r="B591" s="1" t="s">
        <v>1657</v>
      </c>
      <c r="C591" s="2">
        <v>46512</v>
      </c>
      <c r="D591" s="1" t="s">
        <v>45</v>
      </c>
      <c r="E591">
        <v>100</v>
      </c>
      <c r="F591" s="2">
        <v>46081</v>
      </c>
      <c r="G591" s="1" t="s">
        <v>607</v>
      </c>
      <c r="H591" s="1" t="s">
        <v>43</v>
      </c>
      <c r="I591" s="1" t="s">
        <v>37</v>
      </c>
      <c r="J591" s="1" t="s">
        <v>564</v>
      </c>
      <c r="K591" s="1" t="s">
        <v>39</v>
      </c>
      <c r="L591">
        <v>120</v>
      </c>
      <c r="M591">
        <v>39.700000000000003</v>
      </c>
      <c r="N591">
        <v>26.6</v>
      </c>
      <c r="O591">
        <v>19.399999999999999</v>
      </c>
      <c r="P591">
        <v>2.0490000000000001E-2</v>
      </c>
      <c r="Q591">
        <v>5.09</v>
      </c>
      <c r="R591">
        <v>15.97</v>
      </c>
      <c r="S591">
        <v>9</v>
      </c>
      <c r="T591">
        <v>4</v>
      </c>
      <c r="U591">
        <v>36</v>
      </c>
      <c r="V591">
        <v>92.6</v>
      </c>
      <c r="W591">
        <v>208.24</v>
      </c>
      <c r="X591">
        <v>0.73764000000000007</v>
      </c>
      <c r="Y591">
        <v>0.83333333333333337</v>
      </c>
      <c r="Z591">
        <v>1.7075000000000003E-2</v>
      </c>
      <c r="AA591">
        <v>2.314814814814815E-2</v>
      </c>
      <c r="AB591">
        <v>1597</v>
      </c>
      <c r="AC591">
        <v>1</v>
      </c>
      <c r="AD591" s="1" t="s">
        <v>44</v>
      </c>
      <c r="AE591">
        <v>0</v>
      </c>
      <c r="AF591">
        <v>1</v>
      </c>
      <c r="AG591">
        <v>14.17763157894737</v>
      </c>
    </row>
    <row r="592" spans="1:33">
      <c r="A592" s="1" t="s">
        <v>608</v>
      </c>
      <c r="B592" s="1" t="s">
        <v>1658</v>
      </c>
      <c r="C592" s="2">
        <v>46418</v>
      </c>
      <c r="D592" s="1" t="s">
        <v>34</v>
      </c>
      <c r="E592">
        <v>13876</v>
      </c>
      <c r="F592" s="2">
        <v>46081</v>
      </c>
      <c r="G592" s="1" t="s">
        <v>609</v>
      </c>
      <c r="H592" s="1" t="s">
        <v>43</v>
      </c>
      <c r="I592" s="1" t="s">
        <v>37</v>
      </c>
      <c r="J592" s="1" t="s">
        <v>564</v>
      </c>
      <c r="K592" s="1" t="s">
        <v>39</v>
      </c>
      <c r="L592">
        <v>120</v>
      </c>
      <c r="M592">
        <v>36.6</v>
      </c>
      <c r="N592">
        <v>31.8</v>
      </c>
      <c r="O592">
        <v>25</v>
      </c>
      <c r="P592">
        <v>2.9100000000000001E-2</v>
      </c>
      <c r="Q592">
        <v>7.2</v>
      </c>
      <c r="R592">
        <v>17.2</v>
      </c>
      <c r="S592">
        <v>8</v>
      </c>
      <c r="T592">
        <v>4</v>
      </c>
      <c r="U592">
        <v>32</v>
      </c>
      <c r="V592">
        <v>115</v>
      </c>
      <c r="W592">
        <v>255.4</v>
      </c>
      <c r="X592">
        <v>0.93120000000000003</v>
      </c>
      <c r="Y592">
        <v>115.63333333333334</v>
      </c>
      <c r="Z592">
        <v>3.3649300000000002</v>
      </c>
      <c r="AA592">
        <v>3.6135416666666669</v>
      </c>
      <c r="AB592">
        <v>238667.19999999998</v>
      </c>
      <c r="AC592">
        <v>4</v>
      </c>
      <c r="AD592" s="1" t="s">
        <v>40</v>
      </c>
      <c r="AE592">
        <v>4</v>
      </c>
      <c r="AF592">
        <v>0</v>
      </c>
      <c r="AG592">
        <v>11.085526315789474</v>
      </c>
    </row>
    <row r="593" spans="1:33">
      <c r="A593" s="1" t="s">
        <v>610</v>
      </c>
      <c r="B593" s="1" t="s">
        <v>1659</v>
      </c>
      <c r="C593" s="2">
        <v>46348</v>
      </c>
      <c r="D593" s="1" t="s">
        <v>34</v>
      </c>
      <c r="E593">
        <v>2805</v>
      </c>
      <c r="F593" s="2">
        <v>46081</v>
      </c>
      <c r="G593" s="1" t="s">
        <v>611</v>
      </c>
      <c r="H593" s="1" t="s">
        <v>36</v>
      </c>
      <c r="I593" s="1" t="s">
        <v>37</v>
      </c>
      <c r="J593" s="1" t="s">
        <v>564</v>
      </c>
      <c r="K593" s="1" t="s">
        <v>39</v>
      </c>
      <c r="L593">
        <v>60</v>
      </c>
      <c r="M593">
        <v>42.2</v>
      </c>
      <c r="N593">
        <v>32.700000000000003</v>
      </c>
      <c r="O593">
        <v>20.2</v>
      </c>
      <c r="P593">
        <v>2.7869999999999999E-2</v>
      </c>
      <c r="Q593">
        <v>4.95</v>
      </c>
      <c r="R593">
        <v>11.45</v>
      </c>
      <c r="S593">
        <v>6</v>
      </c>
      <c r="T593">
        <v>5</v>
      </c>
      <c r="U593">
        <v>30</v>
      </c>
      <c r="V593">
        <v>116</v>
      </c>
      <c r="W593">
        <v>173.5</v>
      </c>
      <c r="X593">
        <v>0.83609999999999995</v>
      </c>
      <c r="Y593">
        <v>46.75</v>
      </c>
      <c r="Z593">
        <v>1.3029225</v>
      </c>
      <c r="AA593">
        <v>1.5583333333333333</v>
      </c>
      <c r="AB593">
        <v>32117.249999999996</v>
      </c>
      <c r="AC593">
        <v>2</v>
      </c>
      <c r="AD593" s="1" t="s">
        <v>40</v>
      </c>
      <c r="AE593">
        <v>2</v>
      </c>
      <c r="AF593">
        <v>0</v>
      </c>
      <c r="AG593">
        <v>8.7828947368421062</v>
      </c>
    </row>
    <row r="594" spans="1:33">
      <c r="A594" s="1" t="s">
        <v>610</v>
      </c>
      <c r="B594" s="1" t="s">
        <v>1660</v>
      </c>
      <c r="C594" s="2">
        <v>46282</v>
      </c>
      <c r="D594" s="1" t="s">
        <v>45</v>
      </c>
      <c r="E594">
        <v>56</v>
      </c>
      <c r="F594" s="2">
        <v>46081</v>
      </c>
      <c r="G594" s="1" t="s">
        <v>611</v>
      </c>
      <c r="H594" s="1" t="s">
        <v>36</v>
      </c>
      <c r="I594" s="1" t="s">
        <v>37</v>
      </c>
      <c r="J594" s="1" t="s">
        <v>564</v>
      </c>
      <c r="K594" s="1" t="s">
        <v>39</v>
      </c>
      <c r="L594">
        <v>60</v>
      </c>
      <c r="M594">
        <v>42.2</v>
      </c>
      <c r="N594">
        <v>32.700000000000003</v>
      </c>
      <c r="O594">
        <v>20.2</v>
      </c>
      <c r="P594">
        <v>2.7869999999999999E-2</v>
      </c>
      <c r="Q594">
        <v>4.95</v>
      </c>
      <c r="R594">
        <v>11.45</v>
      </c>
      <c r="S594">
        <v>6</v>
      </c>
      <c r="T594">
        <v>5</v>
      </c>
      <c r="U594">
        <v>30</v>
      </c>
      <c r="V594">
        <v>116</v>
      </c>
      <c r="W594">
        <v>173.5</v>
      </c>
      <c r="X594">
        <v>0.83609999999999995</v>
      </c>
      <c r="Y594">
        <v>0.93333333333333335</v>
      </c>
      <c r="Z594">
        <v>2.6012E-2</v>
      </c>
      <c r="AA594">
        <v>3.111111111111111E-2</v>
      </c>
      <c r="AB594">
        <v>641.19999999999993</v>
      </c>
      <c r="AC594">
        <v>1</v>
      </c>
      <c r="AD594" s="1" t="s">
        <v>44</v>
      </c>
      <c r="AE594">
        <v>0</v>
      </c>
      <c r="AF594">
        <v>1</v>
      </c>
      <c r="AG594">
        <v>6.6118421052631584</v>
      </c>
    </row>
    <row r="595" spans="1:33">
      <c r="A595" s="1" t="s">
        <v>612</v>
      </c>
      <c r="B595" s="1" t="s">
        <v>1661</v>
      </c>
      <c r="C595" s="2">
        <v>46535</v>
      </c>
      <c r="D595" s="1" t="s">
        <v>34</v>
      </c>
      <c r="E595">
        <v>1384</v>
      </c>
      <c r="F595" s="2">
        <v>46081</v>
      </c>
      <c r="G595" s="1" t="s">
        <v>613</v>
      </c>
      <c r="H595" s="1" t="s">
        <v>36</v>
      </c>
      <c r="I595" s="1" t="s">
        <v>37</v>
      </c>
      <c r="J595" s="1" t="s">
        <v>564</v>
      </c>
      <c r="K595" s="1" t="s">
        <v>39</v>
      </c>
      <c r="L595">
        <v>120</v>
      </c>
      <c r="M595">
        <v>34.5</v>
      </c>
      <c r="N595">
        <v>35.299999999999997</v>
      </c>
      <c r="O595">
        <v>15.4</v>
      </c>
      <c r="P595">
        <v>1.8749999999999999E-2</v>
      </c>
      <c r="Q595">
        <v>3.35</v>
      </c>
      <c r="R595">
        <v>15.31</v>
      </c>
      <c r="S595">
        <v>6</v>
      </c>
      <c r="T595">
        <v>4</v>
      </c>
      <c r="U595">
        <v>24</v>
      </c>
      <c r="V595">
        <v>76.599999999999994</v>
      </c>
      <c r="W595">
        <v>105.4</v>
      </c>
      <c r="X595">
        <v>0.4499999999999999</v>
      </c>
      <c r="Y595">
        <v>11.533333333333333</v>
      </c>
      <c r="Z595">
        <v>0.21625</v>
      </c>
      <c r="AA595">
        <v>0.48055555555555557</v>
      </c>
      <c r="AB595">
        <v>21189.040000000001</v>
      </c>
      <c r="AC595">
        <v>1</v>
      </c>
      <c r="AD595" s="1" t="s">
        <v>44</v>
      </c>
      <c r="AE595">
        <v>0</v>
      </c>
      <c r="AF595">
        <v>1</v>
      </c>
      <c r="AG595">
        <v>14.934210526315789</v>
      </c>
    </row>
    <row r="596" spans="1:33">
      <c r="A596" s="1" t="s">
        <v>612</v>
      </c>
      <c r="B596" s="1" t="s">
        <v>1662</v>
      </c>
      <c r="C596" s="2">
        <v>46698</v>
      </c>
      <c r="D596" s="1" t="s">
        <v>34</v>
      </c>
      <c r="E596">
        <v>3068</v>
      </c>
      <c r="F596" s="2">
        <v>46081</v>
      </c>
      <c r="G596" s="1" t="s">
        <v>613</v>
      </c>
      <c r="H596" s="1" t="s">
        <v>36</v>
      </c>
      <c r="I596" s="1" t="s">
        <v>37</v>
      </c>
      <c r="J596" s="1" t="s">
        <v>564</v>
      </c>
      <c r="K596" s="1" t="s">
        <v>39</v>
      </c>
      <c r="L596">
        <v>120</v>
      </c>
      <c r="M596">
        <v>34.5</v>
      </c>
      <c r="N596">
        <v>35.299999999999997</v>
      </c>
      <c r="O596">
        <v>15.4</v>
      </c>
      <c r="P596">
        <v>1.8749999999999999E-2</v>
      </c>
      <c r="Q596">
        <v>3.35</v>
      </c>
      <c r="R596">
        <v>15.31</v>
      </c>
      <c r="S596">
        <v>6</v>
      </c>
      <c r="T596">
        <v>4</v>
      </c>
      <c r="U596">
        <v>24</v>
      </c>
      <c r="V596">
        <v>76.599999999999994</v>
      </c>
      <c r="W596">
        <v>105.4</v>
      </c>
      <c r="X596">
        <v>0.4499999999999999</v>
      </c>
      <c r="Y596">
        <v>25.566666666666666</v>
      </c>
      <c r="Z596">
        <v>0.479375</v>
      </c>
      <c r="AA596">
        <v>1.0652777777777778</v>
      </c>
      <c r="AB596">
        <v>46971.08</v>
      </c>
      <c r="AC596">
        <v>2</v>
      </c>
      <c r="AD596" s="1" t="s">
        <v>40</v>
      </c>
      <c r="AE596">
        <v>2</v>
      </c>
      <c r="AF596">
        <v>0</v>
      </c>
      <c r="AG596">
        <v>20.296052631578949</v>
      </c>
    </row>
    <row r="597" spans="1:33">
      <c r="A597" s="1" t="s">
        <v>614</v>
      </c>
      <c r="B597" s="1" t="s">
        <v>1663</v>
      </c>
      <c r="C597" s="2">
        <v>46790</v>
      </c>
      <c r="D597" s="1" t="s">
        <v>34</v>
      </c>
      <c r="E597">
        <v>1462</v>
      </c>
      <c r="F597" s="2">
        <v>46081</v>
      </c>
      <c r="G597" s="1" t="s">
        <v>615</v>
      </c>
      <c r="H597" s="1" t="s">
        <v>43</v>
      </c>
      <c r="I597" s="1" t="s">
        <v>37</v>
      </c>
      <c r="J597" s="1" t="s">
        <v>564</v>
      </c>
      <c r="K597" s="1" t="s">
        <v>39</v>
      </c>
      <c r="L597">
        <v>100</v>
      </c>
      <c r="M597">
        <v>38.5</v>
      </c>
      <c r="N597">
        <v>29</v>
      </c>
      <c r="O597">
        <v>24.7</v>
      </c>
      <c r="P597">
        <v>2.758E-2</v>
      </c>
      <c r="Q597">
        <v>5.28</v>
      </c>
      <c r="R597">
        <v>25.75</v>
      </c>
      <c r="S597">
        <v>9</v>
      </c>
      <c r="T597">
        <v>5</v>
      </c>
      <c r="U597">
        <v>45</v>
      </c>
      <c r="V597">
        <v>138.5</v>
      </c>
      <c r="W597">
        <v>262.60000000000002</v>
      </c>
      <c r="X597">
        <v>1.2411000000000001</v>
      </c>
      <c r="Y597">
        <v>14.62</v>
      </c>
      <c r="Z597">
        <v>0.40321959999999996</v>
      </c>
      <c r="AA597">
        <v>0.32488888888888889</v>
      </c>
      <c r="AB597">
        <v>37646.5</v>
      </c>
      <c r="AC597">
        <v>1</v>
      </c>
      <c r="AD597" s="1" t="s">
        <v>40</v>
      </c>
      <c r="AE597">
        <v>1</v>
      </c>
      <c r="AF597">
        <v>0</v>
      </c>
      <c r="AG597">
        <v>23.322368421052634</v>
      </c>
    </row>
    <row r="598" spans="1:33">
      <c r="A598" s="1" t="s">
        <v>614</v>
      </c>
      <c r="B598" s="1" t="s">
        <v>1664</v>
      </c>
      <c r="C598" s="2">
        <v>46907</v>
      </c>
      <c r="D598" s="1" t="s">
        <v>34</v>
      </c>
      <c r="E598">
        <v>6863</v>
      </c>
      <c r="F598" s="2">
        <v>46081</v>
      </c>
      <c r="G598" s="1" t="s">
        <v>615</v>
      </c>
      <c r="H598" s="1" t="s">
        <v>43</v>
      </c>
      <c r="I598" s="1" t="s">
        <v>37</v>
      </c>
      <c r="J598" s="1" t="s">
        <v>564</v>
      </c>
      <c r="K598" s="1" t="s">
        <v>39</v>
      </c>
      <c r="L598">
        <v>100</v>
      </c>
      <c r="M598">
        <v>38.5</v>
      </c>
      <c r="N598">
        <v>29</v>
      </c>
      <c r="O598">
        <v>24.7</v>
      </c>
      <c r="P598">
        <v>2.758E-2</v>
      </c>
      <c r="Q598">
        <v>5.28</v>
      </c>
      <c r="R598">
        <v>25.75</v>
      </c>
      <c r="S598">
        <v>9</v>
      </c>
      <c r="T598">
        <v>5</v>
      </c>
      <c r="U598">
        <v>45</v>
      </c>
      <c r="V598">
        <v>138.5</v>
      </c>
      <c r="W598">
        <v>262.60000000000002</v>
      </c>
      <c r="X598">
        <v>1.2411000000000001</v>
      </c>
      <c r="Y598">
        <v>68.63</v>
      </c>
      <c r="Z598">
        <v>1.8928153999999999</v>
      </c>
      <c r="AA598">
        <v>1.5251111111111111</v>
      </c>
      <c r="AB598">
        <v>176722.25</v>
      </c>
      <c r="AC598">
        <v>2</v>
      </c>
      <c r="AD598" s="1" t="s">
        <v>40</v>
      </c>
      <c r="AE598">
        <v>2</v>
      </c>
      <c r="AF598">
        <v>0</v>
      </c>
      <c r="AG598">
        <v>27.171052631578949</v>
      </c>
    </row>
    <row r="599" spans="1:33">
      <c r="A599" s="1" t="s">
        <v>614</v>
      </c>
      <c r="B599" s="1" t="s">
        <v>1665</v>
      </c>
      <c r="C599" s="2">
        <v>45822</v>
      </c>
      <c r="D599" s="1" t="s">
        <v>73</v>
      </c>
      <c r="E599">
        <v>666</v>
      </c>
      <c r="F599" s="2">
        <v>46081</v>
      </c>
      <c r="G599" s="1" t="s">
        <v>615</v>
      </c>
      <c r="H599" s="1" t="s">
        <v>43</v>
      </c>
      <c r="I599" s="1" t="s">
        <v>37</v>
      </c>
      <c r="J599" s="1" t="s">
        <v>564</v>
      </c>
      <c r="K599" s="1" t="s">
        <v>39</v>
      </c>
      <c r="L599">
        <v>100</v>
      </c>
      <c r="M599">
        <v>38.5</v>
      </c>
      <c r="N599">
        <v>29</v>
      </c>
      <c r="O599">
        <v>24.7</v>
      </c>
      <c r="P599">
        <v>2.758E-2</v>
      </c>
      <c r="Q599">
        <v>5.28</v>
      </c>
      <c r="R599">
        <v>25.75</v>
      </c>
      <c r="S599">
        <v>9</v>
      </c>
      <c r="T599">
        <v>5</v>
      </c>
      <c r="U599">
        <v>45</v>
      </c>
      <c r="V599">
        <v>138.5</v>
      </c>
      <c r="W599">
        <v>262.60000000000002</v>
      </c>
      <c r="X599">
        <v>1.2411000000000001</v>
      </c>
      <c r="Y599">
        <v>6.66</v>
      </c>
      <c r="Z599">
        <v>0.18368280000000001</v>
      </c>
      <c r="AA599">
        <v>0.14799999999999999</v>
      </c>
      <c r="AB599">
        <v>17149.5</v>
      </c>
      <c r="AC599">
        <v>1</v>
      </c>
      <c r="AD599" s="1" t="s">
        <v>74</v>
      </c>
      <c r="AE599">
        <v>0</v>
      </c>
      <c r="AF599">
        <v>0</v>
      </c>
      <c r="AG599">
        <v>-8.5197368421052637</v>
      </c>
    </row>
    <row r="600" spans="1:33">
      <c r="A600" s="1" t="s">
        <v>616</v>
      </c>
      <c r="B600" s="1" t="s">
        <v>1666</v>
      </c>
      <c r="C600" s="2">
        <v>46182</v>
      </c>
      <c r="D600" s="1" t="s">
        <v>34</v>
      </c>
      <c r="E600">
        <v>8377</v>
      </c>
      <c r="F600" s="2">
        <v>46081</v>
      </c>
      <c r="G600" s="1" t="s">
        <v>617</v>
      </c>
      <c r="H600" s="1" t="s">
        <v>36</v>
      </c>
      <c r="I600" s="1" t="s">
        <v>37</v>
      </c>
      <c r="J600" s="1" t="s">
        <v>564</v>
      </c>
      <c r="K600" s="1" t="s">
        <v>39</v>
      </c>
      <c r="L600">
        <v>200</v>
      </c>
      <c r="M600">
        <v>53.7</v>
      </c>
      <c r="N600">
        <v>36.1</v>
      </c>
      <c r="O600">
        <v>20.3</v>
      </c>
      <c r="P600">
        <v>3.9350000000000003E-2</v>
      </c>
      <c r="Q600">
        <v>8.51</v>
      </c>
      <c r="R600">
        <v>6.37</v>
      </c>
      <c r="S600">
        <v>2</v>
      </c>
      <c r="T600">
        <v>5</v>
      </c>
      <c r="U600">
        <v>10</v>
      </c>
      <c r="V600">
        <v>116.5</v>
      </c>
      <c r="W600">
        <v>110.1</v>
      </c>
      <c r="X600">
        <v>0.39350000000000002</v>
      </c>
      <c r="Y600">
        <v>41.884999999999998</v>
      </c>
      <c r="Z600">
        <v>1.6481747500000001</v>
      </c>
      <c r="AA600">
        <v>4.1884999999999994</v>
      </c>
      <c r="AB600">
        <v>53361.49</v>
      </c>
      <c r="AC600">
        <v>5</v>
      </c>
      <c r="AD600" s="1" t="s">
        <v>40</v>
      </c>
      <c r="AE600">
        <v>5</v>
      </c>
      <c r="AF600">
        <v>0</v>
      </c>
      <c r="AG600">
        <v>3.3223684210526319</v>
      </c>
    </row>
    <row r="601" spans="1:33">
      <c r="A601" s="1" t="s">
        <v>618</v>
      </c>
      <c r="B601" s="1" t="s">
        <v>1667</v>
      </c>
      <c r="C601" s="2">
        <v>47107</v>
      </c>
      <c r="D601" s="1" t="s">
        <v>34</v>
      </c>
      <c r="E601">
        <v>1601</v>
      </c>
      <c r="F601" s="2">
        <v>46081</v>
      </c>
      <c r="G601" s="1" t="s">
        <v>619</v>
      </c>
      <c r="H601" s="1" t="s">
        <v>43</v>
      </c>
      <c r="I601" s="1" t="s">
        <v>37</v>
      </c>
      <c r="J601" s="1" t="s">
        <v>564</v>
      </c>
      <c r="K601" s="1" t="s">
        <v>39</v>
      </c>
      <c r="L601">
        <v>100</v>
      </c>
      <c r="M601">
        <v>42.2</v>
      </c>
      <c r="N601">
        <v>31.2</v>
      </c>
      <c r="O601">
        <v>19.2</v>
      </c>
      <c r="P601">
        <v>2.528E-2</v>
      </c>
      <c r="Q601">
        <v>3.85</v>
      </c>
      <c r="R601">
        <v>3.59</v>
      </c>
      <c r="S601">
        <v>6</v>
      </c>
      <c r="T601">
        <v>6</v>
      </c>
      <c r="U601">
        <v>36</v>
      </c>
      <c r="V601">
        <v>130.19999999999999</v>
      </c>
      <c r="W601">
        <v>163.6</v>
      </c>
      <c r="X601">
        <v>0.91008</v>
      </c>
      <c r="Y601">
        <v>16.010000000000002</v>
      </c>
      <c r="Z601">
        <v>0.40473280000000006</v>
      </c>
      <c r="AA601">
        <v>0.44472222222222224</v>
      </c>
      <c r="AB601">
        <v>5747.59</v>
      </c>
      <c r="AC601">
        <v>1</v>
      </c>
      <c r="AD601" s="1" t="s">
        <v>40</v>
      </c>
      <c r="AE601">
        <v>1</v>
      </c>
      <c r="AF601">
        <v>0</v>
      </c>
      <c r="AG601">
        <v>33.75</v>
      </c>
    </row>
    <row r="602" spans="1:33">
      <c r="A602" s="1" t="s">
        <v>620</v>
      </c>
      <c r="B602" s="1" t="s">
        <v>1668</v>
      </c>
      <c r="C602" s="2">
        <v>47066</v>
      </c>
      <c r="D602" s="1" t="s">
        <v>34</v>
      </c>
      <c r="E602">
        <v>4271</v>
      </c>
      <c r="F602" s="2">
        <v>46081</v>
      </c>
      <c r="G602" s="1" t="s">
        <v>621</v>
      </c>
      <c r="H602" s="1" t="s">
        <v>70</v>
      </c>
      <c r="I602" s="1" t="s">
        <v>37</v>
      </c>
      <c r="J602" s="1" t="s">
        <v>564</v>
      </c>
      <c r="K602" s="1" t="s">
        <v>39</v>
      </c>
      <c r="L602">
        <v>100</v>
      </c>
      <c r="M602">
        <v>32.799999999999997</v>
      </c>
      <c r="N602">
        <v>39.6</v>
      </c>
      <c r="O602">
        <v>17.600000000000001</v>
      </c>
      <c r="P602">
        <v>2.2859999999999998E-2</v>
      </c>
      <c r="Q602">
        <v>5.97</v>
      </c>
      <c r="R602">
        <v>10.119999999999999</v>
      </c>
      <c r="S602">
        <v>7</v>
      </c>
      <c r="T602">
        <v>6</v>
      </c>
      <c r="U602">
        <v>42</v>
      </c>
      <c r="V602">
        <v>120.6</v>
      </c>
      <c r="W602">
        <v>275.74</v>
      </c>
      <c r="X602">
        <v>0.96011999999999997</v>
      </c>
      <c r="Y602">
        <v>42.71</v>
      </c>
      <c r="Z602">
        <v>0.97635059999999996</v>
      </c>
      <c r="AA602">
        <v>1.016904761904762</v>
      </c>
      <c r="AB602">
        <v>43222.52</v>
      </c>
      <c r="AC602">
        <v>2</v>
      </c>
      <c r="AD602" s="1" t="s">
        <v>40</v>
      </c>
      <c r="AE602">
        <v>2</v>
      </c>
      <c r="AF602">
        <v>0</v>
      </c>
      <c r="AG602">
        <v>32.401315789473685</v>
      </c>
    </row>
    <row r="603" spans="1:33">
      <c r="A603" s="1" t="s">
        <v>620</v>
      </c>
      <c r="B603" s="1" t="s">
        <v>1669</v>
      </c>
      <c r="C603" s="2">
        <v>47116</v>
      </c>
      <c r="D603" s="1" t="s">
        <v>34</v>
      </c>
      <c r="E603">
        <v>3610</v>
      </c>
      <c r="F603" s="2">
        <v>46081</v>
      </c>
      <c r="G603" s="1" t="s">
        <v>621</v>
      </c>
      <c r="H603" s="1" t="s">
        <v>70</v>
      </c>
      <c r="I603" s="1" t="s">
        <v>37</v>
      </c>
      <c r="J603" s="1" t="s">
        <v>564</v>
      </c>
      <c r="K603" s="1" t="s">
        <v>39</v>
      </c>
      <c r="L603">
        <v>100</v>
      </c>
      <c r="M603">
        <v>32.799999999999997</v>
      </c>
      <c r="N603">
        <v>39.6</v>
      </c>
      <c r="O603">
        <v>17.600000000000001</v>
      </c>
      <c r="P603">
        <v>2.2859999999999998E-2</v>
      </c>
      <c r="Q603">
        <v>5.97</v>
      </c>
      <c r="R603">
        <v>10.119999999999999</v>
      </c>
      <c r="S603">
        <v>7</v>
      </c>
      <c r="T603">
        <v>6</v>
      </c>
      <c r="U603">
        <v>42</v>
      </c>
      <c r="V603">
        <v>120.6</v>
      </c>
      <c r="W603">
        <v>275.74</v>
      </c>
      <c r="X603">
        <v>0.96011999999999997</v>
      </c>
      <c r="Y603">
        <v>36.1</v>
      </c>
      <c r="Z603">
        <v>0.82524599999999992</v>
      </c>
      <c r="AA603">
        <v>0.85952380952380958</v>
      </c>
      <c r="AB603">
        <v>36533.199999999997</v>
      </c>
      <c r="AC603">
        <v>1</v>
      </c>
      <c r="AD603" s="1" t="s">
        <v>40</v>
      </c>
      <c r="AE603">
        <v>1</v>
      </c>
      <c r="AF603">
        <v>0</v>
      </c>
      <c r="AG603">
        <v>34.046052631578952</v>
      </c>
    </row>
    <row r="604" spans="1:33">
      <c r="A604" s="1" t="s">
        <v>622</v>
      </c>
      <c r="B604" s="1" t="s">
        <v>1670</v>
      </c>
      <c r="C604" s="2">
        <v>47045</v>
      </c>
      <c r="D604" s="1" t="s">
        <v>34</v>
      </c>
      <c r="E604">
        <v>1190</v>
      </c>
      <c r="F604" s="2">
        <v>46081</v>
      </c>
      <c r="G604" s="1" t="s">
        <v>623</v>
      </c>
      <c r="H604" s="1" t="s">
        <v>43</v>
      </c>
      <c r="I604" s="1" t="s">
        <v>37</v>
      </c>
      <c r="J604" s="1" t="s">
        <v>564</v>
      </c>
      <c r="K604" s="1" t="s">
        <v>39</v>
      </c>
      <c r="L604">
        <v>100</v>
      </c>
      <c r="M604">
        <v>53.9</v>
      </c>
      <c r="N604">
        <v>31.6</v>
      </c>
      <c r="O604">
        <v>25</v>
      </c>
      <c r="P604">
        <v>4.258E-2</v>
      </c>
      <c r="Q604">
        <v>7.14</v>
      </c>
      <c r="R604">
        <v>9.4</v>
      </c>
      <c r="S604">
        <v>4</v>
      </c>
      <c r="T604">
        <v>4</v>
      </c>
      <c r="U604">
        <v>16</v>
      </c>
      <c r="V604">
        <v>115</v>
      </c>
      <c r="W604">
        <v>139.24</v>
      </c>
      <c r="X604">
        <v>0.68128</v>
      </c>
      <c r="Y604">
        <v>11.9</v>
      </c>
      <c r="Z604">
        <v>0.50670199999999999</v>
      </c>
      <c r="AA604">
        <v>0.74375000000000002</v>
      </c>
      <c r="AB604">
        <v>11186</v>
      </c>
      <c r="AC604">
        <v>1</v>
      </c>
      <c r="AD604" s="1" t="s">
        <v>40</v>
      </c>
      <c r="AE604">
        <v>1</v>
      </c>
      <c r="AF604">
        <v>0</v>
      </c>
      <c r="AG604">
        <v>31.710526315789476</v>
      </c>
    </row>
    <row r="605" spans="1:33">
      <c r="A605" s="1" t="s">
        <v>622</v>
      </c>
      <c r="B605" s="1" t="s">
        <v>1671</v>
      </c>
      <c r="C605" s="2">
        <v>46440</v>
      </c>
      <c r="D605" s="1" t="s">
        <v>34</v>
      </c>
      <c r="E605">
        <v>228</v>
      </c>
      <c r="F605" s="2">
        <v>46081</v>
      </c>
      <c r="G605" s="1" t="s">
        <v>623</v>
      </c>
      <c r="H605" s="1" t="s">
        <v>43</v>
      </c>
      <c r="I605" s="1" t="s">
        <v>37</v>
      </c>
      <c r="J605" s="1" t="s">
        <v>564</v>
      </c>
      <c r="K605" s="1" t="s">
        <v>39</v>
      </c>
      <c r="L605">
        <v>100</v>
      </c>
      <c r="M605">
        <v>53.9</v>
      </c>
      <c r="N605">
        <v>31.6</v>
      </c>
      <c r="O605">
        <v>25</v>
      </c>
      <c r="P605">
        <v>4.258E-2</v>
      </c>
      <c r="Q605">
        <v>7.14</v>
      </c>
      <c r="R605">
        <v>9.4</v>
      </c>
      <c r="S605">
        <v>4</v>
      </c>
      <c r="T605">
        <v>4</v>
      </c>
      <c r="U605">
        <v>16</v>
      </c>
      <c r="V605">
        <v>115</v>
      </c>
      <c r="W605">
        <v>139.24</v>
      </c>
      <c r="X605">
        <v>0.68128</v>
      </c>
      <c r="Y605">
        <v>2.2799999999999998</v>
      </c>
      <c r="Z605">
        <v>9.7082399999999985E-2</v>
      </c>
      <c r="AA605">
        <v>0.14249999999999999</v>
      </c>
      <c r="AB605">
        <v>2143.2000000000003</v>
      </c>
      <c r="AC605">
        <v>1</v>
      </c>
      <c r="AD605" s="1" t="s">
        <v>44</v>
      </c>
      <c r="AE605">
        <v>0</v>
      </c>
      <c r="AF605">
        <v>1</v>
      </c>
      <c r="AG605">
        <v>11.809210526315789</v>
      </c>
    </row>
    <row r="606" spans="1:33">
      <c r="A606" s="1" t="s">
        <v>622</v>
      </c>
      <c r="B606" s="1" t="s">
        <v>1672</v>
      </c>
      <c r="C606" s="2">
        <v>46768</v>
      </c>
      <c r="D606" s="1" t="s">
        <v>49</v>
      </c>
      <c r="E606">
        <v>70</v>
      </c>
      <c r="F606" s="2">
        <v>46081</v>
      </c>
      <c r="G606" s="1" t="s">
        <v>623</v>
      </c>
      <c r="H606" s="1" t="s">
        <v>43</v>
      </c>
      <c r="I606" s="1" t="s">
        <v>37</v>
      </c>
      <c r="J606" s="1" t="s">
        <v>564</v>
      </c>
      <c r="K606" s="1" t="s">
        <v>39</v>
      </c>
      <c r="L606">
        <v>100</v>
      </c>
      <c r="M606">
        <v>53.9</v>
      </c>
      <c r="N606">
        <v>31.6</v>
      </c>
      <c r="O606">
        <v>25</v>
      </c>
      <c r="P606">
        <v>4.258E-2</v>
      </c>
      <c r="Q606">
        <v>7.14</v>
      </c>
      <c r="R606">
        <v>9.4</v>
      </c>
      <c r="S606">
        <v>4</v>
      </c>
      <c r="T606">
        <v>4</v>
      </c>
      <c r="U606">
        <v>16</v>
      </c>
      <c r="V606">
        <v>115</v>
      </c>
      <c r="W606">
        <v>139.24</v>
      </c>
      <c r="X606">
        <v>0.68128</v>
      </c>
      <c r="Y606">
        <v>0.7</v>
      </c>
      <c r="Z606">
        <v>2.9805999999999999E-2</v>
      </c>
      <c r="AA606">
        <v>4.3749999999999997E-2</v>
      </c>
      <c r="AB606">
        <v>658</v>
      </c>
      <c r="AC606">
        <v>1</v>
      </c>
      <c r="AD606" s="1" t="s">
        <v>44</v>
      </c>
      <c r="AE606">
        <v>0</v>
      </c>
      <c r="AF606">
        <v>1</v>
      </c>
      <c r="AG606">
        <v>22.598684210526319</v>
      </c>
    </row>
    <row r="607" spans="1:33">
      <c r="A607" s="1" t="s">
        <v>624</v>
      </c>
      <c r="B607" s="1" t="s">
        <v>1673</v>
      </c>
      <c r="C607" s="2">
        <v>47129</v>
      </c>
      <c r="D607" s="1" t="s">
        <v>34</v>
      </c>
      <c r="E607">
        <v>141</v>
      </c>
      <c r="F607" s="2">
        <v>46081</v>
      </c>
      <c r="G607" s="1" t="s">
        <v>625</v>
      </c>
      <c r="H607" s="1" t="s">
        <v>70</v>
      </c>
      <c r="I607" s="1" t="s">
        <v>37</v>
      </c>
      <c r="J607" s="1" t="s">
        <v>564</v>
      </c>
      <c r="K607" s="1" t="s">
        <v>39</v>
      </c>
      <c r="L607">
        <v>60</v>
      </c>
      <c r="M607">
        <v>43.7</v>
      </c>
      <c r="N607">
        <v>33.5</v>
      </c>
      <c r="O607">
        <v>25.5</v>
      </c>
      <c r="P607">
        <v>3.7330000000000002E-2</v>
      </c>
      <c r="Q607">
        <v>5.81</v>
      </c>
      <c r="R607">
        <v>28.49</v>
      </c>
      <c r="S607">
        <v>6</v>
      </c>
      <c r="T607">
        <v>2</v>
      </c>
      <c r="U607">
        <v>12</v>
      </c>
      <c r="V607">
        <v>66</v>
      </c>
      <c r="W607">
        <v>94.72</v>
      </c>
      <c r="X607">
        <v>0.44796000000000002</v>
      </c>
      <c r="Y607">
        <v>2.35</v>
      </c>
      <c r="Z607">
        <v>8.7725500000000012E-2</v>
      </c>
      <c r="AA607">
        <v>0.19583333333333333</v>
      </c>
      <c r="AB607">
        <v>4017.0899999999997</v>
      </c>
      <c r="AC607">
        <v>1</v>
      </c>
      <c r="AD607" s="1" t="s">
        <v>44</v>
      </c>
      <c r="AE607">
        <v>0</v>
      </c>
      <c r="AF607">
        <v>1</v>
      </c>
      <c r="AG607">
        <v>34.473684210526315</v>
      </c>
    </row>
    <row r="608" spans="1:33">
      <c r="A608" s="1" t="s">
        <v>624</v>
      </c>
      <c r="B608" s="1" t="s">
        <v>1674</v>
      </c>
      <c r="C608" s="2">
        <v>47047</v>
      </c>
      <c r="D608" s="1" t="s">
        <v>34</v>
      </c>
      <c r="E608">
        <v>293</v>
      </c>
      <c r="F608" s="2">
        <v>46081</v>
      </c>
      <c r="G608" s="1" t="s">
        <v>625</v>
      </c>
      <c r="H608" s="1" t="s">
        <v>70</v>
      </c>
      <c r="I608" s="1" t="s">
        <v>37</v>
      </c>
      <c r="J608" s="1" t="s">
        <v>564</v>
      </c>
      <c r="K608" s="1" t="s">
        <v>39</v>
      </c>
      <c r="L608">
        <v>60</v>
      </c>
      <c r="M608">
        <v>43.7</v>
      </c>
      <c r="N608">
        <v>33.5</v>
      </c>
      <c r="O608">
        <v>25.5</v>
      </c>
      <c r="P608">
        <v>3.7330000000000002E-2</v>
      </c>
      <c r="Q608">
        <v>5.81</v>
      </c>
      <c r="R608">
        <v>28.49</v>
      </c>
      <c r="S608">
        <v>6</v>
      </c>
      <c r="T608">
        <v>2</v>
      </c>
      <c r="U608">
        <v>12</v>
      </c>
      <c r="V608">
        <v>66</v>
      </c>
      <c r="W608">
        <v>94.72</v>
      </c>
      <c r="X608">
        <v>0.44796000000000002</v>
      </c>
      <c r="Y608">
        <v>4.8833333333333337</v>
      </c>
      <c r="Z608">
        <v>0.18229483333333335</v>
      </c>
      <c r="AA608">
        <v>0.4069444444444445</v>
      </c>
      <c r="AB608">
        <v>8347.57</v>
      </c>
      <c r="AC608">
        <v>1</v>
      </c>
      <c r="AD608" s="1" t="s">
        <v>44</v>
      </c>
      <c r="AE608">
        <v>0</v>
      </c>
      <c r="AF608">
        <v>1</v>
      </c>
      <c r="AG608">
        <v>31.776315789473685</v>
      </c>
    </row>
    <row r="609" spans="1:33">
      <c r="A609" s="1" t="s">
        <v>626</v>
      </c>
      <c r="B609" s="1" t="s">
        <v>1675</v>
      </c>
      <c r="C609" s="2">
        <v>46316</v>
      </c>
      <c r="D609" s="1" t="s">
        <v>34</v>
      </c>
      <c r="E609">
        <v>1229</v>
      </c>
      <c r="F609" s="2">
        <v>46081</v>
      </c>
      <c r="G609" s="1" t="s">
        <v>627</v>
      </c>
      <c r="H609" s="1" t="s">
        <v>70</v>
      </c>
      <c r="I609" s="1" t="s">
        <v>37</v>
      </c>
      <c r="J609" s="1" t="s">
        <v>564</v>
      </c>
      <c r="K609" s="1" t="s">
        <v>39</v>
      </c>
      <c r="L609">
        <v>120</v>
      </c>
      <c r="M609">
        <v>49</v>
      </c>
      <c r="N609">
        <v>33.6</v>
      </c>
      <c r="O609">
        <v>16.7</v>
      </c>
      <c r="P609">
        <v>2.7490000000000001E-2</v>
      </c>
      <c r="Q609">
        <v>7.62</v>
      </c>
      <c r="R609">
        <v>14.25</v>
      </c>
      <c r="S609">
        <v>6</v>
      </c>
      <c r="T609">
        <v>6</v>
      </c>
      <c r="U609">
        <v>36</v>
      </c>
      <c r="V609">
        <v>115.2</v>
      </c>
      <c r="W609">
        <v>299.32</v>
      </c>
      <c r="X609">
        <v>0.98963999999999996</v>
      </c>
      <c r="Y609">
        <v>10.241666666666667</v>
      </c>
      <c r="Z609">
        <v>0.28154341666666671</v>
      </c>
      <c r="AA609">
        <v>0.28449074074074077</v>
      </c>
      <c r="AB609">
        <v>17513.25</v>
      </c>
      <c r="AC609">
        <v>1</v>
      </c>
      <c r="AD609" s="1" t="s">
        <v>40</v>
      </c>
      <c r="AE609">
        <v>1</v>
      </c>
      <c r="AF609">
        <v>0</v>
      </c>
      <c r="AG609">
        <v>7.7302631578947372</v>
      </c>
    </row>
    <row r="610" spans="1:33">
      <c r="A610" s="1" t="s">
        <v>626</v>
      </c>
      <c r="B610" s="1" t="s">
        <v>1676</v>
      </c>
      <c r="C610" s="2">
        <v>46709</v>
      </c>
      <c r="D610" s="1" t="s">
        <v>34</v>
      </c>
      <c r="E610">
        <v>1010</v>
      </c>
      <c r="F610" s="2">
        <v>46081</v>
      </c>
      <c r="G610" s="1" t="s">
        <v>627</v>
      </c>
      <c r="H610" s="1" t="s">
        <v>70</v>
      </c>
      <c r="I610" s="1" t="s">
        <v>37</v>
      </c>
      <c r="J610" s="1" t="s">
        <v>564</v>
      </c>
      <c r="K610" s="1" t="s">
        <v>39</v>
      </c>
      <c r="L610">
        <v>120</v>
      </c>
      <c r="M610">
        <v>49</v>
      </c>
      <c r="N610">
        <v>33.6</v>
      </c>
      <c r="O610">
        <v>16.7</v>
      </c>
      <c r="P610">
        <v>2.7490000000000001E-2</v>
      </c>
      <c r="Q610">
        <v>7.62</v>
      </c>
      <c r="R610">
        <v>14.25</v>
      </c>
      <c r="S610">
        <v>6</v>
      </c>
      <c r="T610">
        <v>6</v>
      </c>
      <c r="U610">
        <v>36</v>
      </c>
      <c r="V610">
        <v>115.2</v>
      </c>
      <c r="W610">
        <v>299.32</v>
      </c>
      <c r="X610">
        <v>0.98963999999999996</v>
      </c>
      <c r="Y610">
        <v>8.4166666666666661</v>
      </c>
      <c r="Z610">
        <v>0.23137416666666666</v>
      </c>
      <c r="AA610">
        <v>0.23379629629629628</v>
      </c>
      <c r="AB610">
        <v>14392.5</v>
      </c>
      <c r="AC610">
        <v>1</v>
      </c>
      <c r="AD610" s="1" t="s">
        <v>44</v>
      </c>
      <c r="AE610">
        <v>0</v>
      </c>
      <c r="AF610">
        <v>1</v>
      </c>
      <c r="AG610">
        <v>20.657894736842106</v>
      </c>
    </row>
    <row r="611" spans="1:33">
      <c r="A611" s="1" t="s">
        <v>628</v>
      </c>
      <c r="B611" s="1" t="s">
        <v>1677</v>
      </c>
      <c r="C611" s="2">
        <v>46864</v>
      </c>
      <c r="D611" s="1" t="s">
        <v>34</v>
      </c>
      <c r="E611">
        <v>3098</v>
      </c>
      <c r="F611" s="2">
        <v>46081</v>
      </c>
      <c r="G611" s="1" t="s">
        <v>629</v>
      </c>
      <c r="H611" s="1" t="s">
        <v>43</v>
      </c>
      <c r="I611" s="1" t="s">
        <v>37</v>
      </c>
      <c r="J611" s="1" t="s">
        <v>564</v>
      </c>
      <c r="K611" s="1" t="s">
        <v>39</v>
      </c>
      <c r="L611">
        <v>200</v>
      </c>
      <c r="M611">
        <v>46.4</v>
      </c>
      <c r="N611">
        <v>26.7</v>
      </c>
      <c r="O611">
        <v>21.4</v>
      </c>
      <c r="P611">
        <v>2.6509999999999999E-2</v>
      </c>
      <c r="Q611">
        <v>5.33</v>
      </c>
      <c r="R611">
        <v>22.13</v>
      </c>
      <c r="S611">
        <v>8</v>
      </c>
      <c r="T611">
        <v>5</v>
      </c>
      <c r="U611">
        <v>40</v>
      </c>
      <c r="V611">
        <v>122</v>
      </c>
      <c r="W611">
        <v>238.2</v>
      </c>
      <c r="X611">
        <v>1.0604</v>
      </c>
      <c r="Y611">
        <v>15.49</v>
      </c>
      <c r="Z611">
        <v>0.4106399</v>
      </c>
      <c r="AA611">
        <v>0.38724999999999998</v>
      </c>
      <c r="AB611">
        <v>68558.739999999991</v>
      </c>
      <c r="AC611">
        <v>1</v>
      </c>
      <c r="AD611" s="1" t="s">
        <v>40</v>
      </c>
      <c r="AE611">
        <v>1</v>
      </c>
      <c r="AF611">
        <v>0</v>
      </c>
      <c r="AG611">
        <v>25.756578947368421</v>
      </c>
    </row>
    <row r="612" spans="1:33">
      <c r="A612" s="1" t="s">
        <v>628</v>
      </c>
      <c r="B612" s="1" t="s">
        <v>1678</v>
      </c>
      <c r="C612" s="2">
        <v>46373</v>
      </c>
      <c r="D612" s="1" t="s">
        <v>34</v>
      </c>
      <c r="E612">
        <v>1331</v>
      </c>
      <c r="F612" s="2">
        <v>46081</v>
      </c>
      <c r="G612" s="1" t="s">
        <v>629</v>
      </c>
      <c r="H612" s="1" t="s">
        <v>43</v>
      </c>
      <c r="I612" s="1" t="s">
        <v>37</v>
      </c>
      <c r="J612" s="1" t="s">
        <v>564</v>
      </c>
      <c r="K612" s="1" t="s">
        <v>39</v>
      </c>
      <c r="L612">
        <v>200</v>
      </c>
      <c r="M612">
        <v>46.4</v>
      </c>
      <c r="N612">
        <v>26.7</v>
      </c>
      <c r="O612">
        <v>21.4</v>
      </c>
      <c r="P612">
        <v>2.6509999999999999E-2</v>
      </c>
      <c r="Q612">
        <v>5.33</v>
      </c>
      <c r="R612">
        <v>22.13</v>
      </c>
      <c r="S612">
        <v>8</v>
      </c>
      <c r="T612">
        <v>5</v>
      </c>
      <c r="U612">
        <v>40</v>
      </c>
      <c r="V612">
        <v>122</v>
      </c>
      <c r="W612">
        <v>238.2</v>
      </c>
      <c r="X612">
        <v>1.0604</v>
      </c>
      <c r="Y612">
        <v>6.6550000000000002</v>
      </c>
      <c r="Z612">
        <v>0.17642405</v>
      </c>
      <c r="AA612">
        <v>0.166375</v>
      </c>
      <c r="AB612">
        <v>29455.03</v>
      </c>
      <c r="AC612">
        <v>1</v>
      </c>
      <c r="AD612" s="1" t="s">
        <v>44</v>
      </c>
      <c r="AE612">
        <v>0</v>
      </c>
      <c r="AF612">
        <v>1</v>
      </c>
      <c r="AG612">
        <v>9.6052631578947381</v>
      </c>
    </row>
    <row r="613" spans="1:33">
      <c r="A613" s="1" t="s">
        <v>628</v>
      </c>
      <c r="B613" s="1" t="s">
        <v>1679</v>
      </c>
      <c r="C613" s="2">
        <v>46317</v>
      </c>
      <c r="D613" s="1" t="s">
        <v>34</v>
      </c>
      <c r="E613">
        <v>327</v>
      </c>
      <c r="F613" s="2">
        <v>46081</v>
      </c>
      <c r="G613" s="1" t="s">
        <v>629</v>
      </c>
      <c r="H613" s="1" t="s">
        <v>43</v>
      </c>
      <c r="I613" s="1" t="s">
        <v>37</v>
      </c>
      <c r="J613" s="1" t="s">
        <v>564</v>
      </c>
      <c r="K613" s="1" t="s">
        <v>39</v>
      </c>
      <c r="L613">
        <v>200</v>
      </c>
      <c r="M613">
        <v>46.4</v>
      </c>
      <c r="N613">
        <v>26.7</v>
      </c>
      <c r="O613">
        <v>21.4</v>
      </c>
      <c r="P613">
        <v>2.6509999999999999E-2</v>
      </c>
      <c r="Q613">
        <v>5.33</v>
      </c>
      <c r="R613">
        <v>22.13</v>
      </c>
      <c r="S613">
        <v>8</v>
      </c>
      <c r="T613">
        <v>5</v>
      </c>
      <c r="U613">
        <v>40</v>
      </c>
      <c r="V613">
        <v>122</v>
      </c>
      <c r="W613">
        <v>238.2</v>
      </c>
      <c r="X613">
        <v>1.0604</v>
      </c>
      <c r="Y613">
        <v>1.635</v>
      </c>
      <c r="Z613">
        <v>4.3343849999999996E-2</v>
      </c>
      <c r="AA613">
        <v>4.0875000000000002E-2</v>
      </c>
      <c r="AB613">
        <v>7236.5099999999993</v>
      </c>
      <c r="AC613">
        <v>1</v>
      </c>
      <c r="AD613" s="1" t="s">
        <v>44</v>
      </c>
      <c r="AE613">
        <v>0</v>
      </c>
      <c r="AF613">
        <v>1</v>
      </c>
      <c r="AG613">
        <v>7.7631578947368425</v>
      </c>
    </row>
    <row r="614" spans="1:33">
      <c r="A614" s="1" t="s">
        <v>630</v>
      </c>
      <c r="B614" s="1" t="s">
        <v>1680</v>
      </c>
      <c r="C614" s="2">
        <v>46322</v>
      </c>
      <c r="D614" s="1" t="s">
        <v>34</v>
      </c>
      <c r="E614">
        <v>1163</v>
      </c>
      <c r="F614" s="2">
        <v>46081</v>
      </c>
      <c r="G614" s="1" t="s">
        <v>631</v>
      </c>
      <c r="H614" s="1" t="s">
        <v>43</v>
      </c>
      <c r="I614" s="1" t="s">
        <v>37</v>
      </c>
      <c r="J614" s="1" t="s">
        <v>564</v>
      </c>
      <c r="K614" s="1" t="s">
        <v>39</v>
      </c>
      <c r="L614">
        <v>200</v>
      </c>
      <c r="M614">
        <v>32.200000000000003</v>
      </c>
      <c r="N614">
        <v>28.8</v>
      </c>
      <c r="O614">
        <v>16.899999999999999</v>
      </c>
      <c r="P614">
        <v>1.567E-2</v>
      </c>
      <c r="Q614">
        <v>3.61</v>
      </c>
      <c r="R614">
        <v>15.5</v>
      </c>
      <c r="S614">
        <v>12</v>
      </c>
      <c r="T614">
        <v>5</v>
      </c>
      <c r="U614">
        <v>60</v>
      </c>
      <c r="V614">
        <v>99.5</v>
      </c>
      <c r="W614">
        <v>241.6</v>
      </c>
      <c r="X614">
        <v>0.94020000000000004</v>
      </c>
      <c r="Y614">
        <v>5.8150000000000004</v>
      </c>
      <c r="Z614">
        <v>9.1121050000000009E-2</v>
      </c>
      <c r="AA614">
        <v>9.6916666666666679E-2</v>
      </c>
      <c r="AB614">
        <v>18026.5</v>
      </c>
      <c r="AC614">
        <v>1</v>
      </c>
      <c r="AD614" s="1" t="s">
        <v>44</v>
      </c>
      <c r="AE614">
        <v>0</v>
      </c>
      <c r="AF614">
        <v>1</v>
      </c>
      <c r="AG614">
        <v>7.927631578947369</v>
      </c>
    </row>
    <row r="615" spans="1:33">
      <c r="A615" s="1" t="s">
        <v>630</v>
      </c>
      <c r="B615" s="1" t="s">
        <v>1681</v>
      </c>
      <c r="C615" s="2">
        <v>47033</v>
      </c>
      <c r="D615" s="1" t="s">
        <v>34</v>
      </c>
      <c r="E615">
        <v>3771</v>
      </c>
      <c r="F615" s="2">
        <v>46081</v>
      </c>
      <c r="G615" s="1" t="s">
        <v>631</v>
      </c>
      <c r="H615" s="1" t="s">
        <v>43</v>
      </c>
      <c r="I615" s="1" t="s">
        <v>37</v>
      </c>
      <c r="J615" s="1" t="s">
        <v>564</v>
      </c>
      <c r="K615" s="1" t="s">
        <v>39</v>
      </c>
      <c r="L615">
        <v>200</v>
      </c>
      <c r="M615">
        <v>32.200000000000003</v>
      </c>
      <c r="N615">
        <v>28.8</v>
      </c>
      <c r="O615">
        <v>16.899999999999999</v>
      </c>
      <c r="P615">
        <v>1.567E-2</v>
      </c>
      <c r="Q615">
        <v>3.61</v>
      </c>
      <c r="R615">
        <v>15.5</v>
      </c>
      <c r="S615">
        <v>12</v>
      </c>
      <c r="T615">
        <v>5</v>
      </c>
      <c r="U615">
        <v>60</v>
      </c>
      <c r="V615">
        <v>99.5</v>
      </c>
      <c r="W615">
        <v>241.6</v>
      </c>
      <c r="X615">
        <v>0.94020000000000004</v>
      </c>
      <c r="Y615">
        <v>18.855</v>
      </c>
      <c r="Z615">
        <v>0.29545785000000002</v>
      </c>
      <c r="AA615">
        <v>0.31425000000000003</v>
      </c>
      <c r="AB615">
        <v>58450.5</v>
      </c>
      <c r="AC615">
        <v>1</v>
      </c>
      <c r="AD615" s="1" t="s">
        <v>40</v>
      </c>
      <c r="AE615">
        <v>1</v>
      </c>
      <c r="AF615">
        <v>0</v>
      </c>
      <c r="AG615">
        <v>31.315789473684212</v>
      </c>
    </row>
    <row r="616" spans="1:33">
      <c r="A616" s="1" t="s">
        <v>630</v>
      </c>
      <c r="B616" s="1" t="s">
        <v>1682</v>
      </c>
      <c r="C616" s="2">
        <v>46466</v>
      </c>
      <c r="D616" s="1" t="s">
        <v>34</v>
      </c>
      <c r="E616">
        <v>183</v>
      </c>
      <c r="F616" s="2">
        <v>46081</v>
      </c>
      <c r="G616" s="1" t="s">
        <v>631</v>
      </c>
      <c r="H616" s="1" t="s">
        <v>43</v>
      </c>
      <c r="I616" s="1" t="s">
        <v>37</v>
      </c>
      <c r="J616" s="1" t="s">
        <v>564</v>
      </c>
      <c r="K616" s="1" t="s">
        <v>39</v>
      </c>
      <c r="L616">
        <v>200</v>
      </c>
      <c r="M616">
        <v>32.200000000000003</v>
      </c>
      <c r="N616">
        <v>28.8</v>
      </c>
      <c r="O616">
        <v>16.899999999999999</v>
      </c>
      <c r="P616">
        <v>1.567E-2</v>
      </c>
      <c r="Q616">
        <v>3.61</v>
      </c>
      <c r="R616">
        <v>15.5</v>
      </c>
      <c r="S616">
        <v>12</v>
      </c>
      <c r="T616">
        <v>5</v>
      </c>
      <c r="U616">
        <v>60</v>
      </c>
      <c r="V616">
        <v>99.5</v>
      </c>
      <c r="W616">
        <v>241.6</v>
      </c>
      <c r="X616">
        <v>0.94020000000000004</v>
      </c>
      <c r="Y616">
        <v>0.91500000000000004</v>
      </c>
      <c r="Z616">
        <v>1.433805E-2</v>
      </c>
      <c r="AA616">
        <v>1.5250000000000001E-2</v>
      </c>
      <c r="AB616">
        <v>2836.5</v>
      </c>
      <c r="AC616">
        <v>1</v>
      </c>
      <c r="AD616" s="1" t="s">
        <v>44</v>
      </c>
      <c r="AE616">
        <v>0</v>
      </c>
      <c r="AF616">
        <v>1</v>
      </c>
      <c r="AG616">
        <v>12.664473684210527</v>
      </c>
    </row>
    <row r="617" spans="1:33">
      <c r="A617" s="1" t="s">
        <v>630</v>
      </c>
      <c r="B617" s="1" t="s">
        <v>1683</v>
      </c>
      <c r="C617" s="2">
        <v>46565</v>
      </c>
      <c r="D617" s="1" t="s">
        <v>45</v>
      </c>
      <c r="E617">
        <v>102</v>
      </c>
      <c r="F617" s="2">
        <v>46081</v>
      </c>
      <c r="G617" s="1" t="s">
        <v>631</v>
      </c>
      <c r="H617" s="1" t="s">
        <v>43</v>
      </c>
      <c r="I617" s="1" t="s">
        <v>37</v>
      </c>
      <c r="J617" s="1" t="s">
        <v>564</v>
      </c>
      <c r="K617" s="1" t="s">
        <v>39</v>
      </c>
      <c r="L617">
        <v>200</v>
      </c>
      <c r="M617">
        <v>32.200000000000003</v>
      </c>
      <c r="N617">
        <v>28.8</v>
      </c>
      <c r="O617">
        <v>16.899999999999999</v>
      </c>
      <c r="P617">
        <v>1.567E-2</v>
      </c>
      <c r="Q617">
        <v>3.61</v>
      </c>
      <c r="R617">
        <v>15.5</v>
      </c>
      <c r="S617">
        <v>12</v>
      </c>
      <c r="T617">
        <v>5</v>
      </c>
      <c r="U617">
        <v>60</v>
      </c>
      <c r="V617">
        <v>99.5</v>
      </c>
      <c r="W617">
        <v>241.6</v>
      </c>
      <c r="X617">
        <v>0.94020000000000004</v>
      </c>
      <c r="Y617">
        <v>0.51</v>
      </c>
      <c r="Z617">
        <v>7.9917000000000009E-3</v>
      </c>
      <c r="AA617">
        <v>8.5000000000000006E-3</v>
      </c>
      <c r="AB617">
        <v>1581</v>
      </c>
      <c r="AC617">
        <v>1</v>
      </c>
      <c r="AD617" s="1" t="s">
        <v>44</v>
      </c>
      <c r="AE617">
        <v>0</v>
      </c>
      <c r="AF617">
        <v>1</v>
      </c>
      <c r="AG617">
        <v>15.921052631578949</v>
      </c>
    </row>
    <row r="618" spans="1:33">
      <c r="A618" s="1" t="s">
        <v>632</v>
      </c>
      <c r="B618" s="1" t="s">
        <v>1684</v>
      </c>
      <c r="C618" s="2">
        <v>46781</v>
      </c>
      <c r="D618" s="1" t="s">
        <v>34</v>
      </c>
      <c r="E618">
        <v>5864</v>
      </c>
      <c r="F618" s="2">
        <v>46081</v>
      </c>
      <c r="G618" s="1" t="s">
        <v>633</v>
      </c>
      <c r="H618" s="1" t="s">
        <v>36</v>
      </c>
      <c r="I618" s="1" t="s">
        <v>37</v>
      </c>
      <c r="J618" s="1" t="s">
        <v>564</v>
      </c>
      <c r="K618" s="1" t="s">
        <v>39</v>
      </c>
      <c r="L618">
        <v>200</v>
      </c>
      <c r="M618">
        <v>44.5</v>
      </c>
      <c r="N618">
        <v>34.200000000000003</v>
      </c>
      <c r="O618">
        <v>20</v>
      </c>
      <c r="P618">
        <v>3.0439999999999998E-2</v>
      </c>
      <c r="Q618">
        <v>7.63</v>
      </c>
      <c r="R618">
        <v>21.96</v>
      </c>
      <c r="S618">
        <v>6</v>
      </c>
      <c r="T618">
        <v>5</v>
      </c>
      <c r="U618">
        <v>30</v>
      </c>
      <c r="V618">
        <v>115</v>
      </c>
      <c r="W618">
        <v>253.9</v>
      </c>
      <c r="X618">
        <v>0.91320000000000001</v>
      </c>
      <c r="Y618">
        <v>29.32</v>
      </c>
      <c r="Z618">
        <v>0.89250079999999998</v>
      </c>
      <c r="AA618">
        <v>0.97733333333333339</v>
      </c>
      <c r="AB618">
        <v>128773.44</v>
      </c>
      <c r="AC618">
        <v>1</v>
      </c>
      <c r="AD618" s="1" t="s">
        <v>40</v>
      </c>
      <c r="AE618">
        <v>1</v>
      </c>
      <c r="AF618">
        <v>0</v>
      </c>
      <c r="AG618">
        <v>23.026315789473685</v>
      </c>
    </row>
    <row r="619" spans="1:33">
      <c r="A619" s="1" t="s">
        <v>634</v>
      </c>
      <c r="B619" s="1" t="s">
        <v>1685</v>
      </c>
      <c r="C619" s="2">
        <v>46386</v>
      </c>
      <c r="D619" s="1" t="s">
        <v>34</v>
      </c>
      <c r="E619">
        <v>12207</v>
      </c>
      <c r="F619" s="2">
        <v>46081</v>
      </c>
      <c r="G619" s="1" t="s">
        <v>635</v>
      </c>
      <c r="H619" s="1" t="s">
        <v>36</v>
      </c>
      <c r="I619" s="1" t="s">
        <v>37</v>
      </c>
      <c r="J619" s="1" t="s">
        <v>564</v>
      </c>
      <c r="K619" s="1" t="s">
        <v>39</v>
      </c>
      <c r="L619">
        <v>200</v>
      </c>
      <c r="M619">
        <v>42.7</v>
      </c>
      <c r="N619">
        <v>37.5</v>
      </c>
      <c r="O619">
        <v>25.2</v>
      </c>
      <c r="P619">
        <v>4.0349999999999997E-2</v>
      </c>
      <c r="Q619">
        <v>7.89</v>
      </c>
      <c r="R619">
        <v>20.73</v>
      </c>
      <c r="S619">
        <v>5</v>
      </c>
      <c r="T619">
        <v>2</v>
      </c>
      <c r="U619">
        <v>10</v>
      </c>
      <c r="V619">
        <v>65.400000000000006</v>
      </c>
      <c r="W619">
        <v>103.9</v>
      </c>
      <c r="X619">
        <v>0.40349999999999991</v>
      </c>
      <c r="Y619">
        <v>61.034999999999997</v>
      </c>
      <c r="Z619">
        <v>2.4627622499999995</v>
      </c>
      <c r="AA619">
        <v>6.1034999999999995</v>
      </c>
      <c r="AB619">
        <v>253051.11000000002</v>
      </c>
      <c r="AC619">
        <v>7</v>
      </c>
      <c r="AD619" s="1" t="s">
        <v>40</v>
      </c>
      <c r="AE619">
        <v>7</v>
      </c>
      <c r="AF619">
        <v>0</v>
      </c>
      <c r="AG619">
        <v>10.032894736842106</v>
      </c>
    </row>
    <row r="620" spans="1:33">
      <c r="A620" s="1" t="s">
        <v>634</v>
      </c>
      <c r="B620" s="1" t="s">
        <v>1686</v>
      </c>
      <c r="C620" s="2">
        <v>46229</v>
      </c>
      <c r="D620" s="1" t="s">
        <v>34</v>
      </c>
      <c r="E620">
        <v>1698</v>
      </c>
      <c r="F620" s="2">
        <v>46081</v>
      </c>
      <c r="G620" s="1" t="s">
        <v>635</v>
      </c>
      <c r="H620" s="1" t="s">
        <v>36</v>
      </c>
      <c r="I620" s="1" t="s">
        <v>37</v>
      </c>
      <c r="J620" s="1" t="s">
        <v>564</v>
      </c>
      <c r="K620" s="1" t="s">
        <v>39</v>
      </c>
      <c r="L620">
        <v>200</v>
      </c>
      <c r="M620">
        <v>42.7</v>
      </c>
      <c r="N620">
        <v>37.5</v>
      </c>
      <c r="O620">
        <v>25.2</v>
      </c>
      <c r="P620">
        <v>4.0349999999999997E-2</v>
      </c>
      <c r="Q620">
        <v>7.89</v>
      </c>
      <c r="R620">
        <v>20.73</v>
      </c>
      <c r="S620">
        <v>5</v>
      </c>
      <c r="T620">
        <v>2</v>
      </c>
      <c r="U620">
        <v>10</v>
      </c>
      <c r="V620">
        <v>65.400000000000006</v>
      </c>
      <c r="W620">
        <v>103.9</v>
      </c>
      <c r="X620">
        <v>0.40349999999999991</v>
      </c>
      <c r="Y620">
        <v>8.49</v>
      </c>
      <c r="Z620">
        <v>0.34257149999999997</v>
      </c>
      <c r="AA620">
        <v>0.84899999999999998</v>
      </c>
      <c r="AB620">
        <v>35199.54</v>
      </c>
      <c r="AC620">
        <v>1</v>
      </c>
      <c r="AD620" s="1" t="s">
        <v>40</v>
      </c>
      <c r="AE620">
        <v>1</v>
      </c>
      <c r="AF620">
        <v>0</v>
      </c>
      <c r="AG620">
        <v>4.8684210526315788</v>
      </c>
    </row>
    <row r="621" spans="1:33">
      <c r="A621" s="1" t="s">
        <v>634</v>
      </c>
      <c r="B621" s="1" t="s">
        <v>1687</v>
      </c>
      <c r="C621" s="2">
        <v>46846</v>
      </c>
      <c r="D621" s="1" t="s">
        <v>34</v>
      </c>
      <c r="E621">
        <v>495</v>
      </c>
      <c r="F621" s="2">
        <v>46081</v>
      </c>
      <c r="G621" s="1" t="s">
        <v>635</v>
      </c>
      <c r="H621" s="1" t="s">
        <v>36</v>
      </c>
      <c r="I621" s="1" t="s">
        <v>37</v>
      </c>
      <c r="J621" s="1" t="s">
        <v>564</v>
      </c>
      <c r="K621" s="1" t="s">
        <v>39</v>
      </c>
      <c r="L621">
        <v>200</v>
      </c>
      <c r="M621">
        <v>42.7</v>
      </c>
      <c r="N621">
        <v>37.5</v>
      </c>
      <c r="O621">
        <v>25.2</v>
      </c>
      <c r="P621">
        <v>4.0349999999999997E-2</v>
      </c>
      <c r="Q621">
        <v>7.89</v>
      </c>
      <c r="R621">
        <v>20.73</v>
      </c>
      <c r="S621">
        <v>5</v>
      </c>
      <c r="T621">
        <v>2</v>
      </c>
      <c r="U621">
        <v>10</v>
      </c>
      <c r="V621">
        <v>65.400000000000006</v>
      </c>
      <c r="W621">
        <v>103.9</v>
      </c>
      <c r="X621">
        <v>0.40349999999999991</v>
      </c>
      <c r="Y621">
        <v>2.4750000000000001</v>
      </c>
      <c r="Z621">
        <v>9.986624999999999E-2</v>
      </c>
      <c r="AA621">
        <v>0.2475</v>
      </c>
      <c r="AB621">
        <v>10261.35</v>
      </c>
      <c r="AC621">
        <v>1</v>
      </c>
      <c r="AD621" s="1" t="s">
        <v>44</v>
      </c>
      <c r="AE621">
        <v>0</v>
      </c>
      <c r="AF621">
        <v>1</v>
      </c>
      <c r="AG621">
        <v>25.164473684210527</v>
      </c>
    </row>
    <row r="622" spans="1:33">
      <c r="A622" s="1" t="s">
        <v>636</v>
      </c>
      <c r="B622" s="1" t="s">
        <v>1688</v>
      </c>
      <c r="C622" s="2">
        <v>46748</v>
      </c>
      <c r="D622" s="1" t="s">
        <v>34</v>
      </c>
      <c r="E622">
        <v>14898</v>
      </c>
      <c r="F622" s="2">
        <v>46081</v>
      </c>
      <c r="G622" s="1" t="s">
        <v>637</v>
      </c>
      <c r="H622" s="1" t="s">
        <v>43</v>
      </c>
      <c r="I622" s="1" t="s">
        <v>37</v>
      </c>
      <c r="J622" s="1" t="s">
        <v>564</v>
      </c>
      <c r="K622" s="1" t="s">
        <v>39</v>
      </c>
      <c r="L622">
        <v>60</v>
      </c>
      <c r="M622">
        <v>31.8</v>
      </c>
      <c r="N622">
        <v>32.6</v>
      </c>
      <c r="O622">
        <v>23.1</v>
      </c>
      <c r="P622">
        <v>2.3949999999999999E-2</v>
      </c>
      <c r="Q622">
        <v>3.62</v>
      </c>
      <c r="R622">
        <v>3.28</v>
      </c>
      <c r="S622">
        <v>9</v>
      </c>
      <c r="T622">
        <v>5</v>
      </c>
      <c r="U622">
        <v>45</v>
      </c>
      <c r="V622">
        <v>130.5</v>
      </c>
      <c r="W622">
        <v>187.9</v>
      </c>
      <c r="X622">
        <v>1.07775</v>
      </c>
      <c r="Y622">
        <v>248.3</v>
      </c>
      <c r="Z622">
        <v>5.9467850000000002</v>
      </c>
      <c r="AA622">
        <v>5.5177777777777779</v>
      </c>
      <c r="AB622">
        <v>48865.439999999995</v>
      </c>
      <c r="AC622">
        <v>6</v>
      </c>
      <c r="AD622" s="1" t="s">
        <v>40</v>
      </c>
      <c r="AE622">
        <v>6</v>
      </c>
      <c r="AF622">
        <v>0</v>
      </c>
      <c r="AG622">
        <v>21.940789473684212</v>
      </c>
    </row>
    <row r="623" spans="1:33">
      <c r="A623" s="1" t="s">
        <v>638</v>
      </c>
      <c r="B623" s="1" t="s">
        <v>1689</v>
      </c>
      <c r="C623" s="2">
        <v>46604</v>
      </c>
      <c r="D623" s="1" t="s">
        <v>34</v>
      </c>
      <c r="E623">
        <v>5641</v>
      </c>
      <c r="F623" s="2">
        <v>46081</v>
      </c>
      <c r="G623" s="1" t="s">
        <v>639</v>
      </c>
      <c r="H623" s="1" t="s">
        <v>36</v>
      </c>
      <c r="I623" s="1" t="s">
        <v>37</v>
      </c>
      <c r="J623" s="1" t="s">
        <v>564</v>
      </c>
      <c r="K623" s="1" t="s">
        <v>39</v>
      </c>
      <c r="L623">
        <v>120</v>
      </c>
      <c r="M623">
        <v>53.3</v>
      </c>
      <c r="N623">
        <v>35.700000000000003</v>
      </c>
      <c r="O623">
        <v>23.3</v>
      </c>
      <c r="P623">
        <v>4.4339999999999997E-2</v>
      </c>
      <c r="Q623">
        <v>10.46</v>
      </c>
      <c r="R623">
        <v>19.100000000000001</v>
      </c>
      <c r="S623">
        <v>4</v>
      </c>
      <c r="T623">
        <v>3</v>
      </c>
      <c r="U623">
        <v>12</v>
      </c>
      <c r="V623">
        <v>84.9</v>
      </c>
      <c r="W623">
        <v>150.52000000000001</v>
      </c>
      <c r="X623">
        <v>0.53208</v>
      </c>
      <c r="Y623">
        <v>47.008333333333333</v>
      </c>
      <c r="Z623">
        <v>2.0843495000000001</v>
      </c>
      <c r="AA623">
        <v>3.9173611111111111</v>
      </c>
      <c r="AB623">
        <v>107743.1</v>
      </c>
      <c r="AC623">
        <v>4</v>
      </c>
      <c r="AD623" s="1" t="s">
        <v>40</v>
      </c>
      <c r="AE623">
        <v>4</v>
      </c>
      <c r="AF623">
        <v>0</v>
      </c>
      <c r="AG623">
        <v>17.203947368421055</v>
      </c>
    </row>
    <row r="624" spans="1:33">
      <c r="A624" s="1" t="s">
        <v>638</v>
      </c>
      <c r="B624" s="1" t="s">
        <v>1690</v>
      </c>
      <c r="C624" s="2">
        <v>46727</v>
      </c>
      <c r="D624" s="1" t="s">
        <v>49</v>
      </c>
      <c r="E624">
        <v>282</v>
      </c>
      <c r="F624" s="2">
        <v>46081</v>
      </c>
      <c r="G624" s="1" t="s">
        <v>639</v>
      </c>
      <c r="H624" s="1" t="s">
        <v>36</v>
      </c>
      <c r="I624" s="1" t="s">
        <v>37</v>
      </c>
      <c r="J624" s="1" t="s">
        <v>564</v>
      </c>
      <c r="K624" s="1" t="s">
        <v>39</v>
      </c>
      <c r="L624">
        <v>120</v>
      </c>
      <c r="M624">
        <v>53.3</v>
      </c>
      <c r="N624">
        <v>35.700000000000003</v>
      </c>
      <c r="O624">
        <v>23.3</v>
      </c>
      <c r="P624">
        <v>4.4339999999999997E-2</v>
      </c>
      <c r="Q624">
        <v>10.46</v>
      </c>
      <c r="R624">
        <v>19.100000000000001</v>
      </c>
      <c r="S624">
        <v>4</v>
      </c>
      <c r="T624">
        <v>3</v>
      </c>
      <c r="U624">
        <v>12</v>
      </c>
      <c r="V624">
        <v>84.9</v>
      </c>
      <c r="W624">
        <v>150.52000000000001</v>
      </c>
      <c r="X624">
        <v>0.53208</v>
      </c>
      <c r="Y624">
        <v>2.35</v>
      </c>
      <c r="Z624">
        <v>0.104199</v>
      </c>
      <c r="AA624">
        <v>0.19583333333333333</v>
      </c>
      <c r="AB624">
        <v>5386.2000000000007</v>
      </c>
      <c r="AC624">
        <v>1</v>
      </c>
      <c r="AD624" s="1" t="s">
        <v>44</v>
      </c>
      <c r="AE624">
        <v>0</v>
      </c>
      <c r="AF624">
        <v>1</v>
      </c>
      <c r="AG624">
        <v>21.25</v>
      </c>
    </row>
    <row r="625" spans="1:33">
      <c r="A625" s="1" t="s">
        <v>640</v>
      </c>
      <c r="B625" s="1" t="s">
        <v>1691</v>
      </c>
      <c r="C625" s="2">
        <v>46266</v>
      </c>
      <c r="D625" s="1" t="s">
        <v>34</v>
      </c>
      <c r="E625">
        <v>1289</v>
      </c>
      <c r="F625" s="2">
        <v>46081</v>
      </c>
      <c r="G625" s="1" t="s">
        <v>641</v>
      </c>
      <c r="H625" s="1" t="s">
        <v>43</v>
      </c>
      <c r="I625" s="1" t="s">
        <v>37</v>
      </c>
      <c r="J625" s="1" t="s">
        <v>564</v>
      </c>
      <c r="K625" s="1" t="s">
        <v>39</v>
      </c>
      <c r="L625">
        <v>100</v>
      </c>
      <c r="M625">
        <v>37.5</v>
      </c>
      <c r="N625">
        <v>29.4</v>
      </c>
      <c r="O625">
        <v>22.3</v>
      </c>
      <c r="P625">
        <v>2.4590000000000001E-2</v>
      </c>
      <c r="Q625">
        <v>6.56</v>
      </c>
      <c r="R625">
        <v>18.899999999999999</v>
      </c>
      <c r="S625">
        <v>9</v>
      </c>
      <c r="T625">
        <v>4</v>
      </c>
      <c r="U625">
        <v>36</v>
      </c>
      <c r="V625">
        <v>104.2</v>
      </c>
      <c r="W625">
        <v>261.16000000000003</v>
      </c>
      <c r="X625">
        <v>0.88524000000000003</v>
      </c>
      <c r="Y625">
        <v>12.89</v>
      </c>
      <c r="Z625">
        <v>0.3169651</v>
      </c>
      <c r="AA625">
        <v>0.35805555555555557</v>
      </c>
      <c r="AB625">
        <v>24362.1</v>
      </c>
      <c r="AC625">
        <v>1</v>
      </c>
      <c r="AD625" s="1" t="s">
        <v>40</v>
      </c>
      <c r="AE625">
        <v>1</v>
      </c>
      <c r="AF625">
        <v>0</v>
      </c>
      <c r="AG625">
        <v>6.0855263157894743</v>
      </c>
    </row>
    <row r="626" spans="1:33">
      <c r="A626" s="1" t="s">
        <v>640</v>
      </c>
      <c r="B626" s="1" t="s">
        <v>1692</v>
      </c>
      <c r="C626" s="2">
        <v>46952</v>
      </c>
      <c r="D626" s="1" t="s">
        <v>34</v>
      </c>
      <c r="E626">
        <v>237</v>
      </c>
      <c r="F626" s="2">
        <v>46081</v>
      </c>
      <c r="G626" s="1" t="s">
        <v>641</v>
      </c>
      <c r="H626" s="1" t="s">
        <v>43</v>
      </c>
      <c r="I626" s="1" t="s">
        <v>37</v>
      </c>
      <c r="J626" s="1" t="s">
        <v>564</v>
      </c>
      <c r="K626" s="1" t="s">
        <v>39</v>
      </c>
      <c r="L626">
        <v>100</v>
      </c>
      <c r="M626">
        <v>37.5</v>
      </c>
      <c r="N626">
        <v>29.4</v>
      </c>
      <c r="O626">
        <v>22.3</v>
      </c>
      <c r="P626">
        <v>2.4590000000000001E-2</v>
      </c>
      <c r="Q626">
        <v>6.56</v>
      </c>
      <c r="R626">
        <v>18.899999999999999</v>
      </c>
      <c r="S626">
        <v>9</v>
      </c>
      <c r="T626">
        <v>4</v>
      </c>
      <c r="U626">
        <v>36</v>
      </c>
      <c r="V626">
        <v>104.2</v>
      </c>
      <c r="W626">
        <v>261.16000000000003</v>
      </c>
      <c r="X626">
        <v>0.88524000000000003</v>
      </c>
      <c r="Y626">
        <v>2.37</v>
      </c>
      <c r="Z626">
        <v>5.8278300000000005E-2</v>
      </c>
      <c r="AA626">
        <v>6.5833333333333341E-2</v>
      </c>
      <c r="AB626">
        <v>4479.2999999999993</v>
      </c>
      <c r="AC626">
        <v>1</v>
      </c>
      <c r="AD626" s="1" t="s">
        <v>44</v>
      </c>
      <c r="AE626">
        <v>0</v>
      </c>
      <c r="AF626">
        <v>1</v>
      </c>
      <c r="AG626">
        <v>28.651315789473685</v>
      </c>
    </row>
    <row r="627" spans="1:33">
      <c r="A627" s="1" t="s">
        <v>640</v>
      </c>
      <c r="B627" s="1" t="s">
        <v>1693</v>
      </c>
      <c r="C627" s="2">
        <v>46183</v>
      </c>
      <c r="D627" s="1" t="s">
        <v>34</v>
      </c>
      <c r="E627">
        <v>1321</v>
      </c>
      <c r="F627" s="2">
        <v>46081</v>
      </c>
      <c r="G627" s="1" t="s">
        <v>641</v>
      </c>
      <c r="H627" s="1" t="s">
        <v>43</v>
      </c>
      <c r="I627" s="1" t="s">
        <v>37</v>
      </c>
      <c r="J627" s="1" t="s">
        <v>564</v>
      </c>
      <c r="K627" s="1" t="s">
        <v>39</v>
      </c>
      <c r="L627">
        <v>100</v>
      </c>
      <c r="M627">
        <v>37.5</v>
      </c>
      <c r="N627">
        <v>29.4</v>
      </c>
      <c r="O627">
        <v>22.3</v>
      </c>
      <c r="P627">
        <v>2.4590000000000001E-2</v>
      </c>
      <c r="Q627">
        <v>6.56</v>
      </c>
      <c r="R627">
        <v>18.899999999999999</v>
      </c>
      <c r="S627">
        <v>9</v>
      </c>
      <c r="T627">
        <v>4</v>
      </c>
      <c r="U627">
        <v>36</v>
      </c>
      <c r="V627">
        <v>104.2</v>
      </c>
      <c r="W627">
        <v>261.16000000000003</v>
      </c>
      <c r="X627">
        <v>0.88524000000000003</v>
      </c>
      <c r="Y627">
        <v>13.21</v>
      </c>
      <c r="Z627">
        <v>0.32483390000000001</v>
      </c>
      <c r="AA627">
        <v>0.36694444444444446</v>
      </c>
      <c r="AB627">
        <v>24966.899999999998</v>
      </c>
      <c r="AC627">
        <v>1</v>
      </c>
      <c r="AD627" s="1" t="s">
        <v>40</v>
      </c>
      <c r="AE627">
        <v>1</v>
      </c>
      <c r="AF627">
        <v>0</v>
      </c>
      <c r="AG627">
        <v>3.3552631578947372</v>
      </c>
    </row>
    <row r="628" spans="1:33">
      <c r="A628" s="1" t="s">
        <v>640</v>
      </c>
      <c r="B628" s="1" t="s">
        <v>1694</v>
      </c>
      <c r="C628" s="2">
        <v>46859</v>
      </c>
      <c r="D628" s="1" t="s">
        <v>34</v>
      </c>
      <c r="E628">
        <v>363</v>
      </c>
      <c r="F628" s="2">
        <v>46081</v>
      </c>
      <c r="G628" s="1" t="s">
        <v>641</v>
      </c>
      <c r="H628" s="1" t="s">
        <v>43</v>
      </c>
      <c r="I628" s="1" t="s">
        <v>37</v>
      </c>
      <c r="J628" s="1" t="s">
        <v>564</v>
      </c>
      <c r="K628" s="1" t="s">
        <v>39</v>
      </c>
      <c r="L628">
        <v>100</v>
      </c>
      <c r="M628">
        <v>37.5</v>
      </c>
      <c r="N628">
        <v>29.4</v>
      </c>
      <c r="O628">
        <v>22.3</v>
      </c>
      <c r="P628">
        <v>2.4590000000000001E-2</v>
      </c>
      <c r="Q628">
        <v>6.56</v>
      </c>
      <c r="R628">
        <v>18.899999999999999</v>
      </c>
      <c r="S628">
        <v>9</v>
      </c>
      <c r="T628">
        <v>4</v>
      </c>
      <c r="U628">
        <v>36</v>
      </c>
      <c r="V628">
        <v>104.2</v>
      </c>
      <c r="W628">
        <v>261.16000000000003</v>
      </c>
      <c r="X628">
        <v>0.88524000000000003</v>
      </c>
      <c r="Y628">
        <v>3.63</v>
      </c>
      <c r="Z628">
        <v>8.9261699999999999E-2</v>
      </c>
      <c r="AA628">
        <v>0.10083333333333333</v>
      </c>
      <c r="AB628">
        <v>6860.7</v>
      </c>
      <c r="AC628">
        <v>1</v>
      </c>
      <c r="AD628" s="1" t="s">
        <v>44</v>
      </c>
      <c r="AE628">
        <v>0</v>
      </c>
      <c r="AF628">
        <v>1</v>
      </c>
      <c r="AG628">
        <v>25.592105263157897</v>
      </c>
    </row>
    <row r="629" spans="1:33">
      <c r="A629" s="1" t="s">
        <v>642</v>
      </c>
      <c r="B629" s="1" t="s">
        <v>1695</v>
      </c>
      <c r="C629" s="2">
        <v>46507</v>
      </c>
      <c r="D629" s="1" t="s">
        <v>34</v>
      </c>
      <c r="E629">
        <v>1044</v>
      </c>
      <c r="F629" s="2">
        <v>46081</v>
      </c>
      <c r="G629" s="1" t="s">
        <v>643</v>
      </c>
      <c r="H629" s="1" t="s">
        <v>43</v>
      </c>
      <c r="I629" s="1" t="s">
        <v>37</v>
      </c>
      <c r="J629" s="1" t="s">
        <v>564</v>
      </c>
      <c r="K629" s="1" t="s">
        <v>39</v>
      </c>
      <c r="L629">
        <v>200</v>
      </c>
      <c r="M629">
        <v>35.299999999999997</v>
      </c>
      <c r="N629">
        <v>25.1</v>
      </c>
      <c r="O629">
        <v>23.2</v>
      </c>
      <c r="P629">
        <v>2.0559999999999998E-2</v>
      </c>
      <c r="Q629">
        <v>4.79</v>
      </c>
      <c r="R629">
        <v>6.32</v>
      </c>
      <c r="S629">
        <v>9</v>
      </c>
      <c r="T629">
        <v>3</v>
      </c>
      <c r="U629">
        <v>27</v>
      </c>
      <c r="V629">
        <v>84.6</v>
      </c>
      <c r="W629">
        <v>154.33000000000001</v>
      </c>
      <c r="X629">
        <v>0.55511999999999995</v>
      </c>
      <c r="Y629">
        <v>5.22</v>
      </c>
      <c r="Z629">
        <v>0.10732319999999998</v>
      </c>
      <c r="AA629">
        <v>0.19333333333333333</v>
      </c>
      <c r="AB629">
        <v>6598.08</v>
      </c>
      <c r="AC629">
        <v>1</v>
      </c>
      <c r="AD629" s="1" t="s">
        <v>44</v>
      </c>
      <c r="AE629">
        <v>0</v>
      </c>
      <c r="AF629">
        <v>1</v>
      </c>
      <c r="AG629">
        <v>14.013157894736842</v>
      </c>
    </row>
    <row r="630" spans="1:33">
      <c r="A630" s="1" t="s">
        <v>642</v>
      </c>
      <c r="B630" s="1" t="s">
        <v>1696</v>
      </c>
      <c r="C630" s="2">
        <v>46706</v>
      </c>
      <c r="D630" s="1" t="s">
        <v>49</v>
      </c>
      <c r="E630">
        <v>52</v>
      </c>
      <c r="F630" s="2">
        <v>46081</v>
      </c>
      <c r="G630" s="1" t="s">
        <v>643</v>
      </c>
      <c r="H630" s="1" t="s">
        <v>43</v>
      </c>
      <c r="I630" s="1" t="s">
        <v>37</v>
      </c>
      <c r="J630" s="1" t="s">
        <v>564</v>
      </c>
      <c r="K630" s="1" t="s">
        <v>39</v>
      </c>
      <c r="L630">
        <v>200</v>
      </c>
      <c r="M630">
        <v>35.299999999999997</v>
      </c>
      <c r="N630">
        <v>25.1</v>
      </c>
      <c r="O630">
        <v>23.2</v>
      </c>
      <c r="P630">
        <v>2.0559999999999998E-2</v>
      </c>
      <c r="Q630">
        <v>4.79</v>
      </c>
      <c r="R630">
        <v>6.32</v>
      </c>
      <c r="S630">
        <v>9</v>
      </c>
      <c r="T630">
        <v>3</v>
      </c>
      <c r="U630">
        <v>27</v>
      </c>
      <c r="V630">
        <v>84.6</v>
      </c>
      <c r="W630">
        <v>154.33000000000001</v>
      </c>
      <c r="X630">
        <v>0.55511999999999995</v>
      </c>
      <c r="Y630">
        <v>0.26</v>
      </c>
      <c r="Z630">
        <v>5.3455999999999998E-3</v>
      </c>
      <c r="AA630">
        <v>9.6296296296296303E-3</v>
      </c>
      <c r="AB630">
        <v>328.64</v>
      </c>
      <c r="AC630">
        <v>1</v>
      </c>
      <c r="AD630" s="1" t="s">
        <v>44</v>
      </c>
      <c r="AE630">
        <v>0</v>
      </c>
      <c r="AF630">
        <v>1</v>
      </c>
      <c r="AG630">
        <v>20.559210526315791</v>
      </c>
    </row>
    <row r="631" spans="1:33">
      <c r="A631" s="1" t="s">
        <v>644</v>
      </c>
      <c r="B631" s="1" t="s">
        <v>1697</v>
      </c>
      <c r="C631" s="2">
        <v>46808</v>
      </c>
      <c r="D631" s="1" t="s">
        <v>34</v>
      </c>
      <c r="E631">
        <v>165</v>
      </c>
      <c r="F631" s="2">
        <v>46081</v>
      </c>
      <c r="G631" s="1" t="s">
        <v>645</v>
      </c>
      <c r="H631" s="1" t="s">
        <v>36</v>
      </c>
      <c r="I631" s="1" t="s">
        <v>37</v>
      </c>
      <c r="J631" s="1" t="s">
        <v>564</v>
      </c>
      <c r="K631" s="1" t="s">
        <v>39</v>
      </c>
      <c r="L631">
        <v>100</v>
      </c>
      <c r="M631">
        <v>45</v>
      </c>
      <c r="N631">
        <v>36.200000000000003</v>
      </c>
      <c r="O631">
        <v>15.5</v>
      </c>
      <c r="P631">
        <v>2.5250000000000002E-2</v>
      </c>
      <c r="Q631">
        <v>4.5999999999999996</v>
      </c>
      <c r="R631">
        <v>7.23</v>
      </c>
      <c r="S631">
        <v>6</v>
      </c>
      <c r="T631">
        <v>7</v>
      </c>
      <c r="U631">
        <v>42</v>
      </c>
      <c r="V631">
        <v>123.5</v>
      </c>
      <c r="W631">
        <v>218.2</v>
      </c>
      <c r="X631">
        <v>1.0605</v>
      </c>
      <c r="Y631">
        <v>1.65</v>
      </c>
      <c r="Z631">
        <v>4.1662499999999998E-2</v>
      </c>
      <c r="AA631">
        <v>3.9285714285714285E-2</v>
      </c>
      <c r="AB631">
        <v>1192.95</v>
      </c>
      <c r="AC631">
        <v>1</v>
      </c>
      <c r="AD631" s="1" t="s">
        <v>44</v>
      </c>
      <c r="AE631">
        <v>0</v>
      </c>
      <c r="AF631">
        <v>1</v>
      </c>
      <c r="AG631">
        <v>23.914473684210527</v>
      </c>
    </row>
    <row r="632" spans="1:33">
      <c r="A632" s="1" t="s">
        <v>644</v>
      </c>
      <c r="B632" s="1" t="s">
        <v>1698</v>
      </c>
      <c r="C632" s="2">
        <v>46735</v>
      </c>
      <c r="D632" s="1" t="s">
        <v>34</v>
      </c>
      <c r="E632">
        <v>45</v>
      </c>
      <c r="F632" s="2">
        <v>46081</v>
      </c>
      <c r="G632" s="1" t="s">
        <v>645</v>
      </c>
      <c r="H632" s="1" t="s">
        <v>36</v>
      </c>
      <c r="I632" s="1" t="s">
        <v>37</v>
      </c>
      <c r="J632" s="1" t="s">
        <v>564</v>
      </c>
      <c r="K632" s="1" t="s">
        <v>39</v>
      </c>
      <c r="L632">
        <v>100</v>
      </c>
      <c r="M632">
        <v>45</v>
      </c>
      <c r="N632">
        <v>36.200000000000003</v>
      </c>
      <c r="O632">
        <v>15.5</v>
      </c>
      <c r="P632">
        <v>2.5250000000000002E-2</v>
      </c>
      <c r="Q632">
        <v>4.5999999999999996</v>
      </c>
      <c r="R632">
        <v>7.23</v>
      </c>
      <c r="S632">
        <v>6</v>
      </c>
      <c r="T632">
        <v>7</v>
      </c>
      <c r="U632">
        <v>42</v>
      </c>
      <c r="V632">
        <v>123.5</v>
      </c>
      <c r="W632">
        <v>218.2</v>
      </c>
      <c r="X632">
        <v>1.0605</v>
      </c>
      <c r="Y632">
        <v>0.45</v>
      </c>
      <c r="Z632">
        <v>1.1362500000000001E-2</v>
      </c>
      <c r="AA632">
        <v>1.0714285714285714E-2</v>
      </c>
      <c r="AB632">
        <v>325.35000000000002</v>
      </c>
      <c r="AC632">
        <v>1</v>
      </c>
      <c r="AD632" s="1" t="s">
        <v>44</v>
      </c>
      <c r="AE632">
        <v>0</v>
      </c>
      <c r="AF632">
        <v>1</v>
      </c>
      <c r="AG632">
        <v>21.513157894736842</v>
      </c>
    </row>
    <row r="633" spans="1:33">
      <c r="A633" s="1" t="s">
        <v>646</v>
      </c>
      <c r="B633" s="1" t="s">
        <v>1699</v>
      </c>
      <c r="C633" s="2">
        <v>46207</v>
      </c>
      <c r="D633" s="1" t="s">
        <v>34</v>
      </c>
      <c r="E633">
        <v>1375</v>
      </c>
      <c r="F633" s="2">
        <v>46081</v>
      </c>
      <c r="G633" s="1" t="s">
        <v>647</v>
      </c>
      <c r="H633" s="1" t="s">
        <v>43</v>
      </c>
      <c r="I633" s="1" t="s">
        <v>37</v>
      </c>
      <c r="J633" s="1" t="s">
        <v>564</v>
      </c>
      <c r="K633" s="1" t="s">
        <v>39</v>
      </c>
      <c r="L633">
        <v>100</v>
      </c>
      <c r="M633">
        <v>53.9</v>
      </c>
      <c r="N633">
        <v>31.1</v>
      </c>
      <c r="O633">
        <v>17.899999999999999</v>
      </c>
      <c r="P633">
        <v>3.0009999999999998E-2</v>
      </c>
      <c r="Q633">
        <v>7.68</v>
      </c>
      <c r="R633">
        <v>8</v>
      </c>
      <c r="S633">
        <v>6</v>
      </c>
      <c r="T633">
        <v>3</v>
      </c>
      <c r="U633">
        <v>18</v>
      </c>
      <c r="V633">
        <v>68.699999999999989</v>
      </c>
      <c r="W633">
        <v>163.24</v>
      </c>
      <c r="X633">
        <v>0.54017999999999999</v>
      </c>
      <c r="Y633">
        <v>13.75</v>
      </c>
      <c r="Z633">
        <v>0.41263749999999999</v>
      </c>
      <c r="AA633">
        <v>0.76388888888888884</v>
      </c>
      <c r="AB633">
        <v>11000</v>
      </c>
      <c r="AC633">
        <v>1</v>
      </c>
      <c r="AD633" s="1" t="s">
        <v>40</v>
      </c>
      <c r="AE633">
        <v>1</v>
      </c>
      <c r="AF633">
        <v>0</v>
      </c>
      <c r="AG633">
        <v>4.1447368421052637</v>
      </c>
    </row>
    <row r="634" spans="1:33">
      <c r="A634" s="1" t="s">
        <v>648</v>
      </c>
      <c r="B634" s="1" t="s">
        <v>1700</v>
      </c>
      <c r="C634" s="2">
        <v>46214</v>
      </c>
      <c r="D634" s="1" t="s">
        <v>34</v>
      </c>
      <c r="E634">
        <v>591</v>
      </c>
      <c r="F634" s="2">
        <v>46081</v>
      </c>
      <c r="G634" s="1" t="s">
        <v>649</v>
      </c>
      <c r="H634" s="1" t="s">
        <v>36</v>
      </c>
      <c r="I634" s="1" t="s">
        <v>37</v>
      </c>
      <c r="J634" s="1" t="s">
        <v>564</v>
      </c>
      <c r="K634" s="1" t="s">
        <v>39</v>
      </c>
      <c r="L634">
        <v>100</v>
      </c>
      <c r="M634">
        <v>46.8</v>
      </c>
      <c r="N634">
        <v>38.700000000000003</v>
      </c>
      <c r="O634">
        <v>20.8</v>
      </c>
      <c r="P634">
        <v>3.7670000000000002E-2</v>
      </c>
      <c r="Q634">
        <v>7.31</v>
      </c>
      <c r="R634">
        <v>21.44</v>
      </c>
      <c r="S634">
        <v>6</v>
      </c>
      <c r="T634">
        <v>6</v>
      </c>
      <c r="U634">
        <v>36</v>
      </c>
      <c r="V634">
        <v>139.80000000000001</v>
      </c>
      <c r="W634">
        <v>288.16000000000003</v>
      </c>
      <c r="X634">
        <v>1.35612</v>
      </c>
      <c r="Y634">
        <v>5.91</v>
      </c>
      <c r="Z634">
        <v>0.22262970000000001</v>
      </c>
      <c r="AA634">
        <v>0.16416666666666668</v>
      </c>
      <c r="AB634">
        <v>12671.04</v>
      </c>
      <c r="AC634">
        <v>1</v>
      </c>
      <c r="AD634" s="1" t="s">
        <v>44</v>
      </c>
      <c r="AE634">
        <v>0</v>
      </c>
      <c r="AF634">
        <v>1</v>
      </c>
      <c r="AG634">
        <v>4.375</v>
      </c>
    </row>
    <row r="635" spans="1:33">
      <c r="A635" s="1" t="s">
        <v>648</v>
      </c>
      <c r="B635" s="1" t="s">
        <v>1701</v>
      </c>
      <c r="C635" s="2">
        <v>47081</v>
      </c>
      <c r="D635" s="1" t="s">
        <v>34</v>
      </c>
      <c r="E635">
        <v>3777</v>
      </c>
      <c r="F635" s="2">
        <v>46081</v>
      </c>
      <c r="G635" s="1" t="s">
        <v>649</v>
      </c>
      <c r="H635" s="1" t="s">
        <v>36</v>
      </c>
      <c r="I635" s="1" t="s">
        <v>37</v>
      </c>
      <c r="J635" s="1" t="s">
        <v>564</v>
      </c>
      <c r="K635" s="1" t="s">
        <v>39</v>
      </c>
      <c r="L635">
        <v>100</v>
      </c>
      <c r="M635">
        <v>46.8</v>
      </c>
      <c r="N635">
        <v>38.700000000000003</v>
      </c>
      <c r="O635">
        <v>20.8</v>
      </c>
      <c r="P635">
        <v>3.7670000000000002E-2</v>
      </c>
      <c r="Q635">
        <v>7.31</v>
      </c>
      <c r="R635">
        <v>21.44</v>
      </c>
      <c r="S635">
        <v>6</v>
      </c>
      <c r="T635">
        <v>6</v>
      </c>
      <c r="U635">
        <v>36</v>
      </c>
      <c r="V635">
        <v>139.80000000000001</v>
      </c>
      <c r="W635">
        <v>288.16000000000003</v>
      </c>
      <c r="X635">
        <v>1.35612</v>
      </c>
      <c r="Y635">
        <v>37.770000000000003</v>
      </c>
      <c r="Z635">
        <v>1.4227959000000001</v>
      </c>
      <c r="AA635">
        <v>1.0491666666666668</v>
      </c>
      <c r="AB635">
        <v>80978.880000000005</v>
      </c>
      <c r="AC635">
        <v>2</v>
      </c>
      <c r="AD635" s="1" t="s">
        <v>40</v>
      </c>
      <c r="AE635">
        <v>2</v>
      </c>
      <c r="AF635">
        <v>0</v>
      </c>
      <c r="AG635">
        <v>32.894736842105267</v>
      </c>
    </row>
    <row r="636" spans="1:33">
      <c r="A636" s="1" t="s">
        <v>648</v>
      </c>
      <c r="B636" s="1" t="s">
        <v>1702</v>
      </c>
      <c r="C636" s="2">
        <v>46767</v>
      </c>
      <c r="D636" s="1" t="s">
        <v>34</v>
      </c>
      <c r="E636">
        <v>2785</v>
      </c>
      <c r="F636" s="2">
        <v>46081</v>
      </c>
      <c r="G636" s="1" t="s">
        <v>649</v>
      </c>
      <c r="H636" s="1" t="s">
        <v>36</v>
      </c>
      <c r="I636" s="1" t="s">
        <v>37</v>
      </c>
      <c r="J636" s="1" t="s">
        <v>564</v>
      </c>
      <c r="K636" s="1" t="s">
        <v>39</v>
      </c>
      <c r="L636">
        <v>100</v>
      </c>
      <c r="M636">
        <v>46.8</v>
      </c>
      <c r="N636">
        <v>38.700000000000003</v>
      </c>
      <c r="O636">
        <v>20.8</v>
      </c>
      <c r="P636">
        <v>3.7670000000000002E-2</v>
      </c>
      <c r="Q636">
        <v>7.31</v>
      </c>
      <c r="R636">
        <v>21.44</v>
      </c>
      <c r="S636">
        <v>6</v>
      </c>
      <c r="T636">
        <v>6</v>
      </c>
      <c r="U636">
        <v>36</v>
      </c>
      <c r="V636">
        <v>139.80000000000001</v>
      </c>
      <c r="W636">
        <v>288.16000000000003</v>
      </c>
      <c r="X636">
        <v>1.35612</v>
      </c>
      <c r="Y636">
        <v>27.85</v>
      </c>
      <c r="Z636">
        <v>1.0491095000000001</v>
      </c>
      <c r="AA636">
        <v>0.77361111111111114</v>
      </c>
      <c r="AB636">
        <v>59710.400000000001</v>
      </c>
      <c r="AC636">
        <v>1</v>
      </c>
      <c r="AD636" s="1" t="s">
        <v>40</v>
      </c>
      <c r="AE636">
        <v>1</v>
      </c>
      <c r="AF636">
        <v>0</v>
      </c>
      <c r="AG636">
        <v>22.565789473684212</v>
      </c>
    </row>
    <row r="637" spans="1:33">
      <c r="A637" s="1" t="s">
        <v>650</v>
      </c>
      <c r="B637" s="1" t="s">
        <v>1703</v>
      </c>
      <c r="C637" s="2">
        <v>46431</v>
      </c>
      <c r="D637" s="1" t="s">
        <v>34</v>
      </c>
      <c r="E637">
        <v>1017</v>
      </c>
      <c r="F637" s="2">
        <v>46081</v>
      </c>
      <c r="G637" s="1" t="s">
        <v>651</v>
      </c>
      <c r="H637" s="1" t="s">
        <v>577</v>
      </c>
      <c r="I637" s="1" t="s">
        <v>37</v>
      </c>
      <c r="J637" s="1" t="s">
        <v>564</v>
      </c>
      <c r="K637" s="1" t="s">
        <v>39</v>
      </c>
      <c r="L637">
        <v>60</v>
      </c>
      <c r="M637">
        <v>41.7</v>
      </c>
      <c r="N637">
        <v>29.6</v>
      </c>
      <c r="O637">
        <v>17.600000000000001</v>
      </c>
      <c r="P637">
        <v>2.172E-2</v>
      </c>
      <c r="Q637">
        <v>3.37</v>
      </c>
      <c r="R637">
        <v>13.79</v>
      </c>
      <c r="S637">
        <v>8</v>
      </c>
      <c r="T637">
        <v>7</v>
      </c>
      <c r="U637">
        <v>56</v>
      </c>
      <c r="V637">
        <v>138.20000000000002</v>
      </c>
      <c r="W637">
        <v>213.72</v>
      </c>
      <c r="X637">
        <v>1.2163200000000001</v>
      </c>
      <c r="Y637">
        <v>16.95</v>
      </c>
      <c r="Z637">
        <v>0.36815399999999998</v>
      </c>
      <c r="AA637">
        <v>0.30267857142857141</v>
      </c>
      <c r="AB637">
        <v>14024.429999999998</v>
      </c>
      <c r="AC637">
        <v>1</v>
      </c>
      <c r="AD637" s="1" t="s">
        <v>40</v>
      </c>
      <c r="AE637">
        <v>1</v>
      </c>
      <c r="AF637">
        <v>0</v>
      </c>
      <c r="AG637">
        <v>11.513157894736842</v>
      </c>
    </row>
    <row r="638" spans="1:33">
      <c r="A638" s="1" t="s">
        <v>650</v>
      </c>
      <c r="B638" s="1" t="s">
        <v>1704</v>
      </c>
      <c r="C638" s="2">
        <v>46927</v>
      </c>
      <c r="D638" s="1" t="s">
        <v>34</v>
      </c>
      <c r="E638">
        <v>137</v>
      </c>
      <c r="F638" s="2">
        <v>46081</v>
      </c>
      <c r="G638" s="1" t="s">
        <v>651</v>
      </c>
      <c r="H638" s="1" t="s">
        <v>577</v>
      </c>
      <c r="I638" s="1" t="s">
        <v>37</v>
      </c>
      <c r="J638" s="1" t="s">
        <v>564</v>
      </c>
      <c r="K638" s="1" t="s">
        <v>39</v>
      </c>
      <c r="L638">
        <v>60</v>
      </c>
      <c r="M638">
        <v>41.7</v>
      </c>
      <c r="N638">
        <v>29.6</v>
      </c>
      <c r="O638">
        <v>17.600000000000001</v>
      </c>
      <c r="P638">
        <v>2.172E-2</v>
      </c>
      <c r="Q638">
        <v>3.37</v>
      </c>
      <c r="R638">
        <v>13.79</v>
      </c>
      <c r="S638">
        <v>8</v>
      </c>
      <c r="T638">
        <v>7</v>
      </c>
      <c r="U638">
        <v>56</v>
      </c>
      <c r="V638">
        <v>138.20000000000002</v>
      </c>
      <c r="W638">
        <v>213.72</v>
      </c>
      <c r="X638">
        <v>1.2163200000000001</v>
      </c>
      <c r="Y638">
        <v>2.2833333333333332</v>
      </c>
      <c r="Z638">
        <v>4.9593999999999999E-2</v>
      </c>
      <c r="AA638">
        <v>4.0773809523809525E-2</v>
      </c>
      <c r="AB638">
        <v>1889.2299999999998</v>
      </c>
      <c r="AC638">
        <v>1</v>
      </c>
      <c r="AD638" s="1" t="s">
        <v>44</v>
      </c>
      <c r="AE638">
        <v>0</v>
      </c>
      <c r="AF638">
        <v>1</v>
      </c>
      <c r="AG638">
        <v>27.828947368421055</v>
      </c>
    </row>
    <row r="639" spans="1:33">
      <c r="A639" s="1" t="s">
        <v>650</v>
      </c>
      <c r="B639" s="1" t="s">
        <v>1705</v>
      </c>
      <c r="C639" s="2">
        <v>47143</v>
      </c>
      <c r="D639" s="1" t="s">
        <v>34</v>
      </c>
      <c r="E639">
        <v>77</v>
      </c>
      <c r="F639" s="2">
        <v>46081</v>
      </c>
      <c r="G639" s="1" t="s">
        <v>651</v>
      </c>
      <c r="H639" s="1" t="s">
        <v>577</v>
      </c>
      <c r="I639" s="1" t="s">
        <v>37</v>
      </c>
      <c r="J639" s="1" t="s">
        <v>564</v>
      </c>
      <c r="K639" s="1" t="s">
        <v>39</v>
      </c>
      <c r="L639">
        <v>60</v>
      </c>
      <c r="M639">
        <v>41.7</v>
      </c>
      <c r="N639">
        <v>29.6</v>
      </c>
      <c r="O639">
        <v>17.600000000000001</v>
      </c>
      <c r="P639">
        <v>2.172E-2</v>
      </c>
      <c r="Q639">
        <v>3.37</v>
      </c>
      <c r="R639">
        <v>13.79</v>
      </c>
      <c r="S639">
        <v>8</v>
      </c>
      <c r="T639">
        <v>7</v>
      </c>
      <c r="U639">
        <v>56</v>
      </c>
      <c r="V639">
        <v>138.20000000000002</v>
      </c>
      <c r="W639">
        <v>213.72</v>
      </c>
      <c r="X639">
        <v>1.2163200000000001</v>
      </c>
      <c r="Y639">
        <v>1.2833333333333334</v>
      </c>
      <c r="Z639">
        <v>2.7874000000000003E-2</v>
      </c>
      <c r="AA639">
        <v>2.2916666666666669E-2</v>
      </c>
      <c r="AB639">
        <v>1061.83</v>
      </c>
      <c r="AC639">
        <v>1</v>
      </c>
      <c r="AD639" s="1" t="s">
        <v>44</v>
      </c>
      <c r="AE639">
        <v>0</v>
      </c>
      <c r="AF639">
        <v>1</v>
      </c>
      <c r="AG639">
        <v>34.934210526315788</v>
      </c>
    </row>
    <row r="640" spans="1:33">
      <c r="A640" s="1" t="s">
        <v>652</v>
      </c>
      <c r="B640" s="1" t="s">
        <v>1706</v>
      </c>
      <c r="C640" s="2">
        <v>46638</v>
      </c>
      <c r="D640" s="1" t="s">
        <v>34</v>
      </c>
      <c r="E640">
        <v>2257</v>
      </c>
      <c r="F640" s="2">
        <v>46081</v>
      </c>
      <c r="G640" s="1" t="s">
        <v>653</v>
      </c>
      <c r="H640" s="1" t="s">
        <v>43</v>
      </c>
      <c r="I640" s="1" t="s">
        <v>37</v>
      </c>
      <c r="J640" s="1" t="s">
        <v>564</v>
      </c>
      <c r="K640" s="1" t="s">
        <v>39</v>
      </c>
      <c r="L640">
        <v>60</v>
      </c>
      <c r="M640">
        <v>42.7</v>
      </c>
      <c r="N640">
        <v>29.6</v>
      </c>
      <c r="O640">
        <v>26.2</v>
      </c>
      <c r="P640">
        <v>3.3114703999999898E-2</v>
      </c>
      <c r="Q640">
        <v>6.62</v>
      </c>
      <c r="R640">
        <v>15</v>
      </c>
      <c r="S640">
        <v>8</v>
      </c>
      <c r="T640">
        <v>4</v>
      </c>
      <c r="U640">
        <v>32</v>
      </c>
      <c r="V640">
        <v>119.8</v>
      </c>
      <c r="W640">
        <v>236.84</v>
      </c>
      <c r="X640">
        <v>1.0596705279999998</v>
      </c>
      <c r="Y640">
        <v>37.616666666666667</v>
      </c>
      <c r="Z640">
        <v>1.2456647821333295</v>
      </c>
      <c r="AA640">
        <v>1.1755208333333333</v>
      </c>
      <c r="AB640">
        <v>33855</v>
      </c>
      <c r="AC640">
        <v>2</v>
      </c>
      <c r="AD640" s="1" t="s">
        <v>40</v>
      </c>
      <c r="AE640">
        <v>2</v>
      </c>
      <c r="AF640">
        <v>0</v>
      </c>
      <c r="AG640">
        <v>18.322368421052634</v>
      </c>
    </row>
    <row r="641" spans="1:33">
      <c r="A641" s="1" t="s">
        <v>652</v>
      </c>
      <c r="B641" s="1" t="s">
        <v>1707</v>
      </c>
      <c r="C641" s="2">
        <v>46530</v>
      </c>
      <c r="D641" s="1" t="s">
        <v>34</v>
      </c>
      <c r="E641">
        <v>4466</v>
      </c>
      <c r="F641" s="2">
        <v>46081</v>
      </c>
      <c r="G641" s="1" t="s">
        <v>653</v>
      </c>
      <c r="H641" s="1" t="s">
        <v>43</v>
      </c>
      <c r="I641" s="1" t="s">
        <v>37</v>
      </c>
      <c r="J641" s="1" t="s">
        <v>564</v>
      </c>
      <c r="K641" s="1" t="s">
        <v>39</v>
      </c>
      <c r="L641">
        <v>60</v>
      </c>
      <c r="M641">
        <v>42.7</v>
      </c>
      <c r="N641">
        <v>29.6</v>
      </c>
      <c r="O641">
        <v>26.2</v>
      </c>
      <c r="P641">
        <v>3.3114703999999898E-2</v>
      </c>
      <c r="Q641">
        <v>6.62</v>
      </c>
      <c r="R641">
        <v>15</v>
      </c>
      <c r="S641">
        <v>8</v>
      </c>
      <c r="T641">
        <v>4</v>
      </c>
      <c r="U641">
        <v>32</v>
      </c>
      <c r="V641">
        <v>119.8</v>
      </c>
      <c r="W641">
        <v>236.84</v>
      </c>
      <c r="X641">
        <v>1.0596705279999998</v>
      </c>
      <c r="Y641">
        <v>74.433333333333337</v>
      </c>
      <c r="Z641">
        <v>2.4648378010666594</v>
      </c>
      <c r="AA641">
        <v>2.3260416666666668</v>
      </c>
      <c r="AB641">
        <v>66990</v>
      </c>
      <c r="AC641">
        <v>3</v>
      </c>
      <c r="AD641" s="1" t="s">
        <v>40</v>
      </c>
      <c r="AE641">
        <v>3</v>
      </c>
      <c r="AF641">
        <v>0</v>
      </c>
      <c r="AG641">
        <v>14.769736842105264</v>
      </c>
    </row>
    <row r="642" spans="1:33">
      <c r="A642" s="1" t="s">
        <v>654</v>
      </c>
      <c r="B642" s="1" t="s">
        <v>1708</v>
      </c>
      <c r="C642" s="2">
        <v>46348</v>
      </c>
      <c r="D642" s="1" t="s">
        <v>34</v>
      </c>
      <c r="E642">
        <v>10797</v>
      </c>
      <c r="F642" s="2">
        <v>46081</v>
      </c>
      <c r="G642" s="1" t="s">
        <v>655</v>
      </c>
      <c r="H642" s="1" t="s">
        <v>43</v>
      </c>
      <c r="I642" s="1" t="s">
        <v>37</v>
      </c>
      <c r="J642" s="1" t="s">
        <v>564</v>
      </c>
      <c r="K642" s="1" t="s">
        <v>39</v>
      </c>
      <c r="L642">
        <v>200</v>
      </c>
      <c r="M642">
        <v>42.7</v>
      </c>
      <c r="N642">
        <v>29.5</v>
      </c>
      <c r="O642">
        <v>21.2</v>
      </c>
      <c r="P642">
        <v>2.6700000000000002E-2</v>
      </c>
      <c r="Q642">
        <v>6.15</v>
      </c>
      <c r="R642">
        <v>29.35</v>
      </c>
      <c r="S642">
        <v>8</v>
      </c>
      <c r="T642">
        <v>4</v>
      </c>
      <c r="U642">
        <v>32</v>
      </c>
      <c r="V642">
        <v>99.8</v>
      </c>
      <c r="W642">
        <v>221.8</v>
      </c>
      <c r="X642">
        <v>0.85440000000000005</v>
      </c>
      <c r="Y642">
        <v>53.984999999999999</v>
      </c>
      <c r="Z642">
        <v>1.4413995000000002</v>
      </c>
      <c r="AA642">
        <v>1.68703125</v>
      </c>
      <c r="AB642">
        <v>316891.95</v>
      </c>
      <c r="AC642">
        <v>2</v>
      </c>
      <c r="AD642" s="1" t="s">
        <v>40</v>
      </c>
      <c r="AE642">
        <v>2</v>
      </c>
      <c r="AF642">
        <v>0</v>
      </c>
      <c r="AG642">
        <v>8.7828947368421062</v>
      </c>
    </row>
    <row r="643" spans="1:33">
      <c r="A643" s="1" t="s">
        <v>654</v>
      </c>
      <c r="B643" s="1" t="s">
        <v>1709</v>
      </c>
      <c r="C643" s="2">
        <v>46654</v>
      </c>
      <c r="D643" s="1" t="s">
        <v>34</v>
      </c>
      <c r="E643">
        <v>15175</v>
      </c>
      <c r="F643" s="2">
        <v>46081</v>
      </c>
      <c r="G643" s="1" t="s">
        <v>655</v>
      </c>
      <c r="H643" s="1" t="s">
        <v>43</v>
      </c>
      <c r="I643" s="1" t="s">
        <v>37</v>
      </c>
      <c r="J643" s="1" t="s">
        <v>564</v>
      </c>
      <c r="K643" s="1" t="s">
        <v>39</v>
      </c>
      <c r="L643">
        <v>200</v>
      </c>
      <c r="M643">
        <v>42.7</v>
      </c>
      <c r="N643">
        <v>29.5</v>
      </c>
      <c r="O643">
        <v>21.2</v>
      </c>
      <c r="P643">
        <v>2.6700000000000002E-2</v>
      </c>
      <c r="Q643">
        <v>6.15</v>
      </c>
      <c r="R643">
        <v>29.35</v>
      </c>
      <c r="S643">
        <v>8</v>
      </c>
      <c r="T643">
        <v>4</v>
      </c>
      <c r="U643">
        <v>32</v>
      </c>
      <c r="V643">
        <v>99.8</v>
      </c>
      <c r="W643">
        <v>221.8</v>
      </c>
      <c r="X643">
        <v>0.85440000000000005</v>
      </c>
      <c r="Y643">
        <v>75.875</v>
      </c>
      <c r="Z643">
        <v>2.0258625000000001</v>
      </c>
      <c r="AA643">
        <v>2.37109375</v>
      </c>
      <c r="AB643">
        <v>445386.25</v>
      </c>
      <c r="AC643">
        <v>3</v>
      </c>
      <c r="AD643" s="1" t="s">
        <v>40</v>
      </c>
      <c r="AE643">
        <v>3</v>
      </c>
      <c r="AF643">
        <v>0</v>
      </c>
      <c r="AG643">
        <v>18.848684210526315</v>
      </c>
    </row>
    <row r="644" spans="1:33">
      <c r="A644" s="1" t="s">
        <v>654</v>
      </c>
      <c r="B644" s="1" t="s">
        <v>1710</v>
      </c>
      <c r="C644" s="2">
        <v>47087</v>
      </c>
      <c r="D644" s="1" t="s">
        <v>34</v>
      </c>
      <c r="E644">
        <v>2017</v>
      </c>
      <c r="F644" s="2">
        <v>46081</v>
      </c>
      <c r="G644" s="1" t="s">
        <v>655</v>
      </c>
      <c r="H644" s="1" t="s">
        <v>43</v>
      </c>
      <c r="I644" s="1" t="s">
        <v>37</v>
      </c>
      <c r="J644" s="1" t="s">
        <v>564</v>
      </c>
      <c r="K644" s="1" t="s">
        <v>39</v>
      </c>
      <c r="L644">
        <v>200</v>
      </c>
      <c r="M644">
        <v>42.7</v>
      </c>
      <c r="N644">
        <v>29.5</v>
      </c>
      <c r="O644">
        <v>21.2</v>
      </c>
      <c r="P644">
        <v>2.6700000000000002E-2</v>
      </c>
      <c r="Q644">
        <v>6.15</v>
      </c>
      <c r="R644">
        <v>29.35</v>
      </c>
      <c r="S644">
        <v>8</v>
      </c>
      <c r="T644">
        <v>4</v>
      </c>
      <c r="U644">
        <v>32</v>
      </c>
      <c r="V644">
        <v>99.8</v>
      </c>
      <c r="W644">
        <v>221.8</v>
      </c>
      <c r="X644">
        <v>0.85440000000000005</v>
      </c>
      <c r="Y644">
        <v>10.085000000000001</v>
      </c>
      <c r="Z644">
        <v>0.26926950000000005</v>
      </c>
      <c r="AA644">
        <v>0.31515625000000003</v>
      </c>
      <c r="AB644">
        <v>59198.950000000004</v>
      </c>
      <c r="AC644">
        <v>1</v>
      </c>
      <c r="AD644" s="1" t="s">
        <v>40</v>
      </c>
      <c r="AE644">
        <v>1</v>
      </c>
      <c r="AF644">
        <v>0</v>
      </c>
      <c r="AG644">
        <v>33.092105263157897</v>
      </c>
    </row>
    <row r="645" spans="1:33">
      <c r="A645" s="1" t="s">
        <v>654</v>
      </c>
      <c r="B645" s="1" t="s">
        <v>1711</v>
      </c>
      <c r="C645" s="2">
        <v>45793</v>
      </c>
      <c r="D645" s="1" t="s">
        <v>73</v>
      </c>
      <c r="E645">
        <v>2239</v>
      </c>
      <c r="F645" s="2">
        <v>46081</v>
      </c>
      <c r="G645" s="1" t="s">
        <v>655</v>
      </c>
      <c r="H645" s="1" t="s">
        <v>43</v>
      </c>
      <c r="I645" s="1" t="s">
        <v>37</v>
      </c>
      <c r="J645" s="1" t="s">
        <v>564</v>
      </c>
      <c r="K645" s="1" t="s">
        <v>39</v>
      </c>
      <c r="L645">
        <v>200</v>
      </c>
      <c r="M645">
        <v>42.7</v>
      </c>
      <c r="N645">
        <v>29.5</v>
      </c>
      <c r="O645">
        <v>21.2</v>
      </c>
      <c r="P645">
        <v>2.6700000000000002E-2</v>
      </c>
      <c r="Q645">
        <v>6.15</v>
      </c>
      <c r="R645">
        <v>29.35</v>
      </c>
      <c r="S645">
        <v>8</v>
      </c>
      <c r="T645">
        <v>4</v>
      </c>
      <c r="U645">
        <v>32</v>
      </c>
      <c r="V645">
        <v>99.8</v>
      </c>
      <c r="W645">
        <v>221.8</v>
      </c>
      <c r="X645">
        <v>0.85440000000000005</v>
      </c>
      <c r="Y645">
        <v>11.195</v>
      </c>
      <c r="Z645">
        <v>0.29890650000000002</v>
      </c>
      <c r="AA645">
        <v>0.34984375000000001</v>
      </c>
      <c r="AB645">
        <v>65714.650000000009</v>
      </c>
      <c r="AC645">
        <v>1</v>
      </c>
      <c r="AD645" s="1" t="s">
        <v>74</v>
      </c>
      <c r="AE645">
        <v>0</v>
      </c>
      <c r="AF645">
        <v>0</v>
      </c>
      <c r="AG645">
        <v>-9.4736842105263168</v>
      </c>
    </row>
    <row r="646" spans="1:33">
      <c r="A646" s="1" t="s">
        <v>656</v>
      </c>
      <c r="B646" s="1" t="s">
        <v>1712</v>
      </c>
      <c r="C646" s="2">
        <v>46666</v>
      </c>
      <c r="D646" s="1" t="s">
        <v>34</v>
      </c>
      <c r="E646">
        <v>20866</v>
      </c>
      <c r="F646" s="2">
        <v>46081</v>
      </c>
      <c r="G646" s="1" t="s">
        <v>657</v>
      </c>
      <c r="H646" s="1" t="s">
        <v>70</v>
      </c>
      <c r="I646" s="1" t="s">
        <v>37</v>
      </c>
      <c r="J646" s="1" t="s">
        <v>564</v>
      </c>
      <c r="K646" s="1" t="s">
        <v>39</v>
      </c>
      <c r="L646">
        <v>100</v>
      </c>
      <c r="M646">
        <v>42.3</v>
      </c>
      <c r="N646">
        <v>32.299999999999997</v>
      </c>
      <c r="O646">
        <v>19.2</v>
      </c>
      <c r="P646">
        <v>2.623E-2</v>
      </c>
      <c r="Q646">
        <v>4.4000000000000004</v>
      </c>
      <c r="R646">
        <v>15.57</v>
      </c>
      <c r="S646">
        <v>6</v>
      </c>
      <c r="T646">
        <v>3</v>
      </c>
      <c r="U646">
        <v>18</v>
      </c>
      <c r="V646">
        <v>72.599999999999994</v>
      </c>
      <c r="W646">
        <v>104.2</v>
      </c>
      <c r="X646">
        <v>0.47214</v>
      </c>
      <c r="Y646">
        <v>208.66</v>
      </c>
      <c r="Z646">
        <v>5.4731518000000001</v>
      </c>
      <c r="AA646">
        <v>11.592222222222222</v>
      </c>
      <c r="AB646">
        <v>324883.62</v>
      </c>
      <c r="AC646">
        <v>12</v>
      </c>
      <c r="AD646" s="1" t="s">
        <v>40</v>
      </c>
      <c r="AE646">
        <v>12</v>
      </c>
      <c r="AF646">
        <v>0</v>
      </c>
      <c r="AG646">
        <v>19.243421052631579</v>
      </c>
    </row>
    <row r="647" spans="1:33">
      <c r="A647" s="1" t="s">
        <v>658</v>
      </c>
      <c r="B647" s="1" t="s">
        <v>1713</v>
      </c>
      <c r="C647" s="2">
        <v>47006</v>
      </c>
      <c r="D647" s="1" t="s">
        <v>34</v>
      </c>
      <c r="E647">
        <v>1362</v>
      </c>
      <c r="F647" s="2">
        <v>46081</v>
      </c>
      <c r="G647" s="1" t="s">
        <v>659</v>
      </c>
      <c r="H647" s="1" t="s">
        <v>36</v>
      </c>
      <c r="I647" s="1" t="s">
        <v>37</v>
      </c>
      <c r="J647" s="1" t="s">
        <v>564</v>
      </c>
      <c r="K647" s="1" t="s">
        <v>39</v>
      </c>
      <c r="L647">
        <v>60</v>
      </c>
      <c r="M647">
        <v>53.6</v>
      </c>
      <c r="N647">
        <v>35.6</v>
      </c>
      <c r="O647">
        <v>24.2</v>
      </c>
      <c r="P647">
        <v>4.6179999999999999E-2</v>
      </c>
      <c r="Q647">
        <v>8.74</v>
      </c>
      <c r="R647">
        <v>7.05</v>
      </c>
      <c r="S647">
        <v>2</v>
      </c>
      <c r="T647">
        <v>4</v>
      </c>
      <c r="U647">
        <v>8</v>
      </c>
      <c r="V647">
        <v>111.8</v>
      </c>
      <c r="W647">
        <v>94.92</v>
      </c>
      <c r="X647">
        <v>0.36943999999999999</v>
      </c>
      <c r="Y647">
        <v>22.7</v>
      </c>
      <c r="Z647">
        <v>1.0482860000000001</v>
      </c>
      <c r="AA647">
        <v>2.8374999999999999</v>
      </c>
      <c r="AB647">
        <v>9602.1</v>
      </c>
      <c r="AC647">
        <v>3</v>
      </c>
      <c r="AD647" s="1" t="s">
        <v>40</v>
      </c>
      <c r="AE647">
        <v>3</v>
      </c>
      <c r="AF647">
        <v>0</v>
      </c>
      <c r="AG647">
        <v>30.42763157894737</v>
      </c>
    </row>
    <row r="648" spans="1:33">
      <c r="A648" s="1" t="s">
        <v>658</v>
      </c>
      <c r="B648" s="1" t="s">
        <v>1714</v>
      </c>
      <c r="C648" s="2">
        <v>46983</v>
      </c>
      <c r="D648" s="1" t="s">
        <v>34</v>
      </c>
      <c r="E648">
        <v>8281</v>
      </c>
      <c r="F648" s="2">
        <v>46081</v>
      </c>
      <c r="G648" s="1" t="s">
        <v>659</v>
      </c>
      <c r="H648" s="1" t="s">
        <v>36</v>
      </c>
      <c r="I648" s="1" t="s">
        <v>37</v>
      </c>
      <c r="J648" s="1" t="s">
        <v>564</v>
      </c>
      <c r="K648" s="1" t="s">
        <v>39</v>
      </c>
      <c r="L648">
        <v>60</v>
      </c>
      <c r="M648">
        <v>53.6</v>
      </c>
      <c r="N648">
        <v>35.6</v>
      </c>
      <c r="O648">
        <v>24.2</v>
      </c>
      <c r="P648">
        <v>4.6179999999999999E-2</v>
      </c>
      <c r="Q648">
        <v>8.74</v>
      </c>
      <c r="R648">
        <v>7.05</v>
      </c>
      <c r="S648">
        <v>2</v>
      </c>
      <c r="T648">
        <v>4</v>
      </c>
      <c r="U648">
        <v>8</v>
      </c>
      <c r="V648">
        <v>111.8</v>
      </c>
      <c r="W648">
        <v>94.92</v>
      </c>
      <c r="X648">
        <v>0.36943999999999999</v>
      </c>
      <c r="Y648">
        <v>138.01666666666668</v>
      </c>
      <c r="Z648">
        <v>6.3736096666666668</v>
      </c>
      <c r="AA648">
        <v>17.252083333333335</v>
      </c>
      <c r="AB648">
        <v>58381.049999999996</v>
      </c>
      <c r="AC648">
        <v>18</v>
      </c>
      <c r="AD648" s="1" t="s">
        <v>40</v>
      </c>
      <c r="AE648">
        <v>18</v>
      </c>
      <c r="AF648">
        <v>0</v>
      </c>
      <c r="AG648">
        <v>29.671052631578949</v>
      </c>
    </row>
    <row r="649" spans="1:33">
      <c r="A649" s="1" t="s">
        <v>658</v>
      </c>
      <c r="B649" s="1" t="s">
        <v>1715</v>
      </c>
      <c r="C649" s="2">
        <v>46221</v>
      </c>
      <c r="D649" s="1" t="s">
        <v>49</v>
      </c>
      <c r="E649">
        <v>482</v>
      </c>
      <c r="F649" s="2">
        <v>46081</v>
      </c>
      <c r="G649" s="1" t="s">
        <v>659</v>
      </c>
      <c r="H649" s="1" t="s">
        <v>36</v>
      </c>
      <c r="I649" s="1" t="s">
        <v>37</v>
      </c>
      <c r="J649" s="1" t="s">
        <v>564</v>
      </c>
      <c r="K649" s="1" t="s">
        <v>39</v>
      </c>
      <c r="L649">
        <v>60</v>
      </c>
      <c r="M649">
        <v>53.6</v>
      </c>
      <c r="N649">
        <v>35.6</v>
      </c>
      <c r="O649">
        <v>24.2</v>
      </c>
      <c r="P649">
        <v>4.6179999999999999E-2</v>
      </c>
      <c r="Q649">
        <v>8.74</v>
      </c>
      <c r="R649">
        <v>7.05</v>
      </c>
      <c r="S649">
        <v>2</v>
      </c>
      <c r="T649">
        <v>4</v>
      </c>
      <c r="U649">
        <v>8</v>
      </c>
      <c r="V649">
        <v>111.8</v>
      </c>
      <c r="W649">
        <v>94.92</v>
      </c>
      <c r="X649">
        <v>0.36943999999999999</v>
      </c>
      <c r="Y649">
        <v>8.0333333333333332</v>
      </c>
      <c r="Z649">
        <v>0.37097933333333333</v>
      </c>
      <c r="AA649">
        <v>1.0041666666666667</v>
      </c>
      <c r="AB649">
        <v>3398.1</v>
      </c>
      <c r="AC649">
        <v>2</v>
      </c>
      <c r="AD649" s="1" t="s">
        <v>40</v>
      </c>
      <c r="AE649">
        <v>2</v>
      </c>
      <c r="AF649">
        <v>0</v>
      </c>
      <c r="AG649">
        <v>4.6052631578947372</v>
      </c>
    </row>
    <row r="650" spans="1:33">
      <c r="A650" s="1" t="s">
        <v>660</v>
      </c>
      <c r="B650" s="1" t="s">
        <v>1716</v>
      </c>
      <c r="C650" s="2">
        <v>46287</v>
      </c>
      <c r="D650" s="1" t="s">
        <v>34</v>
      </c>
      <c r="E650">
        <v>2220</v>
      </c>
      <c r="F650" s="2">
        <v>46081</v>
      </c>
      <c r="G650" s="1" t="s">
        <v>661</v>
      </c>
      <c r="H650" s="1" t="s">
        <v>36</v>
      </c>
      <c r="I650" s="1" t="s">
        <v>37</v>
      </c>
      <c r="J650" s="1" t="s">
        <v>564</v>
      </c>
      <c r="K650" s="1" t="s">
        <v>39</v>
      </c>
      <c r="L650">
        <v>120</v>
      </c>
      <c r="M650">
        <v>40.200000000000003</v>
      </c>
      <c r="N650">
        <v>32.299999999999997</v>
      </c>
      <c r="O650">
        <v>25.8</v>
      </c>
      <c r="P650">
        <v>3.3500000000000002E-2</v>
      </c>
      <c r="Q650">
        <v>7.51</v>
      </c>
      <c r="R650">
        <v>16.239999999999998</v>
      </c>
      <c r="S650">
        <v>6</v>
      </c>
      <c r="T650">
        <v>5</v>
      </c>
      <c r="U650">
        <v>30</v>
      </c>
      <c r="V650">
        <v>144</v>
      </c>
      <c r="W650">
        <v>250.3</v>
      </c>
      <c r="X650">
        <v>1.0049999999999999</v>
      </c>
      <c r="Y650">
        <v>18.5</v>
      </c>
      <c r="Z650">
        <v>0.61975000000000002</v>
      </c>
      <c r="AA650">
        <v>0.6166666666666667</v>
      </c>
      <c r="AB650">
        <v>36052.799999999996</v>
      </c>
      <c r="AC650">
        <v>1</v>
      </c>
      <c r="AD650" s="1" t="s">
        <v>40</v>
      </c>
      <c r="AE650">
        <v>1</v>
      </c>
      <c r="AF650">
        <v>0</v>
      </c>
      <c r="AG650">
        <v>6.776315789473685</v>
      </c>
    </row>
    <row r="651" spans="1:33">
      <c r="A651" s="1" t="s">
        <v>662</v>
      </c>
      <c r="B651" s="1" t="s">
        <v>1717</v>
      </c>
      <c r="C651" s="2">
        <v>46243</v>
      </c>
      <c r="D651" s="1" t="s">
        <v>34</v>
      </c>
      <c r="E651">
        <v>4303</v>
      </c>
      <c r="F651" s="2">
        <v>46081</v>
      </c>
      <c r="G651" s="1" t="s">
        <v>663</v>
      </c>
      <c r="H651" s="1" t="s">
        <v>36</v>
      </c>
      <c r="I651" s="1" t="s">
        <v>37</v>
      </c>
      <c r="J651" s="1" t="s">
        <v>564</v>
      </c>
      <c r="K651" s="1" t="s">
        <v>39</v>
      </c>
      <c r="L651">
        <v>120</v>
      </c>
      <c r="M651">
        <v>40.299999999999997</v>
      </c>
      <c r="N651">
        <v>34.299999999999997</v>
      </c>
      <c r="O651">
        <v>21.7</v>
      </c>
      <c r="P651">
        <v>0.03</v>
      </c>
      <c r="Q651">
        <v>6.87</v>
      </c>
      <c r="R651">
        <v>10.55</v>
      </c>
      <c r="S651">
        <v>6</v>
      </c>
      <c r="T651">
        <v>5</v>
      </c>
      <c r="U651">
        <v>30</v>
      </c>
      <c r="V651">
        <v>123.5</v>
      </c>
      <c r="W651">
        <v>231.1</v>
      </c>
      <c r="X651">
        <v>0.89999999999999991</v>
      </c>
      <c r="Y651">
        <v>35.858333333333334</v>
      </c>
      <c r="Z651">
        <v>1.07575</v>
      </c>
      <c r="AA651">
        <v>1.1952777777777779</v>
      </c>
      <c r="AB651">
        <v>45396.65</v>
      </c>
      <c r="AC651">
        <v>2</v>
      </c>
      <c r="AD651" s="1" t="s">
        <v>40</v>
      </c>
      <c r="AE651">
        <v>2</v>
      </c>
      <c r="AF651">
        <v>0</v>
      </c>
      <c r="AG651">
        <v>5.3289473684210531</v>
      </c>
    </row>
    <row r="652" spans="1:33">
      <c r="A652" s="1" t="s">
        <v>662</v>
      </c>
      <c r="B652" s="1" t="s">
        <v>1718</v>
      </c>
      <c r="C652" s="2">
        <v>46450</v>
      </c>
      <c r="D652" s="1" t="s">
        <v>34</v>
      </c>
      <c r="E652">
        <v>42884</v>
      </c>
      <c r="F652" s="2">
        <v>46081</v>
      </c>
      <c r="G652" s="1" t="s">
        <v>663</v>
      </c>
      <c r="H652" s="1" t="s">
        <v>36</v>
      </c>
      <c r="I652" s="1" t="s">
        <v>37</v>
      </c>
      <c r="J652" s="1" t="s">
        <v>564</v>
      </c>
      <c r="K652" s="1" t="s">
        <v>39</v>
      </c>
      <c r="L652">
        <v>120</v>
      </c>
      <c r="M652">
        <v>40.299999999999997</v>
      </c>
      <c r="N652">
        <v>34.299999999999997</v>
      </c>
      <c r="O652">
        <v>21.7</v>
      </c>
      <c r="P652">
        <v>0.03</v>
      </c>
      <c r="Q652">
        <v>6.87</v>
      </c>
      <c r="R652">
        <v>10.55</v>
      </c>
      <c r="S652">
        <v>6</v>
      </c>
      <c r="T652">
        <v>5</v>
      </c>
      <c r="U652">
        <v>30</v>
      </c>
      <c r="V652">
        <v>123.5</v>
      </c>
      <c r="W652">
        <v>231.1</v>
      </c>
      <c r="X652">
        <v>0.89999999999999991</v>
      </c>
      <c r="Y652">
        <v>357.36666666666667</v>
      </c>
      <c r="Z652">
        <v>10.721</v>
      </c>
      <c r="AA652">
        <v>11.912222222222223</v>
      </c>
      <c r="AB652">
        <v>452426.2</v>
      </c>
      <c r="AC652">
        <v>12</v>
      </c>
      <c r="AD652" s="1" t="s">
        <v>40</v>
      </c>
      <c r="AE652">
        <v>12</v>
      </c>
      <c r="AF652">
        <v>0</v>
      </c>
      <c r="AG652">
        <v>12.138157894736842</v>
      </c>
    </row>
    <row r="653" spans="1:33">
      <c r="A653" s="1" t="s">
        <v>662</v>
      </c>
      <c r="B653" s="1" t="s">
        <v>1719</v>
      </c>
      <c r="C653" s="2">
        <v>46869</v>
      </c>
      <c r="D653" s="1" t="s">
        <v>34</v>
      </c>
      <c r="E653">
        <v>18465</v>
      </c>
      <c r="F653" s="2">
        <v>46081</v>
      </c>
      <c r="G653" s="1" t="s">
        <v>663</v>
      </c>
      <c r="H653" s="1" t="s">
        <v>36</v>
      </c>
      <c r="I653" s="1" t="s">
        <v>37</v>
      </c>
      <c r="J653" s="1" t="s">
        <v>564</v>
      </c>
      <c r="K653" s="1" t="s">
        <v>39</v>
      </c>
      <c r="L653">
        <v>120</v>
      </c>
      <c r="M653">
        <v>40.299999999999997</v>
      </c>
      <c r="N653">
        <v>34.299999999999997</v>
      </c>
      <c r="O653">
        <v>21.7</v>
      </c>
      <c r="P653">
        <v>0.03</v>
      </c>
      <c r="Q653">
        <v>6.87</v>
      </c>
      <c r="R653">
        <v>10.55</v>
      </c>
      <c r="S653">
        <v>6</v>
      </c>
      <c r="T653">
        <v>5</v>
      </c>
      <c r="U653">
        <v>30</v>
      </c>
      <c r="V653">
        <v>123.5</v>
      </c>
      <c r="W653">
        <v>231.1</v>
      </c>
      <c r="X653">
        <v>0.89999999999999991</v>
      </c>
      <c r="Y653">
        <v>153.875</v>
      </c>
      <c r="Z653">
        <v>4.61625</v>
      </c>
      <c r="AA653">
        <v>5.1291666666666664</v>
      </c>
      <c r="AB653">
        <v>194805.75</v>
      </c>
      <c r="AC653">
        <v>6</v>
      </c>
      <c r="AD653" s="1" t="s">
        <v>40</v>
      </c>
      <c r="AE653">
        <v>6</v>
      </c>
      <c r="AF653">
        <v>0</v>
      </c>
      <c r="AG653">
        <v>25.921052631578949</v>
      </c>
    </row>
    <row r="654" spans="1:33">
      <c r="A654" s="1" t="s">
        <v>662</v>
      </c>
      <c r="B654" s="1" t="s">
        <v>1720</v>
      </c>
      <c r="C654" s="2">
        <v>46199</v>
      </c>
      <c r="D654" s="1" t="s">
        <v>45</v>
      </c>
      <c r="E654">
        <v>1313</v>
      </c>
      <c r="F654" s="2">
        <v>46081</v>
      </c>
      <c r="G654" s="1" t="s">
        <v>663</v>
      </c>
      <c r="H654" s="1" t="s">
        <v>36</v>
      </c>
      <c r="I654" s="1" t="s">
        <v>37</v>
      </c>
      <c r="J654" s="1" t="s">
        <v>564</v>
      </c>
      <c r="K654" s="1" t="s">
        <v>39</v>
      </c>
      <c r="L654">
        <v>120</v>
      </c>
      <c r="M654">
        <v>40.299999999999997</v>
      </c>
      <c r="N654">
        <v>34.299999999999997</v>
      </c>
      <c r="O654">
        <v>21.7</v>
      </c>
      <c r="P654">
        <v>0.03</v>
      </c>
      <c r="Q654">
        <v>6.87</v>
      </c>
      <c r="R654">
        <v>10.55</v>
      </c>
      <c r="S654">
        <v>6</v>
      </c>
      <c r="T654">
        <v>5</v>
      </c>
      <c r="U654">
        <v>30</v>
      </c>
      <c r="V654">
        <v>123.5</v>
      </c>
      <c r="W654">
        <v>231.1</v>
      </c>
      <c r="X654">
        <v>0.89999999999999991</v>
      </c>
      <c r="Y654">
        <v>10.941666666666666</v>
      </c>
      <c r="Z654">
        <v>0.32824999999999999</v>
      </c>
      <c r="AA654">
        <v>0.36472222222222223</v>
      </c>
      <c r="AB654">
        <v>13852.150000000001</v>
      </c>
      <c r="AC654">
        <v>1</v>
      </c>
      <c r="AD654" s="1" t="s">
        <v>40</v>
      </c>
      <c r="AE654">
        <v>1</v>
      </c>
      <c r="AF654">
        <v>0</v>
      </c>
      <c r="AG654">
        <v>3.8815789473684212</v>
      </c>
    </row>
    <row r="655" spans="1:33">
      <c r="A655" s="1" t="s">
        <v>664</v>
      </c>
      <c r="B655" s="1" t="s">
        <v>1721</v>
      </c>
      <c r="C655" s="2">
        <v>46951</v>
      </c>
      <c r="D655" s="1" t="s">
        <v>34</v>
      </c>
      <c r="E655">
        <v>4899</v>
      </c>
      <c r="F655" s="2">
        <v>46081</v>
      </c>
      <c r="G655" s="1" t="s">
        <v>665</v>
      </c>
      <c r="H655" s="1" t="s">
        <v>43</v>
      </c>
      <c r="I655" s="1" t="s">
        <v>37</v>
      </c>
      <c r="J655" s="1" t="s">
        <v>564</v>
      </c>
      <c r="K655" s="1" t="s">
        <v>39</v>
      </c>
      <c r="L655">
        <v>120</v>
      </c>
      <c r="M655">
        <v>38.299999999999997</v>
      </c>
      <c r="N655">
        <v>26.8</v>
      </c>
      <c r="O655">
        <v>24.2</v>
      </c>
      <c r="P655">
        <v>2.4840000000000001E-2</v>
      </c>
      <c r="Q655">
        <v>6.78</v>
      </c>
      <c r="R655">
        <v>12.38</v>
      </c>
      <c r="S655">
        <v>9</v>
      </c>
      <c r="T655">
        <v>3</v>
      </c>
      <c r="U655">
        <v>27</v>
      </c>
      <c r="V655">
        <v>87.6</v>
      </c>
      <c r="W655">
        <v>208.06</v>
      </c>
      <c r="X655">
        <v>0.67068000000000005</v>
      </c>
      <c r="Y655">
        <v>40.825000000000003</v>
      </c>
      <c r="Z655">
        <v>1.0140930000000001</v>
      </c>
      <c r="AA655">
        <v>1.5120370370370371</v>
      </c>
      <c r="AB655">
        <v>60649.62</v>
      </c>
      <c r="AC655">
        <v>2</v>
      </c>
      <c r="AD655" s="1" t="s">
        <v>40</v>
      </c>
      <c r="AE655">
        <v>2</v>
      </c>
      <c r="AF655">
        <v>0</v>
      </c>
      <c r="AG655">
        <v>28.618421052631579</v>
      </c>
    </row>
    <row r="656" spans="1:33">
      <c r="A656" s="1" t="s">
        <v>666</v>
      </c>
      <c r="B656" s="1" t="s">
        <v>1722</v>
      </c>
      <c r="C656" s="2">
        <v>46689</v>
      </c>
      <c r="D656" s="1" t="s">
        <v>34</v>
      </c>
      <c r="E656">
        <v>23562</v>
      </c>
      <c r="F656" s="2">
        <v>46081</v>
      </c>
      <c r="G656" s="1" t="s">
        <v>667</v>
      </c>
      <c r="H656" s="1" t="s">
        <v>36</v>
      </c>
      <c r="I656" s="1" t="s">
        <v>37</v>
      </c>
      <c r="J656" s="1" t="s">
        <v>564</v>
      </c>
      <c r="K656" s="1" t="s">
        <v>39</v>
      </c>
      <c r="L656">
        <v>100</v>
      </c>
      <c r="M656">
        <v>36.4</v>
      </c>
      <c r="N656">
        <v>29.2</v>
      </c>
      <c r="O656">
        <v>24.6</v>
      </c>
      <c r="P656">
        <v>2.615E-2</v>
      </c>
      <c r="Q656">
        <v>7.14</v>
      </c>
      <c r="R656">
        <v>11.75</v>
      </c>
      <c r="S656">
        <v>7</v>
      </c>
      <c r="T656">
        <v>5</v>
      </c>
      <c r="U656">
        <v>35</v>
      </c>
      <c r="V656">
        <v>138</v>
      </c>
      <c r="W656">
        <v>274.89999999999998</v>
      </c>
      <c r="X656">
        <v>0.91525000000000001</v>
      </c>
      <c r="Y656">
        <v>235.62</v>
      </c>
      <c r="Z656">
        <v>6.1614630000000004</v>
      </c>
      <c r="AA656">
        <v>6.7320000000000002</v>
      </c>
      <c r="AB656">
        <v>276853.5</v>
      </c>
      <c r="AC656">
        <v>7</v>
      </c>
      <c r="AD656" s="1" t="s">
        <v>40</v>
      </c>
      <c r="AE656">
        <v>7</v>
      </c>
      <c r="AF656">
        <v>0</v>
      </c>
      <c r="AG656">
        <v>20</v>
      </c>
    </row>
    <row r="657" spans="1:33">
      <c r="A657" s="1" t="s">
        <v>668</v>
      </c>
      <c r="B657" s="1" t="s">
        <v>1723</v>
      </c>
      <c r="C657" s="2">
        <v>46592</v>
      </c>
      <c r="D657" s="1" t="s">
        <v>34</v>
      </c>
      <c r="E657">
        <v>7822</v>
      </c>
      <c r="F657" s="2">
        <v>46081</v>
      </c>
      <c r="G657" s="1" t="s">
        <v>669</v>
      </c>
      <c r="H657" s="1" t="s">
        <v>43</v>
      </c>
      <c r="I657" s="1" t="s">
        <v>37</v>
      </c>
      <c r="J657" s="1" t="s">
        <v>564</v>
      </c>
      <c r="K657" s="1" t="s">
        <v>39</v>
      </c>
      <c r="L657">
        <v>100</v>
      </c>
      <c r="M657">
        <v>31.9</v>
      </c>
      <c r="N657">
        <v>34</v>
      </c>
      <c r="O657">
        <v>28.8</v>
      </c>
      <c r="P657">
        <v>3.124E-2</v>
      </c>
      <c r="Q657">
        <v>4.45</v>
      </c>
      <c r="R657">
        <v>27.11</v>
      </c>
      <c r="S657">
        <v>8</v>
      </c>
      <c r="T657">
        <v>3</v>
      </c>
      <c r="U657">
        <v>24</v>
      </c>
      <c r="V657">
        <v>101.4</v>
      </c>
      <c r="W657">
        <v>131.80000000000001</v>
      </c>
      <c r="X657">
        <v>0.74975999999999998</v>
      </c>
      <c r="Y657">
        <v>78.22</v>
      </c>
      <c r="Z657">
        <v>2.4435927999999998</v>
      </c>
      <c r="AA657">
        <v>3.2591666666666668</v>
      </c>
      <c r="AB657">
        <v>212054.41999999998</v>
      </c>
      <c r="AC657">
        <v>4</v>
      </c>
      <c r="AD657" s="1" t="s">
        <v>40</v>
      </c>
      <c r="AE657">
        <v>4</v>
      </c>
      <c r="AF657">
        <v>0</v>
      </c>
      <c r="AG657">
        <v>16.809210526315791</v>
      </c>
    </row>
    <row r="658" spans="1:33">
      <c r="A658" s="1" t="s">
        <v>670</v>
      </c>
      <c r="B658" s="1" t="s">
        <v>1724</v>
      </c>
      <c r="C658" s="2">
        <v>47020</v>
      </c>
      <c r="D658" s="1" t="s">
        <v>34</v>
      </c>
      <c r="E658">
        <v>975</v>
      </c>
      <c r="F658" s="2">
        <v>46081</v>
      </c>
      <c r="G658" s="1" t="s">
        <v>671</v>
      </c>
      <c r="H658" s="1" t="s">
        <v>36</v>
      </c>
      <c r="I658" s="1" t="s">
        <v>37</v>
      </c>
      <c r="J658" s="1" t="s">
        <v>564</v>
      </c>
      <c r="K658" s="1" t="s">
        <v>39</v>
      </c>
      <c r="L658">
        <v>200</v>
      </c>
      <c r="M658">
        <v>43.4</v>
      </c>
      <c r="N658">
        <v>36.299999999999997</v>
      </c>
      <c r="O658">
        <v>29.9</v>
      </c>
      <c r="P658">
        <v>4.7109999999999999E-2</v>
      </c>
      <c r="Q658">
        <v>7.13</v>
      </c>
      <c r="R658">
        <v>11.49</v>
      </c>
      <c r="S658">
        <v>6</v>
      </c>
      <c r="T658">
        <v>5</v>
      </c>
      <c r="U658">
        <v>30</v>
      </c>
      <c r="V658">
        <v>164.5</v>
      </c>
      <c r="W658">
        <v>238.9</v>
      </c>
      <c r="X658">
        <v>1.4133</v>
      </c>
      <c r="Y658">
        <v>4.875</v>
      </c>
      <c r="Z658">
        <v>0.22966124999999998</v>
      </c>
      <c r="AA658">
        <v>0.16250000000000001</v>
      </c>
      <c r="AB658">
        <v>11202.75</v>
      </c>
      <c r="AC658">
        <v>1</v>
      </c>
      <c r="AD658" s="1" t="s">
        <v>44</v>
      </c>
      <c r="AE658">
        <v>0</v>
      </c>
      <c r="AF658">
        <v>1</v>
      </c>
      <c r="AG658">
        <v>30.888157894736842</v>
      </c>
    </row>
    <row r="659" spans="1:33">
      <c r="A659" s="1" t="s">
        <v>670</v>
      </c>
      <c r="B659" s="1" t="s">
        <v>1725</v>
      </c>
      <c r="C659" s="2">
        <v>46463</v>
      </c>
      <c r="D659" s="1" t="s">
        <v>34</v>
      </c>
      <c r="E659">
        <v>1627</v>
      </c>
      <c r="F659" s="2">
        <v>46081</v>
      </c>
      <c r="G659" s="1" t="s">
        <v>671</v>
      </c>
      <c r="H659" s="1" t="s">
        <v>36</v>
      </c>
      <c r="I659" s="1" t="s">
        <v>37</v>
      </c>
      <c r="J659" s="1" t="s">
        <v>564</v>
      </c>
      <c r="K659" s="1" t="s">
        <v>39</v>
      </c>
      <c r="L659">
        <v>200</v>
      </c>
      <c r="M659">
        <v>43.4</v>
      </c>
      <c r="N659">
        <v>36.299999999999997</v>
      </c>
      <c r="O659">
        <v>29.9</v>
      </c>
      <c r="P659">
        <v>4.7109999999999999E-2</v>
      </c>
      <c r="Q659">
        <v>7.13</v>
      </c>
      <c r="R659">
        <v>11.49</v>
      </c>
      <c r="S659">
        <v>6</v>
      </c>
      <c r="T659">
        <v>5</v>
      </c>
      <c r="U659">
        <v>30</v>
      </c>
      <c r="V659">
        <v>164.5</v>
      </c>
      <c r="W659">
        <v>238.9</v>
      </c>
      <c r="X659">
        <v>1.4133</v>
      </c>
      <c r="Y659">
        <v>8.1349999999999998</v>
      </c>
      <c r="Z659">
        <v>0.38323984999999999</v>
      </c>
      <c r="AA659">
        <v>0.27116666666666667</v>
      </c>
      <c r="AB659">
        <v>18694.23</v>
      </c>
      <c r="AC659">
        <v>1</v>
      </c>
      <c r="AD659" s="1" t="s">
        <v>40</v>
      </c>
      <c r="AE659">
        <v>1</v>
      </c>
      <c r="AF659">
        <v>0</v>
      </c>
      <c r="AG659">
        <v>12.565789473684211</v>
      </c>
    </row>
    <row r="660" spans="1:33">
      <c r="A660" s="1" t="s">
        <v>672</v>
      </c>
      <c r="B660" s="1" t="s">
        <v>1726</v>
      </c>
      <c r="C660" s="2">
        <v>47014</v>
      </c>
      <c r="D660" s="1" t="s">
        <v>34</v>
      </c>
      <c r="E660">
        <v>1770</v>
      </c>
      <c r="F660" s="2">
        <v>46081</v>
      </c>
      <c r="G660" s="1" t="s">
        <v>673</v>
      </c>
      <c r="H660" s="1" t="s">
        <v>36</v>
      </c>
      <c r="I660" s="1" t="s">
        <v>37</v>
      </c>
      <c r="J660" s="1" t="s">
        <v>564</v>
      </c>
      <c r="K660" s="1" t="s">
        <v>39</v>
      </c>
      <c r="L660">
        <v>100</v>
      </c>
      <c r="M660">
        <v>30.9</v>
      </c>
      <c r="N660">
        <v>37.700000000000003</v>
      </c>
      <c r="O660">
        <v>26.3</v>
      </c>
      <c r="P660">
        <v>3.0640000000000001E-2</v>
      </c>
      <c r="Q660">
        <v>6.96</v>
      </c>
      <c r="R660">
        <v>16.079999999999998</v>
      </c>
      <c r="S660">
        <v>9</v>
      </c>
      <c r="T660">
        <v>2</v>
      </c>
      <c r="U660">
        <v>18</v>
      </c>
      <c r="V660">
        <v>67.599999999999994</v>
      </c>
      <c r="W660">
        <v>150.28</v>
      </c>
      <c r="X660">
        <v>0.55152000000000001</v>
      </c>
      <c r="Y660">
        <v>17.7</v>
      </c>
      <c r="Z660">
        <v>0.54232800000000003</v>
      </c>
      <c r="AA660">
        <v>0.98333333333333328</v>
      </c>
      <c r="AB660">
        <v>28461.599999999999</v>
      </c>
      <c r="AC660">
        <v>1</v>
      </c>
      <c r="AD660" s="1" t="s">
        <v>40</v>
      </c>
      <c r="AE660">
        <v>1</v>
      </c>
      <c r="AF660">
        <v>0</v>
      </c>
      <c r="AG660">
        <v>30.690789473684212</v>
      </c>
    </row>
    <row r="661" spans="1:33">
      <c r="A661" s="1" t="s">
        <v>674</v>
      </c>
      <c r="B661" s="1" t="s">
        <v>1727</v>
      </c>
      <c r="C661" s="2">
        <v>46759</v>
      </c>
      <c r="D661" s="1" t="s">
        <v>34</v>
      </c>
      <c r="E661">
        <v>3267</v>
      </c>
      <c r="F661" s="2">
        <v>46081</v>
      </c>
      <c r="G661" s="1" t="s">
        <v>675</v>
      </c>
      <c r="H661" s="1" t="s">
        <v>43</v>
      </c>
      <c r="I661" s="1" t="s">
        <v>37</v>
      </c>
      <c r="J661" s="1" t="s">
        <v>564</v>
      </c>
      <c r="K661" s="1" t="s">
        <v>39</v>
      </c>
      <c r="L661">
        <v>200</v>
      </c>
      <c r="M661">
        <v>31.7</v>
      </c>
      <c r="N661">
        <v>39.799999999999997</v>
      </c>
      <c r="O661">
        <v>17.8</v>
      </c>
      <c r="P661">
        <v>2.2460000000000001E-2</v>
      </c>
      <c r="Q661">
        <v>4.33</v>
      </c>
      <c r="R661">
        <v>25.45</v>
      </c>
      <c r="S661">
        <v>9</v>
      </c>
      <c r="T661">
        <v>7</v>
      </c>
      <c r="U661">
        <v>63</v>
      </c>
      <c r="V661">
        <v>139.60000000000002</v>
      </c>
      <c r="W661">
        <v>297.79000000000002</v>
      </c>
      <c r="X661">
        <v>1.4149799999999999</v>
      </c>
      <c r="Y661">
        <v>16.335000000000001</v>
      </c>
      <c r="Z661">
        <v>0.36688410000000005</v>
      </c>
      <c r="AA661">
        <v>0.25928571428571429</v>
      </c>
      <c r="AB661">
        <v>83145.149999999994</v>
      </c>
      <c r="AC661">
        <v>1</v>
      </c>
      <c r="AD661" s="1" t="s">
        <v>40</v>
      </c>
      <c r="AE661">
        <v>1</v>
      </c>
      <c r="AF661">
        <v>0</v>
      </c>
      <c r="AG661">
        <v>22.30263157894737</v>
      </c>
    </row>
    <row r="662" spans="1:33">
      <c r="A662" s="1" t="s">
        <v>674</v>
      </c>
      <c r="B662" s="1" t="s">
        <v>1728</v>
      </c>
      <c r="C662" s="2">
        <v>46353</v>
      </c>
      <c r="D662" s="1" t="s">
        <v>34</v>
      </c>
      <c r="E662">
        <v>694</v>
      </c>
      <c r="F662" s="2">
        <v>46081</v>
      </c>
      <c r="G662" s="1" t="s">
        <v>675</v>
      </c>
      <c r="H662" s="1" t="s">
        <v>43</v>
      </c>
      <c r="I662" s="1" t="s">
        <v>37</v>
      </c>
      <c r="J662" s="1" t="s">
        <v>564</v>
      </c>
      <c r="K662" s="1" t="s">
        <v>39</v>
      </c>
      <c r="L662">
        <v>200</v>
      </c>
      <c r="M662">
        <v>31.7</v>
      </c>
      <c r="N662">
        <v>39.799999999999997</v>
      </c>
      <c r="O662">
        <v>17.8</v>
      </c>
      <c r="P662">
        <v>2.2460000000000001E-2</v>
      </c>
      <c r="Q662">
        <v>4.33</v>
      </c>
      <c r="R662">
        <v>25.45</v>
      </c>
      <c r="S662">
        <v>9</v>
      </c>
      <c r="T662">
        <v>7</v>
      </c>
      <c r="U662">
        <v>63</v>
      </c>
      <c r="V662">
        <v>139.60000000000002</v>
      </c>
      <c r="W662">
        <v>297.79000000000002</v>
      </c>
      <c r="X662">
        <v>1.4149799999999999</v>
      </c>
      <c r="Y662">
        <v>3.47</v>
      </c>
      <c r="Z662">
        <v>7.7936200000000011E-2</v>
      </c>
      <c r="AA662">
        <v>5.5079365079365082E-2</v>
      </c>
      <c r="AB662">
        <v>17662.3</v>
      </c>
      <c r="AC662">
        <v>1</v>
      </c>
      <c r="AD662" s="1" t="s">
        <v>44</v>
      </c>
      <c r="AE662">
        <v>0</v>
      </c>
      <c r="AF662">
        <v>1</v>
      </c>
      <c r="AG662">
        <v>8.9473684210526319</v>
      </c>
    </row>
    <row r="663" spans="1:33">
      <c r="A663" s="1" t="s">
        <v>676</v>
      </c>
      <c r="B663" s="1" t="s">
        <v>1729</v>
      </c>
      <c r="C663" s="2">
        <v>46423</v>
      </c>
      <c r="D663" s="1" t="s">
        <v>34</v>
      </c>
      <c r="E663">
        <v>2435</v>
      </c>
      <c r="F663" s="2">
        <v>46081</v>
      </c>
      <c r="G663" s="1" t="s">
        <v>677</v>
      </c>
      <c r="H663" s="1" t="s">
        <v>43</v>
      </c>
      <c r="I663" s="1" t="s">
        <v>37</v>
      </c>
      <c r="J663" s="1" t="s">
        <v>564</v>
      </c>
      <c r="K663" s="1" t="s">
        <v>39</v>
      </c>
      <c r="L663">
        <v>60</v>
      </c>
      <c r="M663">
        <v>40.5</v>
      </c>
      <c r="N663">
        <v>28.7</v>
      </c>
      <c r="O663">
        <v>22.9</v>
      </c>
      <c r="P663">
        <v>2.6620000000000001E-2</v>
      </c>
      <c r="Q663">
        <v>7.29</v>
      </c>
      <c r="R663">
        <v>9.08</v>
      </c>
      <c r="S663">
        <v>8</v>
      </c>
      <c r="T663">
        <v>5</v>
      </c>
      <c r="U663">
        <v>40</v>
      </c>
      <c r="V663">
        <v>129.5</v>
      </c>
      <c r="W663">
        <v>316.60000000000002</v>
      </c>
      <c r="X663">
        <v>1.0648</v>
      </c>
      <c r="Y663">
        <v>40.583333333333336</v>
      </c>
      <c r="Z663">
        <v>1.0803283333333336</v>
      </c>
      <c r="AA663">
        <v>1.0145833333333334</v>
      </c>
      <c r="AB663">
        <v>22109.8</v>
      </c>
      <c r="AC663">
        <v>2</v>
      </c>
      <c r="AD663" s="1" t="s">
        <v>40</v>
      </c>
      <c r="AE663">
        <v>2</v>
      </c>
      <c r="AF663">
        <v>0</v>
      </c>
      <c r="AG663">
        <v>11.25</v>
      </c>
    </row>
    <row r="664" spans="1:33">
      <c r="A664" s="1" t="s">
        <v>676</v>
      </c>
      <c r="B664" s="1" t="s">
        <v>1730</v>
      </c>
      <c r="C664" s="2">
        <v>46337</v>
      </c>
      <c r="D664" s="1" t="s">
        <v>34</v>
      </c>
      <c r="E664">
        <v>353</v>
      </c>
      <c r="F664" s="2">
        <v>46081</v>
      </c>
      <c r="G664" s="1" t="s">
        <v>677</v>
      </c>
      <c r="H664" s="1" t="s">
        <v>43</v>
      </c>
      <c r="I664" s="1" t="s">
        <v>37</v>
      </c>
      <c r="J664" s="1" t="s">
        <v>564</v>
      </c>
      <c r="K664" s="1" t="s">
        <v>39</v>
      </c>
      <c r="L664">
        <v>60</v>
      </c>
      <c r="M664">
        <v>40.5</v>
      </c>
      <c r="N664">
        <v>28.7</v>
      </c>
      <c r="O664">
        <v>22.9</v>
      </c>
      <c r="P664">
        <v>2.6620000000000001E-2</v>
      </c>
      <c r="Q664">
        <v>7.29</v>
      </c>
      <c r="R664">
        <v>9.08</v>
      </c>
      <c r="S664">
        <v>8</v>
      </c>
      <c r="T664">
        <v>5</v>
      </c>
      <c r="U664">
        <v>40</v>
      </c>
      <c r="V664">
        <v>129.5</v>
      </c>
      <c r="W664">
        <v>316.60000000000002</v>
      </c>
      <c r="X664">
        <v>1.0648</v>
      </c>
      <c r="Y664">
        <v>5.8833333333333337</v>
      </c>
      <c r="Z664">
        <v>0.15661433333333336</v>
      </c>
      <c r="AA664">
        <v>0.14708333333333334</v>
      </c>
      <c r="AB664">
        <v>3205.2400000000002</v>
      </c>
      <c r="AC664">
        <v>1</v>
      </c>
      <c r="AD664" s="1" t="s">
        <v>44</v>
      </c>
      <c r="AE664">
        <v>0</v>
      </c>
      <c r="AF664">
        <v>1</v>
      </c>
      <c r="AG664">
        <v>8.4210526315789469</v>
      </c>
    </row>
    <row r="665" spans="1:33">
      <c r="A665" s="1" t="s">
        <v>678</v>
      </c>
      <c r="B665" s="1" t="s">
        <v>1731</v>
      </c>
      <c r="C665" s="2">
        <v>46544</v>
      </c>
      <c r="D665" s="1" t="s">
        <v>34</v>
      </c>
      <c r="E665">
        <v>2158</v>
      </c>
      <c r="F665" s="2">
        <v>46081</v>
      </c>
      <c r="G665" s="1" t="s">
        <v>679</v>
      </c>
      <c r="H665" s="1" t="s">
        <v>43</v>
      </c>
      <c r="I665" s="1" t="s">
        <v>37</v>
      </c>
      <c r="J665" s="1" t="s">
        <v>564</v>
      </c>
      <c r="K665" s="1" t="s">
        <v>39</v>
      </c>
      <c r="L665">
        <v>120</v>
      </c>
      <c r="M665">
        <v>50.3</v>
      </c>
      <c r="N665">
        <v>38.799999999999997</v>
      </c>
      <c r="O665">
        <v>29.9</v>
      </c>
      <c r="P665">
        <v>5.8349999999999999E-2</v>
      </c>
      <c r="Q665">
        <v>13.07</v>
      </c>
      <c r="R665">
        <v>17.28</v>
      </c>
      <c r="S665">
        <v>3</v>
      </c>
      <c r="T665">
        <v>3</v>
      </c>
      <c r="U665">
        <v>9</v>
      </c>
      <c r="V665">
        <v>104.7</v>
      </c>
      <c r="W665">
        <v>142.63</v>
      </c>
      <c r="X665">
        <v>0.52515000000000001</v>
      </c>
      <c r="Y665">
        <v>17.983333333333334</v>
      </c>
      <c r="Z665">
        <v>1.0493275</v>
      </c>
      <c r="AA665">
        <v>1.9981481481481482</v>
      </c>
      <c r="AB665">
        <v>37290.240000000005</v>
      </c>
      <c r="AC665">
        <v>2</v>
      </c>
      <c r="AD665" s="1" t="s">
        <v>40</v>
      </c>
      <c r="AE665">
        <v>2</v>
      </c>
      <c r="AF665">
        <v>0</v>
      </c>
      <c r="AG665">
        <v>15.230263157894738</v>
      </c>
    </row>
    <row r="666" spans="1:33">
      <c r="A666" s="1" t="s">
        <v>680</v>
      </c>
      <c r="B666" s="1" t="s">
        <v>1732</v>
      </c>
      <c r="C666" s="2">
        <v>46502</v>
      </c>
      <c r="D666" s="1" t="s">
        <v>34</v>
      </c>
      <c r="E666">
        <v>414</v>
      </c>
      <c r="F666" s="2">
        <v>46081</v>
      </c>
      <c r="G666" s="1" t="s">
        <v>681</v>
      </c>
      <c r="H666" s="1" t="s">
        <v>36</v>
      </c>
      <c r="I666" s="1" t="s">
        <v>37</v>
      </c>
      <c r="J666" s="1" t="s">
        <v>564</v>
      </c>
      <c r="K666" s="1" t="s">
        <v>39</v>
      </c>
      <c r="L666">
        <v>60</v>
      </c>
      <c r="M666">
        <v>51.1</v>
      </c>
      <c r="N666">
        <v>26</v>
      </c>
      <c r="O666">
        <v>21.8</v>
      </c>
      <c r="P666">
        <v>2.896E-2</v>
      </c>
      <c r="Q666">
        <v>5.44</v>
      </c>
      <c r="R666">
        <v>8.43</v>
      </c>
      <c r="S666">
        <v>6</v>
      </c>
      <c r="T666">
        <v>5</v>
      </c>
      <c r="U666">
        <v>30</v>
      </c>
      <c r="V666">
        <v>124</v>
      </c>
      <c r="W666">
        <v>188.2</v>
      </c>
      <c r="X666">
        <v>0.86880000000000002</v>
      </c>
      <c r="Y666">
        <v>6.9</v>
      </c>
      <c r="Z666">
        <v>0.199824</v>
      </c>
      <c r="AA666">
        <v>0.23</v>
      </c>
      <c r="AB666">
        <v>3490.02</v>
      </c>
      <c r="AC666">
        <v>1</v>
      </c>
      <c r="AD666" s="1" t="s">
        <v>44</v>
      </c>
      <c r="AE666">
        <v>0</v>
      </c>
      <c r="AF666">
        <v>1</v>
      </c>
      <c r="AG666">
        <v>13.848684210526317</v>
      </c>
    </row>
    <row r="667" spans="1:33">
      <c r="A667" s="1" t="s">
        <v>680</v>
      </c>
      <c r="B667" s="1" t="s">
        <v>1733</v>
      </c>
      <c r="C667" s="2">
        <v>46433</v>
      </c>
      <c r="D667" s="1" t="s">
        <v>34</v>
      </c>
      <c r="E667">
        <v>352</v>
      </c>
      <c r="F667" s="2">
        <v>46081</v>
      </c>
      <c r="G667" s="1" t="s">
        <v>681</v>
      </c>
      <c r="H667" s="1" t="s">
        <v>36</v>
      </c>
      <c r="I667" s="1" t="s">
        <v>37</v>
      </c>
      <c r="J667" s="1" t="s">
        <v>564</v>
      </c>
      <c r="K667" s="1" t="s">
        <v>39</v>
      </c>
      <c r="L667">
        <v>60</v>
      </c>
      <c r="M667">
        <v>51.1</v>
      </c>
      <c r="N667">
        <v>26</v>
      </c>
      <c r="O667">
        <v>21.8</v>
      </c>
      <c r="P667">
        <v>2.896E-2</v>
      </c>
      <c r="Q667">
        <v>5.44</v>
      </c>
      <c r="R667">
        <v>8.43</v>
      </c>
      <c r="S667">
        <v>6</v>
      </c>
      <c r="T667">
        <v>5</v>
      </c>
      <c r="U667">
        <v>30</v>
      </c>
      <c r="V667">
        <v>124</v>
      </c>
      <c r="W667">
        <v>188.2</v>
      </c>
      <c r="X667">
        <v>0.86880000000000002</v>
      </c>
      <c r="Y667">
        <v>5.8666666666666663</v>
      </c>
      <c r="Z667">
        <v>0.16989866666666664</v>
      </c>
      <c r="AA667">
        <v>0.19555555555555554</v>
      </c>
      <c r="AB667">
        <v>2967.3599999999997</v>
      </c>
      <c r="AC667">
        <v>1</v>
      </c>
      <c r="AD667" s="1" t="s">
        <v>44</v>
      </c>
      <c r="AE667">
        <v>0</v>
      </c>
      <c r="AF667">
        <v>1</v>
      </c>
      <c r="AG667">
        <v>11.578947368421053</v>
      </c>
    </row>
    <row r="668" spans="1:33">
      <c r="A668" s="1" t="s">
        <v>682</v>
      </c>
      <c r="B668" s="1" t="s">
        <v>1734</v>
      </c>
      <c r="C668" s="2">
        <v>46689</v>
      </c>
      <c r="D668" s="1" t="s">
        <v>34</v>
      </c>
      <c r="E668">
        <v>7589</v>
      </c>
      <c r="F668" s="2">
        <v>46081</v>
      </c>
      <c r="G668" s="1" t="s">
        <v>683</v>
      </c>
      <c r="H668" s="1" t="s">
        <v>36</v>
      </c>
      <c r="I668" s="1" t="s">
        <v>37</v>
      </c>
      <c r="J668" s="1" t="s">
        <v>564</v>
      </c>
      <c r="K668" s="1" t="s">
        <v>39</v>
      </c>
      <c r="L668">
        <v>120</v>
      </c>
      <c r="M668">
        <v>40.299999999999997</v>
      </c>
      <c r="N668">
        <v>27.3</v>
      </c>
      <c r="O668">
        <v>17.5</v>
      </c>
      <c r="P668">
        <v>1.925E-2</v>
      </c>
      <c r="Q668">
        <v>3.07</v>
      </c>
      <c r="R668">
        <v>7.54</v>
      </c>
      <c r="S668">
        <v>8</v>
      </c>
      <c r="T668">
        <v>6</v>
      </c>
      <c r="U668">
        <v>48</v>
      </c>
      <c r="V668">
        <v>120</v>
      </c>
      <c r="W668">
        <v>172.36</v>
      </c>
      <c r="X668">
        <v>0.92400000000000004</v>
      </c>
      <c r="Y668">
        <v>63.241666666666667</v>
      </c>
      <c r="Z668">
        <v>1.2174020833333332</v>
      </c>
      <c r="AA668">
        <v>1.3175347222222222</v>
      </c>
      <c r="AB668">
        <v>57221.06</v>
      </c>
      <c r="AC668">
        <v>2</v>
      </c>
      <c r="AD668" s="1" t="s">
        <v>40</v>
      </c>
      <c r="AE668">
        <v>2</v>
      </c>
      <c r="AF668">
        <v>0</v>
      </c>
      <c r="AG668">
        <v>20</v>
      </c>
    </row>
    <row r="669" spans="1:33">
      <c r="A669" s="1" t="s">
        <v>682</v>
      </c>
      <c r="B669" s="1" t="s">
        <v>1735</v>
      </c>
      <c r="C669" s="2">
        <v>46999</v>
      </c>
      <c r="D669" s="1" t="s">
        <v>34</v>
      </c>
      <c r="E669">
        <v>629</v>
      </c>
      <c r="F669" s="2">
        <v>46081</v>
      </c>
      <c r="G669" s="1" t="s">
        <v>683</v>
      </c>
      <c r="H669" s="1" t="s">
        <v>36</v>
      </c>
      <c r="I669" s="1" t="s">
        <v>37</v>
      </c>
      <c r="J669" s="1" t="s">
        <v>564</v>
      </c>
      <c r="K669" s="1" t="s">
        <v>39</v>
      </c>
      <c r="L669">
        <v>120</v>
      </c>
      <c r="M669">
        <v>40.299999999999997</v>
      </c>
      <c r="N669">
        <v>27.3</v>
      </c>
      <c r="O669">
        <v>17.5</v>
      </c>
      <c r="P669">
        <v>1.925E-2</v>
      </c>
      <c r="Q669">
        <v>3.07</v>
      </c>
      <c r="R669">
        <v>7.54</v>
      </c>
      <c r="S669">
        <v>8</v>
      </c>
      <c r="T669">
        <v>6</v>
      </c>
      <c r="U669">
        <v>48</v>
      </c>
      <c r="V669">
        <v>120</v>
      </c>
      <c r="W669">
        <v>172.36</v>
      </c>
      <c r="X669">
        <v>0.92400000000000004</v>
      </c>
      <c r="Y669">
        <v>5.2416666666666663</v>
      </c>
      <c r="Z669">
        <v>0.10090208333333332</v>
      </c>
      <c r="AA669">
        <v>0.10920138888888888</v>
      </c>
      <c r="AB669">
        <v>4742.66</v>
      </c>
      <c r="AC669">
        <v>1</v>
      </c>
      <c r="AD669" s="1" t="s">
        <v>44</v>
      </c>
      <c r="AE669">
        <v>0</v>
      </c>
      <c r="AF669">
        <v>1</v>
      </c>
      <c r="AG669">
        <v>30.197368421052634</v>
      </c>
    </row>
    <row r="670" spans="1:33">
      <c r="A670" s="1" t="s">
        <v>684</v>
      </c>
      <c r="B670" s="1" t="s">
        <v>1736</v>
      </c>
      <c r="C670" s="2">
        <v>46893</v>
      </c>
      <c r="D670" s="1" t="s">
        <v>34</v>
      </c>
      <c r="E670">
        <v>225</v>
      </c>
      <c r="F670" s="2">
        <v>46081</v>
      </c>
      <c r="G670" s="1" t="s">
        <v>685</v>
      </c>
      <c r="H670" s="1" t="s">
        <v>70</v>
      </c>
      <c r="I670" s="1" t="s">
        <v>37</v>
      </c>
      <c r="J670" s="1" t="s">
        <v>564</v>
      </c>
      <c r="K670" s="1" t="s">
        <v>39</v>
      </c>
      <c r="L670">
        <v>200</v>
      </c>
      <c r="M670">
        <v>32.299999999999997</v>
      </c>
      <c r="N670">
        <v>29.9</v>
      </c>
      <c r="O670">
        <v>23.3</v>
      </c>
      <c r="P670">
        <v>2.2499999999999999E-2</v>
      </c>
      <c r="Q670">
        <v>5.16</v>
      </c>
      <c r="R670">
        <v>12.55</v>
      </c>
      <c r="S670">
        <v>12</v>
      </c>
      <c r="T670">
        <v>6</v>
      </c>
      <c r="U670">
        <v>72</v>
      </c>
      <c r="V670">
        <v>154.80000000000001</v>
      </c>
      <c r="W670">
        <v>396.52</v>
      </c>
      <c r="X670">
        <v>1.62</v>
      </c>
      <c r="Y670">
        <v>1.125</v>
      </c>
      <c r="Z670">
        <v>2.5312499999999998E-2</v>
      </c>
      <c r="AA670">
        <v>1.5625E-2</v>
      </c>
      <c r="AB670">
        <v>2823.75</v>
      </c>
      <c r="AC670">
        <v>1</v>
      </c>
      <c r="AD670" s="1" t="s">
        <v>44</v>
      </c>
      <c r="AE670">
        <v>0</v>
      </c>
      <c r="AF670">
        <v>1</v>
      </c>
      <c r="AG670">
        <v>26.710526315789476</v>
      </c>
    </row>
    <row r="671" spans="1:33">
      <c r="A671" s="1" t="s">
        <v>684</v>
      </c>
      <c r="B671" s="1" t="s">
        <v>1737</v>
      </c>
      <c r="C671" s="2">
        <v>46934</v>
      </c>
      <c r="D671" s="1" t="s">
        <v>34</v>
      </c>
      <c r="E671">
        <v>1020</v>
      </c>
      <c r="F671" s="2">
        <v>46081</v>
      </c>
      <c r="G671" s="1" t="s">
        <v>685</v>
      </c>
      <c r="H671" s="1" t="s">
        <v>70</v>
      </c>
      <c r="I671" s="1" t="s">
        <v>37</v>
      </c>
      <c r="J671" s="1" t="s">
        <v>564</v>
      </c>
      <c r="K671" s="1" t="s">
        <v>39</v>
      </c>
      <c r="L671">
        <v>200</v>
      </c>
      <c r="M671">
        <v>32.299999999999997</v>
      </c>
      <c r="N671">
        <v>29.9</v>
      </c>
      <c r="O671">
        <v>23.3</v>
      </c>
      <c r="P671">
        <v>2.2499999999999999E-2</v>
      </c>
      <c r="Q671">
        <v>5.16</v>
      </c>
      <c r="R671">
        <v>12.55</v>
      </c>
      <c r="S671">
        <v>12</v>
      </c>
      <c r="T671">
        <v>6</v>
      </c>
      <c r="U671">
        <v>72</v>
      </c>
      <c r="V671">
        <v>154.80000000000001</v>
      </c>
      <c r="W671">
        <v>396.52</v>
      </c>
      <c r="X671">
        <v>1.62</v>
      </c>
      <c r="Y671">
        <v>5.0999999999999996</v>
      </c>
      <c r="Z671">
        <v>0.11474999999999999</v>
      </c>
      <c r="AA671">
        <v>7.0833333333333331E-2</v>
      </c>
      <c r="AB671">
        <v>12801</v>
      </c>
      <c r="AC671">
        <v>1</v>
      </c>
      <c r="AD671" s="1" t="s">
        <v>44</v>
      </c>
      <c r="AE671">
        <v>0</v>
      </c>
      <c r="AF671">
        <v>1</v>
      </c>
      <c r="AG671">
        <v>28.059210526315791</v>
      </c>
    </row>
    <row r="672" spans="1:33">
      <c r="A672" s="1" t="s">
        <v>684</v>
      </c>
      <c r="B672" s="1" t="s">
        <v>1738</v>
      </c>
      <c r="C672" s="2">
        <v>46272</v>
      </c>
      <c r="D672" s="1" t="s">
        <v>34</v>
      </c>
      <c r="E672">
        <v>271</v>
      </c>
      <c r="F672" s="2">
        <v>46081</v>
      </c>
      <c r="G672" s="1" t="s">
        <v>685</v>
      </c>
      <c r="H672" s="1" t="s">
        <v>70</v>
      </c>
      <c r="I672" s="1" t="s">
        <v>37</v>
      </c>
      <c r="J672" s="1" t="s">
        <v>564</v>
      </c>
      <c r="K672" s="1" t="s">
        <v>39</v>
      </c>
      <c r="L672">
        <v>200</v>
      </c>
      <c r="M672">
        <v>32.299999999999997</v>
      </c>
      <c r="N672">
        <v>29.9</v>
      </c>
      <c r="O672">
        <v>23.3</v>
      </c>
      <c r="P672">
        <v>2.2499999999999999E-2</v>
      </c>
      <c r="Q672">
        <v>5.16</v>
      </c>
      <c r="R672">
        <v>12.55</v>
      </c>
      <c r="S672">
        <v>12</v>
      </c>
      <c r="T672">
        <v>6</v>
      </c>
      <c r="U672">
        <v>72</v>
      </c>
      <c r="V672">
        <v>154.80000000000001</v>
      </c>
      <c r="W672">
        <v>396.52</v>
      </c>
      <c r="X672">
        <v>1.62</v>
      </c>
      <c r="Y672">
        <v>1.355</v>
      </c>
      <c r="Z672">
        <v>3.0487499999999997E-2</v>
      </c>
      <c r="AA672">
        <v>1.8819444444444444E-2</v>
      </c>
      <c r="AB672">
        <v>3401.05</v>
      </c>
      <c r="AC672">
        <v>1</v>
      </c>
      <c r="AD672" s="1" t="s">
        <v>44</v>
      </c>
      <c r="AE672">
        <v>0</v>
      </c>
      <c r="AF672">
        <v>1</v>
      </c>
      <c r="AG672">
        <v>6.2828947368421053</v>
      </c>
    </row>
    <row r="673" spans="1:33">
      <c r="A673" s="1" t="s">
        <v>686</v>
      </c>
      <c r="B673" s="1" t="s">
        <v>1739</v>
      </c>
      <c r="C673" s="2">
        <v>46398</v>
      </c>
      <c r="D673" s="1" t="s">
        <v>34</v>
      </c>
      <c r="E673">
        <v>12254</v>
      </c>
      <c r="F673" s="2">
        <v>46081</v>
      </c>
      <c r="G673" s="1" t="s">
        <v>687</v>
      </c>
      <c r="H673" s="1" t="s">
        <v>36</v>
      </c>
      <c r="I673" s="1" t="s">
        <v>37</v>
      </c>
      <c r="J673" s="1" t="s">
        <v>564</v>
      </c>
      <c r="K673" s="1" t="s">
        <v>39</v>
      </c>
      <c r="L673">
        <v>100</v>
      </c>
      <c r="M673">
        <v>41.1</v>
      </c>
      <c r="N673">
        <v>28.3</v>
      </c>
      <c r="O673">
        <v>25.5</v>
      </c>
      <c r="P673">
        <v>2.9659999999999999E-2</v>
      </c>
      <c r="Q673">
        <v>7.78</v>
      </c>
      <c r="R673">
        <v>27.11</v>
      </c>
      <c r="S673">
        <v>8</v>
      </c>
      <c r="T673">
        <v>4</v>
      </c>
      <c r="U673">
        <v>32</v>
      </c>
      <c r="V673">
        <v>117</v>
      </c>
      <c r="W673">
        <v>273.96000000000004</v>
      </c>
      <c r="X673">
        <v>0.94911999999999996</v>
      </c>
      <c r="Y673">
        <v>122.54</v>
      </c>
      <c r="Z673">
        <v>3.6345364</v>
      </c>
      <c r="AA673">
        <v>3.8293750000000002</v>
      </c>
      <c r="AB673">
        <v>332205.94</v>
      </c>
      <c r="AC673">
        <v>4</v>
      </c>
      <c r="AD673" s="1" t="s">
        <v>40</v>
      </c>
      <c r="AE673">
        <v>4</v>
      </c>
      <c r="AF673">
        <v>0</v>
      </c>
      <c r="AG673">
        <v>10.427631578947368</v>
      </c>
    </row>
    <row r="674" spans="1:33">
      <c r="A674" s="1" t="s">
        <v>688</v>
      </c>
      <c r="B674" s="1" t="s">
        <v>1740</v>
      </c>
      <c r="C674" s="2">
        <v>46783</v>
      </c>
      <c r="D674" s="1" t="s">
        <v>34</v>
      </c>
      <c r="E674">
        <v>499</v>
      </c>
      <c r="F674" s="2">
        <v>46081</v>
      </c>
      <c r="G674" s="1" t="s">
        <v>689</v>
      </c>
      <c r="H674" s="1" t="s">
        <v>43</v>
      </c>
      <c r="I674" s="1" t="s">
        <v>37</v>
      </c>
      <c r="J674" s="1" t="s">
        <v>564</v>
      </c>
      <c r="K674" s="1" t="s">
        <v>39</v>
      </c>
      <c r="L674">
        <v>60</v>
      </c>
      <c r="M674">
        <v>48.1</v>
      </c>
      <c r="N674">
        <v>26.3</v>
      </c>
      <c r="O674">
        <v>20.2</v>
      </c>
      <c r="P674">
        <v>2.555E-2</v>
      </c>
      <c r="Q674">
        <v>3.94</v>
      </c>
      <c r="R674">
        <v>9.17</v>
      </c>
      <c r="S674">
        <v>8</v>
      </c>
      <c r="T674">
        <v>5</v>
      </c>
      <c r="U674">
        <v>40</v>
      </c>
      <c r="V674">
        <v>116</v>
      </c>
      <c r="W674">
        <v>182.6</v>
      </c>
      <c r="X674">
        <v>1.022</v>
      </c>
      <c r="Y674">
        <v>8.3166666666666664</v>
      </c>
      <c r="Z674">
        <v>0.21249083333333332</v>
      </c>
      <c r="AA674">
        <v>0.20791666666666667</v>
      </c>
      <c r="AB674">
        <v>4575.83</v>
      </c>
      <c r="AC674">
        <v>1</v>
      </c>
      <c r="AD674" s="1" t="s">
        <v>44</v>
      </c>
      <c r="AE674">
        <v>0</v>
      </c>
      <c r="AF674">
        <v>1</v>
      </c>
      <c r="AG674">
        <v>23.092105263157897</v>
      </c>
    </row>
    <row r="675" spans="1:33">
      <c r="A675" s="1" t="s">
        <v>688</v>
      </c>
      <c r="B675" s="1" t="s">
        <v>1741</v>
      </c>
      <c r="C675" s="2">
        <v>46125</v>
      </c>
      <c r="D675" s="1" t="s">
        <v>153</v>
      </c>
      <c r="E675">
        <v>14</v>
      </c>
      <c r="F675" s="2">
        <v>46081</v>
      </c>
      <c r="G675" s="1" t="s">
        <v>689</v>
      </c>
      <c r="H675" s="1" t="s">
        <v>43</v>
      </c>
      <c r="I675" s="1" t="s">
        <v>37</v>
      </c>
      <c r="J675" s="1" t="s">
        <v>564</v>
      </c>
      <c r="K675" s="1" t="s">
        <v>39</v>
      </c>
      <c r="L675">
        <v>60</v>
      </c>
      <c r="M675">
        <v>48.1</v>
      </c>
      <c r="N675">
        <v>26.3</v>
      </c>
      <c r="O675">
        <v>20.2</v>
      </c>
      <c r="P675">
        <v>2.555E-2</v>
      </c>
      <c r="Q675">
        <v>3.94</v>
      </c>
      <c r="R675">
        <v>9.17</v>
      </c>
      <c r="S675">
        <v>8</v>
      </c>
      <c r="T675">
        <v>5</v>
      </c>
      <c r="U675">
        <v>40</v>
      </c>
      <c r="V675">
        <v>116</v>
      </c>
      <c r="W675">
        <v>182.6</v>
      </c>
      <c r="X675">
        <v>1.022</v>
      </c>
      <c r="Y675">
        <v>0.23333333333333334</v>
      </c>
      <c r="Z675">
        <v>5.9616666666666663E-3</v>
      </c>
      <c r="AA675">
        <v>5.8333333333333336E-3</v>
      </c>
      <c r="AB675">
        <v>128.38</v>
      </c>
      <c r="AC675">
        <v>1</v>
      </c>
      <c r="AD675" s="1" t="s">
        <v>74</v>
      </c>
      <c r="AE675">
        <v>0</v>
      </c>
      <c r="AF675">
        <v>0</v>
      </c>
      <c r="AG675">
        <v>1.4473684210526316</v>
      </c>
    </row>
    <row r="676" spans="1:33">
      <c r="A676" s="1" t="s">
        <v>690</v>
      </c>
      <c r="B676" s="1" t="s">
        <v>1742</v>
      </c>
      <c r="C676" s="2">
        <v>46855</v>
      </c>
      <c r="D676" s="1" t="s">
        <v>34</v>
      </c>
      <c r="E676">
        <v>70</v>
      </c>
      <c r="F676" s="2">
        <v>46081</v>
      </c>
      <c r="G676" s="1" t="s">
        <v>691</v>
      </c>
      <c r="H676" s="1" t="s">
        <v>36</v>
      </c>
      <c r="I676" s="1" t="s">
        <v>37</v>
      </c>
      <c r="J676" s="1" t="s">
        <v>564</v>
      </c>
      <c r="K676" s="1" t="s">
        <v>39</v>
      </c>
      <c r="L676">
        <v>60</v>
      </c>
      <c r="M676">
        <v>41.2</v>
      </c>
      <c r="N676">
        <v>38</v>
      </c>
      <c r="O676">
        <v>27.6</v>
      </c>
      <c r="P676">
        <v>4.3209999999999998E-2</v>
      </c>
      <c r="Q676">
        <v>11.68</v>
      </c>
      <c r="R676">
        <v>9.64</v>
      </c>
      <c r="S676">
        <v>6</v>
      </c>
      <c r="T676">
        <v>4</v>
      </c>
      <c r="U676">
        <v>24</v>
      </c>
      <c r="V676">
        <v>125.4</v>
      </c>
      <c r="W676">
        <v>305.32</v>
      </c>
      <c r="X676">
        <v>1.03704</v>
      </c>
      <c r="Y676">
        <v>1.1666666666666667</v>
      </c>
      <c r="Z676">
        <v>5.0411666666666667E-2</v>
      </c>
      <c r="AA676">
        <v>4.8611111111111112E-2</v>
      </c>
      <c r="AB676">
        <v>674.80000000000007</v>
      </c>
      <c r="AC676">
        <v>1</v>
      </c>
      <c r="AD676" s="1" t="s">
        <v>44</v>
      </c>
      <c r="AE676">
        <v>0</v>
      </c>
      <c r="AF676">
        <v>1</v>
      </c>
      <c r="AG676">
        <v>25.460526315789476</v>
      </c>
    </row>
    <row r="677" spans="1:33">
      <c r="A677" s="1" t="s">
        <v>690</v>
      </c>
      <c r="B677" s="1" t="s">
        <v>1743</v>
      </c>
      <c r="C677" s="2">
        <v>46310</v>
      </c>
      <c r="D677" s="1" t="s">
        <v>34</v>
      </c>
      <c r="E677">
        <v>109</v>
      </c>
      <c r="F677" s="2">
        <v>46081</v>
      </c>
      <c r="G677" s="1" t="s">
        <v>691</v>
      </c>
      <c r="H677" s="1" t="s">
        <v>36</v>
      </c>
      <c r="I677" s="1" t="s">
        <v>37</v>
      </c>
      <c r="J677" s="1" t="s">
        <v>564</v>
      </c>
      <c r="K677" s="1" t="s">
        <v>39</v>
      </c>
      <c r="L677">
        <v>60</v>
      </c>
      <c r="M677">
        <v>41.2</v>
      </c>
      <c r="N677">
        <v>38</v>
      </c>
      <c r="O677">
        <v>27.6</v>
      </c>
      <c r="P677">
        <v>4.3209999999999998E-2</v>
      </c>
      <c r="Q677">
        <v>11.68</v>
      </c>
      <c r="R677">
        <v>9.64</v>
      </c>
      <c r="S677">
        <v>6</v>
      </c>
      <c r="T677">
        <v>4</v>
      </c>
      <c r="U677">
        <v>24</v>
      </c>
      <c r="V677">
        <v>125.4</v>
      </c>
      <c r="W677">
        <v>305.32</v>
      </c>
      <c r="X677">
        <v>1.03704</v>
      </c>
      <c r="Y677">
        <v>1.8166666666666667</v>
      </c>
      <c r="Z677">
        <v>7.8498166666666661E-2</v>
      </c>
      <c r="AA677">
        <v>7.5694444444444439E-2</v>
      </c>
      <c r="AB677">
        <v>1050.76</v>
      </c>
      <c r="AC677">
        <v>1</v>
      </c>
      <c r="AD677" s="1" t="s">
        <v>44</v>
      </c>
      <c r="AE677">
        <v>0</v>
      </c>
      <c r="AF677">
        <v>1</v>
      </c>
      <c r="AG677">
        <v>7.5328947368421053</v>
      </c>
    </row>
    <row r="678" spans="1:33">
      <c r="A678" s="1" t="s">
        <v>692</v>
      </c>
      <c r="B678" s="1" t="s">
        <v>1744</v>
      </c>
      <c r="C678" s="2">
        <v>46867</v>
      </c>
      <c r="D678" s="1" t="s">
        <v>34</v>
      </c>
      <c r="E678">
        <v>3351</v>
      </c>
      <c r="F678" s="2">
        <v>46081</v>
      </c>
      <c r="G678" s="1" t="s">
        <v>693</v>
      </c>
      <c r="H678" s="1" t="s">
        <v>577</v>
      </c>
      <c r="I678" s="1" t="s">
        <v>37</v>
      </c>
      <c r="J678" s="1" t="s">
        <v>564</v>
      </c>
      <c r="K678" s="1" t="s">
        <v>39</v>
      </c>
      <c r="L678">
        <v>100</v>
      </c>
      <c r="M678">
        <v>30.9</v>
      </c>
      <c r="N678">
        <v>29.9</v>
      </c>
      <c r="O678">
        <v>21.6</v>
      </c>
      <c r="P678">
        <v>1.9959999999999999E-2</v>
      </c>
      <c r="Q678">
        <v>3.03</v>
      </c>
      <c r="R678">
        <v>19.87</v>
      </c>
      <c r="S678">
        <v>12</v>
      </c>
      <c r="T678">
        <v>3</v>
      </c>
      <c r="U678">
        <v>36</v>
      </c>
      <c r="V678">
        <v>79.800000000000011</v>
      </c>
      <c r="W678">
        <v>134.07999999999998</v>
      </c>
      <c r="X678">
        <v>0.71855999999999998</v>
      </c>
      <c r="Y678">
        <v>33.51</v>
      </c>
      <c r="Z678">
        <v>0.66885959999999989</v>
      </c>
      <c r="AA678">
        <v>0.93083333333333329</v>
      </c>
      <c r="AB678">
        <v>66584.37000000001</v>
      </c>
      <c r="AC678">
        <v>1</v>
      </c>
      <c r="AD678" s="1" t="s">
        <v>40</v>
      </c>
      <c r="AE678">
        <v>1</v>
      </c>
      <c r="AF678">
        <v>0</v>
      </c>
      <c r="AG678">
        <v>25.855263157894736</v>
      </c>
    </row>
    <row r="679" spans="1:33">
      <c r="A679" s="1" t="s">
        <v>692</v>
      </c>
      <c r="B679" s="1" t="s">
        <v>1745</v>
      </c>
      <c r="C679" s="2">
        <v>46719</v>
      </c>
      <c r="D679" s="1" t="s">
        <v>45</v>
      </c>
      <c r="E679">
        <v>67</v>
      </c>
      <c r="F679" s="2">
        <v>46081</v>
      </c>
      <c r="G679" s="1" t="s">
        <v>693</v>
      </c>
      <c r="H679" s="1" t="s">
        <v>577</v>
      </c>
      <c r="I679" s="1" t="s">
        <v>37</v>
      </c>
      <c r="J679" s="1" t="s">
        <v>564</v>
      </c>
      <c r="K679" s="1" t="s">
        <v>39</v>
      </c>
      <c r="L679">
        <v>100</v>
      </c>
      <c r="M679">
        <v>30.9</v>
      </c>
      <c r="N679">
        <v>29.9</v>
      </c>
      <c r="O679">
        <v>21.6</v>
      </c>
      <c r="P679">
        <v>1.9959999999999999E-2</v>
      </c>
      <c r="Q679">
        <v>3.03</v>
      </c>
      <c r="R679">
        <v>19.87</v>
      </c>
      <c r="S679">
        <v>12</v>
      </c>
      <c r="T679">
        <v>3</v>
      </c>
      <c r="U679">
        <v>36</v>
      </c>
      <c r="V679">
        <v>79.800000000000011</v>
      </c>
      <c r="W679">
        <v>134.07999999999998</v>
      </c>
      <c r="X679">
        <v>0.71855999999999998</v>
      </c>
      <c r="Y679">
        <v>0.67</v>
      </c>
      <c r="Z679">
        <v>1.33732E-2</v>
      </c>
      <c r="AA679">
        <v>1.8611111111111113E-2</v>
      </c>
      <c r="AB679">
        <v>1331.29</v>
      </c>
      <c r="AC679">
        <v>1</v>
      </c>
      <c r="AD679" s="1" t="s">
        <v>44</v>
      </c>
      <c r="AE679">
        <v>0</v>
      </c>
      <c r="AF679">
        <v>1</v>
      </c>
      <c r="AG679">
        <v>20.986842105263158</v>
      </c>
    </row>
    <row r="680" spans="1:33">
      <c r="A680" s="1" t="s">
        <v>694</v>
      </c>
      <c r="B680" s="1" t="s">
        <v>1746</v>
      </c>
      <c r="C680" s="2">
        <v>46576</v>
      </c>
      <c r="D680" s="1" t="s">
        <v>34</v>
      </c>
      <c r="E680">
        <v>1176</v>
      </c>
      <c r="F680" s="2">
        <v>46081</v>
      </c>
      <c r="G680" s="1" t="s">
        <v>695</v>
      </c>
      <c r="H680" s="1" t="s">
        <v>36</v>
      </c>
      <c r="I680" s="1" t="s">
        <v>37</v>
      </c>
      <c r="J680" s="1" t="s">
        <v>564</v>
      </c>
      <c r="K680" s="1" t="s">
        <v>39</v>
      </c>
      <c r="L680">
        <v>60</v>
      </c>
      <c r="M680">
        <v>40</v>
      </c>
      <c r="N680">
        <v>35.5</v>
      </c>
      <c r="O680">
        <v>28.5</v>
      </c>
      <c r="P680">
        <v>4.0469999999999999E-2</v>
      </c>
      <c r="Q680">
        <v>10.91</v>
      </c>
      <c r="R680">
        <v>28.24</v>
      </c>
      <c r="S680">
        <v>6</v>
      </c>
      <c r="T680">
        <v>2</v>
      </c>
      <c r="U680">
        <v>12</v>
      </c>
      <c r="V680">
        <v>72</v>
      </c>
      <c r="W680">
        <v>155.92000000000002</v>
      </c>
      <c r="X680">
        <v>0.48563999999999991</v>
      </c>
      <c r="Y680">
        <v>19.600000000000001</v>
      </c>
      <c r="Z680">
        <v>0.79321200000000003</v>
      </c>
      <c r="AA680">
        <v>1.6333333333333335</v>
      </c>
      <c r="AB680">
        <v>33210.239999999998</v>
      </c>
      <c r="AC680">
        <v>2</v>
      </c>
      <c r="AD680" s="1" t="s">
        <v>40</v>
      </c>
      <c r="AE680">
        <v>2</v>
      </c>
      <c r="AF680">
        <v>0</v>
      </c>
      <c r="AG680">
        <v>16.282894736842106</v>
      </c>
    </row>
    <row r="681" spans="1:33">
      <c r="A681" s="1" t="s">
        <v>694</v>
      </c>
      <c r="B681" s="1" t="s">
        <v>1747</v>
      </c>
      <c r="C681" s="2">
        <v>46472</v>
      </c>
      <c r="D681" s="1" t="s">
        <v>34</v>
      </c>
      <c r="E681">
        <v>547</v>
      </c>
      <c r="F681" s="2">
        <v>46081</v>
      </c>
      <c r="G681" s="1" t="s">
        <v>695</v>
      </c>
      <c r="H681" s="1" t="s">
        <v>36</v>
      </c>
      <c r="I681" s="1" t="s">
        <v>37</v>
      </c>
      <c r="J681" s="1" t="s">
        <v>564</v>
      </c>
      <c r="K681" s="1" t="s">
        <v>39</v>
      </c>
      <c r="L681">
        <v>60</v>
      </c>
      <c r="M681">
        <v>40</v>
      </c>
      <c r="N681">
        <v>35.5</v>
      </c>
      <c r="O681">
        <v>28.5</v>
      </c>
      <c r="P681">
        <v>4.0469999999999999E-2</v>
      </c>
      <c r="Q681">
        <v>10.91</v>
      </c>
      <c r="R681">
        <v>28.24</v>
      </c>
      <c r="S681">
        <v>6</v>
      </c>
      <c r="T681">
        <v>2</v>
      </c>
      <c r="U681">
        <v>12</v>
      </c>
      <c r="V681">
        <v>72</v>
      </c>
      <c r="W681">
        <v>155.92000000000002</v>
      </c>
      <c r="X681">
        <v>0.48563999999999991</v>
      </c>
      <c r="Y681">
        <v>9.1166666666666671</v>
      </c>
      <c r="Z681">
        <v>0.36895149999999999</v>
      </c>
      <c r="AA681">
        <v>0.7597222222222223</v>
      </c>
      <c r="AB681">
        <v>15447.279999999999</v>
      </c>
      <c r="AC681">
        <v>1</v>
      </c>
      <c r="AD681" s="1" t="s">
        <v>40</v>
      </c>
      <c r="AE681">
        <v>1</v>
      </c>
      <c r="AF681">
        <v>0</v>
      </c>
      <c r="AG681">
        <v>12.861842105263159</v>
      </c>
    </row>
    <row r="682" spans="1:33">
      <c r="A682" s="1" t="s">
        <v>696</v>
      </c>
      <c r="B682" s="1" t="s">
        <v>1748</v>
      </c>
      <c r="C682" s="2">
        <v>47054</v>
      </c>
      <c r="D682" s="1" t="s">
        <v>34</v>
      </c>
      <c r="E682">
        <v>1435</v>
      </c>
      <c r="F682" s="2">
        <v>46081</v>
      </c>
      <c r="G682" s="1" t="s">
        <v>697</v>
      </c>
      <c r="H682" s="1" t="s">
        <v>43</v>
      </c>
      <c r="I682" s="1" t="s">
        <v>37</v>
      </c>
      <c r="J682" s="1" t="s">
        <v>564</v>
      </c>
      <c r="K682" s="1" t="s">
        <v>39</v>
      </c>
      <c r="L682">
        <v>60</v>
      </c>
      <c r="M682">
        <v>46</v>
      </c>
      <c r="N682">
        <v>38.299999999999997</v>
      </c>
      <c r="O682">
        <v>20</v>
      </c>
      <c r="P682">
        <v>3.524E-2</v>
      </c>
      <c r="Q682">
        <v>6.59</v>
      </c>
      <c r="R682">
        <v>15.26</v>
      </c>
      <c r="S682">
        <v>6</v>
      </c>
      <c r="T682">
        <v>3</v>
      </c>
      <c r="U682">
        <v>18</v>
      </c>
      <c r="V682">
        <v>75</v>
      </c>
      <c r="W682">
        <v>143.62</v>
      </c>
      <c r="X682">
        <v>0.63431999999999999</v>
      </c>
      <c r="Y682">
        <v>23.916666666666668</v>
      </c>
      <c r="Z682">
        <v>0.84282333333333337</v>
      </c>
      <c r="AA682">
        <v>1.3287037037037037</v>
      </c>
      <c r="AB682">
        <v>21898.1</v>
      </c>
      <c r="AC682">
        <v>2</v>
      </c>
      <c r="AD682" s="1" t="s">
        <v>40</v>
      </c>
      <c r="AE682">
        <v>2</v>
      </c>
      <c r="AF682">
        <v>0</v>
      </c>
      <c r="AG682">
        <v>32.006578947368425</v>
      </c>
    </row>
    <row r="683" spans="1:33">
      <c r="A683" s="1" t="s">
        <v>696</v>
      </c>
      <c r="B683" s="1" t="s">
        <v>1749</v>
      </c>
      <c r="C683" s="2">
        <v>46242</v>
      </c>
      <c r="D683" s="1" t="s">
        <v>34</v>
      </c>
      <c r="E683">
        <v>2761</v>
      </c>
      <c r="F683" s="2">
        <v>46081</v>
      </c>
      <c r="G683" s="1" t="s">
        <v>697</v>
      </c>
      <c r="H683" s="1" t="s">
        <v>43</v>
      </c>
      <c r="I683" s="1" t="s">
        <v>37</v>
      </c>
      <c r="J683" s="1" t="s">
        <v>564</v>
      </c>
      <c r="K683" s="1" t="s">
        <v>39</v>
      </c>
      <c r="L683">
        <v>60</v>
      </c>
      <c r="M683">
        <v>46</v>
      </c>
      <c r="N683">
        <v>38.299999999999997</v>
      </c>
      <c r="O683">
        <v>20</v>
      </c>
      <c r="P683">
        <v>3.524E-2</v>
      </c>
      <c r="Q683">
        <v>6.59</v>
      </c>
      <c r="R683">
        <v>15.26</v>
      </c>
      <c r="S683">
        <v>6</v>
      </c>
      <c r="T683">
        <v>3</v>
      </c>
      <c r="U683">
        <v>18</v>
      </c>
      <c r="V683">
        <v>75</v>
      </c>
      <c r="W683">
        <v>143.62</v>
      </c>
      <c r="X683">
        <v>0.63431999999999999</v>
      </c>
      <c r="Y683">
        <v>46.016666666666666</v>
      </c>
      <c r="Z683">
        <v>1.6216273333333333</v>
      </c>
      <c r="AA683">
        <v>2.5564814814814816</v>
      </c>
      <c r="AB683">
        <v>42132.86</v>
      </c>
      <c r="AC683">
        <v>3</v>
      </c>
      <c r="AD683" s="1" t="s">
        <v>40</v>
      </c>
      <c r="AE683">
        <v>3</v>
      </c>
      <c r="AF683">
        <v>0</v>
      </c>
      <c r="AG683">
        <v>5.2960526315789478</v>
      </c>
    </row>
    <row r="684" spans="1:33">
      <c r="A684" s="1" t="s">
        <v>696</v>
      </c>
      <c r="B684" s="1" t="s">
        <v>1750</v>
      </c>
      <c r="C684" s="2">
        <v>46426</v>
      </c>
      <c r="D684" s="1" t="s">
        <v>45</v>
      </c>
      <c r="E684">
        <v>83</v>
      </c>
      <c r="F684" s="2">
        <v>46081</v>
      </c>
      <c r="G684" s="1" t="s">
        <v>697</v>
      </c>
      <c r="H684" s="1" t="s">
        <v>43</v>
      </c>
      <c r="I684" s="1" t="s">
        <v>37</v>
      </c>
      <c r="J684" s="1" t="s">
        <v>564</v>
      </c>
      <c r="K684" s="1" t="s">
        <v>39</v>
      </c>
      <c r="L684">
        <v>60</v>
      </c>
      <c r="M684">
        <v>46</v>
      </c>
      <c r="N684">
        <v>38.299999999999997</v>
      </c>
      <c r="O684">
        <v>20</v>
      </c>
      <c r="P684">
        <v>3.524E-2</v>
      </c>
      <c r="Q684">
        <v>6.59</v>
      </c>
      <c r="R684">
        <v>15.26</v>
      </c>
      <c r="S684">
        <v>6</v>
      </c>
      <c r="T684">
        <v>3</v>
      </c>
      <c r="U684">
        <v>18</v>
      </c>
      <c r="V684">
        <v>75</v>
      </c>
      <c r="W684">
        <v>143.62</v>
      </c>
      <c r="X684">
        <v>0.63431999999999999</v>
      </c>
      <c r="Y684">
        <v>1.3833333333333333</v>
      </c>
      <c r="Z684">
        <v>4.8748666666666669E-2</v>
      </c>
      <c r="AA684">
        <v>7.6851851851851852E-2</v>
      </c>
      <c r="AB684">
        <v>1266.58</v>
      </c>
      <c r="AC684">
        <v>1</v>
      </c>
      <c r="AD684" s="1" t="s">
        <v>44</v>
      </c>
      <c r="AE684">
        <v>0</v>
      </c>
      <c r="AF684">
        <v>1</v>
      </c>
      <c r="AG684">
        <v>11.348684210526317</v>
      </c>
    </row>
    <row r="685" spans="1:33">
      <c r="A685" s="1" t="s">
        <v>696</v>
      </c>
      <c r="B685" s="1" t="s">
        <v>1751</v>
      </c>
      <c r="C685" s="2">
        <v>45852</v>
      </c>
      <c r="D685" s="1" t="s">
        <v>73</v>
      </c>
      <c r="E685">
        <v>335</v>
      </c>
      <c r="F685" s="2">
        <v>46081</v>
      </c>
      <c r="G685" s="1" t="s">
        <v>697</v>
      </c>
      <c r="H685" s="1" t="s">
        <v>43</v>
      </c>
      <c r="I685" s="1" t="s">
        <v>37</v>
      </c>
      <c r="J685" s="1" t="s">
        <v>564</v>
      </c>
      <c r="K685" s="1" t="s">
        <v>39</v>
      </c>
      <c r="L685">
        <v>60</v>
      </c>
      <c r="M685">
        <v>46</v>
      </c>
      <c r="N685">
        <v>38.299999999999997</v>
      </c>
      <c r="O685">
        <v>20</v>
      </c>
      <c r="P685">
        <v>3.524E-2</v>
      </c>
      <c r="Q685">
        <v>6.59</v>
      </c>
      <c r="R685">
        <v>15.26</v>
      </c>
      <c r="S685">
        <v>6</v>
      </c>
      <c r="T685">
        <v>3</v>
      </c>
      <c r="U685">
        <v>18</v>
      </c>
      <c r="V685">
        <v>75</v>
      </c>
      <c r="W685">
        <v>143.62</v>
      </c>
      <c r="X685">
        <v>0.63431999999999999</v>
      </c>
      <c r="Y685">
        <v>5.583333333333333</v>
      </c>
      <c r="Z685">
        <v>0.19675666666666666</v>
      </c>
      <c r="AA685">
        <v>0.31018518518518517</v>
      </c>
      <c r="AB685">
        <v>5112.1000000000004</v>
      </c>
      <c r="AC685">
        <v>1</v>
      </c>
      <c r="AD685" s="1" t="s">
        <v>74</v>
      </c>
      <c r="AE685">
        <v>0</v>
      </c>
      <c r="AF685">
        <v>0</v>
      </c>
      <c r="AG685">
        <v>-7.5328947368421053</v>
      </c>
    </row>
    <row r="686" spans="1:33">
      <c r="A686" s="1" t="s">
        <v>698</v>
      </c>
      <c r="B686" s="1" t="s">
        <v>1752</v>
      </c>
      <c r="C686" s="2">
        <v>46774</v>
      </c>
      <c r="D686" s="1" t="s">
        <v>34</v>
      </c>
      <c r="E686">
        <v>189</v>
      </c>
      <c r="F686" s="2">
        <v>46081</v>
      </c>
      <c r="G686" s="1" t="s">
        <v>699</v>
      </c>
      <c r="H686" s="1" t="s">
        <v>36</v>
      </c>
      <c r="I686" s="1" t="s">
        <v>37</v>
      </c>
      <c r="J686" s="1" t="s">
        <v>564</v>
      </c>
      <c r="K686" s="1" t="s">
        <v>39</v>
      </c>
      <c r="L686">
        <v>120</v>
      </c>
      <c r="M686">
        <v>38.1</v>
      </c>
      <c r="N686">
        <v>28.2</v>
      </c>
      <c r="O686">
        <v>21.6</v>
      </c>
      <c r="P686">
        <v>2.3210000000000001E-2</v>
      </c>
      <c r="Q686">
        <v>4.3099999999999996</v>
      </c>
      <c r="R686">
        <v>24.79</v>
      </c>
      <c r="S686">
        <v>9</v>
      </c>
      <c r="T686">
        <v>6</v>
      </c>
      <c r="U686">
        <v>54</v>
      </c>
      <c r="V686">
        <v>144.60000000000002</v>
      </c>
      <c r="W686">
        <v>257.74</v>
      </c>
      <c r="X686">
        <v>1.2533399999999999</v>
      </c>
      <c r="Y686">
        <v>1.575</v>
      </c>
      <c r="Z686">
        <v>3.6555749999999998E-2</v>
      </c>
      <c r="AA686">
        <v>2.9166666666666667E-2</v>
      </c>
      <c r="AB686">
        <v>4685.3099999999995</v>
      </c>
      <c r="AC686">
        <v>1</v>
      </c>
      <c r="AD686" s="1" t="s">
        <v>44</v>
      </c>
      <c r="AE686">
        <v>0</v>
      </c>
      <c r="AF686">
        <v>1</v>
      </c>
      <c r="AG686">
        <v>22.796052631578949</v>
      </c>
    </row>
    <row r="687" spans="1:33">
      <c r="A687" s="1" t="s">
        <v>698</v>
      </c>
      <c r="B687" s="1" t="s">
        <v>1753</v>
      </c>
      <c r="C687" s="2">
        <v>46667</v>
      </c>
      <c r="D687" s="1" t="s">
        <v>34</v>
      </c>
      <c r="E687">
        <v>268</v>
      </c>
      <c r="F687" s="2">
        <v>46081</v>
      </c>
      <c r="G687" s="1" t="s">
        <v>699</v>
      </c>
      <c r="H687" s="1" t="s">
        <v>36</v>
      </c>
      <c r="I687" s="1" t="s">
        <v>37</v>
      </c>
      <c r="J687" s="1" t="s">
        <v>564</v>
      </c>
      <c r="K687" s="1" t="s">
        <v>39</v>
      </c>
      <c r="L687">
        <v>120</v>
      </c>
      <c r="M687">
        <v>38.1</v>
      </c>
      <c r="N687">
        <v>28.2</v>
      </c>
      <c r="O687">
        <v>21.6</v>
      </c>
      <c r="P687">
        <v>2.3210000000000001E-2</v>
      </c>
      <c r="Q687">
        <v>4.3099999999999996</v>
      </c>
      <c r="R687">
        <v>24.79</v>
      </c>
      <c r="S687">
        <v>9</v>
      </c>
      <c r="T687">
        <v>6</v>
      </c>
      <c r="U687">
        <v>54</v>
      </c>
      <c r="V687">
        <v>144.60000000000002</v>
      </c>
      <c r="W687">
        <v>257.74</v>
      </c>
      <c r="X687">
        <v>1.2533399999999999</v>
      </c>
      <c r="Y687">
        <v>2.2333333333333334</v>
      </c>
      <c r="Z687">
        <v>5.1835666666666669E-2</v>
      </c>
      <c r="AA687">
        <v>4.1358024691358027E-2</v>
      </c>
      <c r="AB687">
        <v>6643.7199999999993</v>
      </c>
      <c r="AC687">
        <v>1</v>
      </c>
      <c r="AD687" s="1" t="s">
        <v>44</v>
      </c>
      <c r="AE687">
        <v>0</v>
      </c>
      <c r="AF687">
        <v>1</v>
      </c>
      <c r="AG687">
        <v>19.276315789473685</v>
      </c>
    </row>
    <row r="688" spans="1:33">
      <c r="A688" s="1" t="s">
        <v>700</v>
      </c>
      <c r="B688" s="1" t="s">
        <v>1754</v>
      </c>
      <c r="C688" s="2">
        <v>47024</v>
      </c>
      <c r="D688" s="1" t="s">
        <v>34</v>
      </c>
      <c r="E688">
        <v>2130</v>
      </c>
      <c r="F688" s="2">
        <v>46081</v>
      </c>
      <c r="G688" s="1" t="s">
        <v>701</v>
      </c>
      <c r="H688" s="1" t="s">
        <v>36</v>
      </c>
      <c r="I688" s="1" t="s">
        <v>37</v>
      </c>
      <c r="J688" s="1" t="s">
        <v>564</v>
      </c>
      <c r="K688" s="1" t="s">
        <v>39</v>
      </c>
      <c r="L688">
        <v>60</v>
      </c>
      <c r="M688">
        <v>50.8</v>
      </c>
      <c r="N688">
        <v>29.9</v>
      </c>
      <c r="O688">
        <v>27</v>
      </c>
      <c r="P688">
        <v>4.1009999999999998E-2</v>
      </c>
      <c r="Q688">
        <v>8.8000000000000007</v>
      </c>
      <c r="R688">
        <v>7.66</v>
      </c>
      <c r="S688">
        <v>6</v>
      </c>
      <c r="T688">
        <v>5</v>
      </c>
      <c r="U688">
        <v>30</v>
      </c>
      <c r="V688">
        <v>150</v>
      </c>
      <c r="W688">
        <v>289</v>
      </c>
      <c r="X688">
        <v>1.2302999999999999</v>
      </c>
      <c r="Y688">
        <v>35.5</v>
      </c>
      <c r="Z688">
        <v>1.4558549999999999</v>
      </c>
      <c r="AA688">
        <v>1.1833333333333333</v>
      </c>
      <c r="AB688">
        <v>16315.800000000001</v>
      </c>
      <c r="AC688">
        <v>2</v>
      </c>
      <c r="AD688" s="1" t="s">
        <v>40</v>
      </c>
      <c r="AE688">
        <v>2</v>
      </c>
      <c r="AF688">
        <v>0</v>
      </c>
      <c r="AG688">
        <v>31.019736842105264</v>
      </c>
    </row>
    <row r="689" spans="1:33">
      <c r="A689" s="1" t="s">
        <v>700</v>
      </c>
      <c r="B689" s="1" t="s">
        <v>1755</v>
      </c>
      <c r="C689" s="2">
        <v>46611</v>
      </c>
      <c r="D689" s="1" t="s">
        <v>49</v>
      </c>
      <c r="E689">
        <v>106</v>
      </c>
      <c r="F689" s="2">
        <v>46081</v>
      </c>
      <c r="G689" s="1" t="s">
        <v>701</v>
      </c>
      <c r="H689" s="1" t="s">
        <v>36</v>
      </c>
      <c r="I689" s="1" t="s">
        <v>37</v>
      </c>
      <c r="J689" s="1" t="s">
        <v>564</v>
      </c>
      <c r="K689" s="1" t="s">
        <v>39</v>
      </c>
      <c r="L689">
        <v>60</v>
      </c>
      <c r="M689">
        <v>50.8</v>
      </c>
      <c r="N689">
        <v>29.9</v>
      </c>
      <c r="O689">
        <v>27</v>
      </c>
      <c r="P689">
        <v>4.1009999999999998E-2</v>
      </c>
      <c r="Q689">
        <v>8.8000000000000007</v>
      </c>
      <c r="R689">
        <v>7.66</v>
      </c>
      <c r="S689">
        <v>6</v>
      </c>
      <c r="T689">
        <v>5</v>
      </c>
      <c r="U689">
        <v>30</v>
      </c>
      <c r="V689">
        <v>150</v>
      </c>
      <c r="W689">
        <v>289</v>
      </c>
      <c r="X689">
        <v>1.2302999999999999</v>
      </c>
      <c r="Y689">
        <v>1.7666666666666666</v>
      </c>
      <c r="Z689">
        <v>7.2450999999999988E-2</v>
      </c>
      <c r="AA689">
        <v>5.8888888888888886E-2</v>
      </c>
      <c r="AB689">
        <v>811.96</v>
      </c>
      <c r="AC689">
        <v>1</v>
      </c>
      <c r="AD689" s="1" t="s">
        <v>44</v>
      </c>
      <c r="AE689">
        <v>0</v>
      </c>
      <c r="AF689">
        <v>1</v>
      </c>
      <c r="AG689">
        <v>17.434210526315791</v>
      </c>
    </row>
    <row r="690" spans="1:33">
      <c r="A690" s="1" t="s">
        <v>702</v>
      </c>
      <c r="B690" s="1" t="s">
        <v>1756</v>
      </c>
      <c r="C690" s="2">
        <v>46632</v>
      </c>
      <c r="D690" s="1" t="s">
        <v>34</v>
      </c>
      <c r="E690">
        <v>5860</v>
      </c>
      <c r="F690" s="2">
        <v>46081</v>
      </c>
      <c r="G690" s="1" t="s">
        <v>703</v>
      </c>
      <c r="H690" s="1" t="s">
        <v>577</v>
      </c>
      <c r="I690" s="1" t="s">
        <v>37</v>
      </c>
      <c r="J690" s="1" t="s">
        <v>704</v>
      </c>
      <c r="K690" s="1" t="s">
        <v>39</v>
      </c>
      <c r="L690">
        <v>36</v>
      </c>
      <c r="M690">
        <v>40.6</v>
      </c>
      <c r="N690">
        <v>24.4</v>
      </c>
      <c r="O690">
        <v>23.4</v>
      </c>
      <c r="P690">
        <v>2.3179999999999999E-2</v>
      </c>
      <c r="Q690">
        <v>13.92</v>
      </c>
      <c r="R690">
        <v>6.94</v>
      </c>
      <c r="S690">
        <v>8</v>
      </c>
      <c r="T690">
        <v>3</v>
      </c>
      <c r="U690">
        <v>24</v>
      </c>
      <c r="V690">
        <v>85.199999999999989</v>
      </c>
      <c r="W690">
        <v>359.08</v>
      </c>
      <c r="X690">
        <v>0.55631999999999993</v>
      </c>
      <c r="Y690">
        <v>162.77777777777777</v>
      </c>
      <c r="Z690">
        <v>3.7731888888888885</v>
      </c>
      <c r="AA690">
        <v>6.7824074074074074</v>
      </c>
      <c r="AB690">
        <v>40668.400000000001</v>
      </c>
      <c r="AC690">
        <v>7</v>
      </c>
      <c r="AD690" s="1" t="s">
        <v>40</v>
      </c>
      <c r="AE690">
        <v>7</v>
      </c>
      <c r="AF690">
        <v>0</v>
      </c>
      <c r="AG690">
        <v>18.125</v>
      </c>
    </row>
    <row r="691" spans="1:33">
      <c r="A691" s="1" t="s">
        <v>705</v>
      </c>
      <c r="B691" s="1" t="s">
        <v>1757</v>
      </c>
      <c r="C691" s="2">
        <v>46257</v>
      </c>
      <c r="D691" s="1" t="s">
        <v>34</v>
      </c>
      <c r="E691">
        <v>339</v>
      </c>
      <c r="F691" s="2">
        <v>46081</v>
      </c>
      <c r="G691" s="1" t="s">
        <v>706</v>
      </c>
      <c r="H691" s="1" t="s">
        <v>577</v>
      </c>
      <c r="I691" s="1" t="s">
        <v>37</v>
      </c>
      <c r="J691" s="1" t="s">
        <v>704</v>
      </c>
      <c r="K691" s="1" t="s">
        <v>39</v>
      </c>
      <c r="L691">
        <v>24</v>
      </c>
      <c r="M691">
        <v>34.299999999999997</v>
      </c>
      <c r="N691">
        <v>25.5</v>
      </c>
      <c r="O691">
        <v>16.600000000000001</v>
      </c>
      <c r="P691">
        <v>1.452E-2</v>
      </c>
      <c r="Q691">
        <v>11.39</v>
      </c>
      <c r="R691">
        <v>3.26</v>
      </c>
      <c r="S691">
        <v>7</v>
      </c>
      <c r="T691">
        <v>7</v>
      </c>
      <c r="U691">
        <v>49</v>
      </c>
      <c r="V691">
        <v>131.20000000000002</v>
      </c>
      <c r="W691">
        <v>583.11</v>
      </c>
      <c r="X691">
        <v>0.71148</v>
      </c>
      <c r="Y691">
        <v>14.125</v>
      </c>
      <c r="Z691">
        <v>0.205095</v>
      </c>
      <c r="AA691">
        <v>0.28826530612244899</v>
      </c>
      <c r="AB691">
        <v>1105.1399999999999</v>
      </c>
      <c r="AC691">
        <v>1</v>
      </c>
      <c r="AD691" s="1" t="s">
        <v>44</v>
      </c>
      <c r="AE691">
        <v>0</v>
      </c>
      <c r="AF691">
        <v>1</v>
      </c>
      <c r="AG691">
        <v>5.7894736842105265</v>
      </c>
    </row>
    <row r="692" spans="1:33">
      <c r="A692" s="1" t="s">
        <v>705</v>
      </c>
      <c r="B692" s="1" t="s">
        <v>1758</v>
      </c>
      <c r="C692" s="2">
        <v>46233</v>
      </c>
      <c r="D692" s="1" t="s">
        <v>34</v>
      </c>
      <c r="E692">
        <v>467</v>
      </c>
      <c r="F692" s="2">
        <v>46081</v>
      </c>
      <c r="G692" s="1" t="s">
        <v>706</v>
      </c>
      <c r="H692" s="1" t="s">
        <v>577</v>
      </c>
      <c r="I692" s="1" t="s">
        <v>37</v>
      </c>
      <c r="J692" s="1" t="s">
        <v>704</v>
      </c>
      <c r="K692" s="1" t="s">
        <v>39</v>
      </c>
      <c r="L692">
        <v>24</v>
      </c>
      <c r="M692">
        <v>34.299999999999997</v>
      </c>
      <c r="N692">
        <v>25.5</v>
      </c>
      <c r="O692">
        <v>16.600000000000001</v>
      </c>
      <c r="P692">
        <v>1.452E-2</v>
      </c>
      <c r="Q692">
        <v>11.39</v>
      </c>
      <c r="R692">
        <v>3.26</v>
      </c>
      <c r="S692">
        <v>7</v>
      </c>
      <c r="T692">
        <v>7</v>
      </c>
      <c r="U692">
        <v>49</v>
      </c>
      <c r="V692">
        <v>131.20000000000002</v>
      </c>
      <c r="W692">
        <v>583.11</v>
      </c>
      <c r="X692">
        <v>0.71148</v>
      </c>
      <c r="Y692">
        <v>19.458333333333332</v>
      </c>
      <c r="Z692">
        <v>0.28253499999999998</v>
      </c>
      <c r="AA692">
        <v>0.39710884353741494</v>
      </c>
      <c r="AB692">
        <v>1522.4199999999998</v>
      </c>
      <c r="AC692">
        <v>1</v>
      </c>
      <c r="AD692" s="1" t="s">
        <v>40</v>
      </c>
      <c r="AE692">
        <v>1</v>
      </c>
      <c r="AF692">
        <v>0</v>
      </c>
      <c r="AG692">
        <v>5</v>
      </c>
    </row>
    <row r="693" spans="1:33">
      <c r="A693" s="1" t="s">
        <v>707</v>
      </c>
      <c r="B693" s="1" t="s">
        <v>1759</v>
      </c>
      <c r="C693" s="2">
        <v>47126</v>
      </c>
      <c r="D693" s="1" t="s">
        <v>34</v>
      </c>
      <c r="E693">
        <v>2707</v>
      </c>
      <c r="F693" s="2">
        <v>46081</v>
      </c>
      <c r="G693" s="1" t="s">
        <v>708</v>
      </c>
      <c r="H693" s="1" t="s">
        <v>48</v>
      </c>
      <c r="I693" s="1" t="s">
        <v>37</v>
      </c>
      <c r="J693" s="1" t="s">
        <v>704</v>
      </c>
      <c r="K693" s="1" t="s">
        <v>39</v>
      </c>
      <c r="L693">
        <v>24</v>
      </c>
      <c r="M693">
        <v>45</v>
      </c>
      <c r="N693">
        <v>21.6</v>
      </c>
      <c r="O693">
        <v>19.399999999999999</v>
      </c>
      <c r="P693">
        <v>1.8859999999999998E-2</v>
      </c>
      <c r="Q693">
        <v>14.68</v>
      </c>
      <c r="R693">
        <v>6.47</v>
      </c>
      <c r="S693">
        <v>10</v>
      </c>
      <c r="T693">
        <v>4</v>
      </c>
      <c r="U693">
        <v>40</v>
      </c>
      <c r="V693">
        <v>92.6</v>
      </c>
      <c r="W693">
        <v>612.20000000000005</v>
      </c>
      <c r="X693">
        <v>0.75439999999999996</v>
      </c>
      <c r="Y693">
        <v>112.79166666666667</v>
      </c>
      <c r="Z693">
        <v>2.1272508333333331</v>
      </c>
      <c r="AA693">
        <v>2.8197916666666667</v>
      </c>
      <c r="AB693">
        <v>17514.29</v>
      </c>
      <c r="AC693">
        <v>3</v>
      </c>
      <c r="AD693" s="1" t="s">
        <v>40</v>
      </c>
      <c r="AE693">
        <v>3</v>
      </c>
      <c r="AF693">
        <v>0</v>
      </c>
      <c r="AG693">
        <v>34.375</v>
      </c>
    </row>
    <row r="694" spans="1:33">
      <c r="A694" s="1" t="s">
        <v>709</v>
      </c>
      <c r="B694" s="1" t="s">
        <v>1760</v>
      </c>
      <c r="C694" s="2">
        <v>46335</v>
      </c>
      <c r="D694" s="1" t="s">
        <v>34</v>
      </c>
      <c r="E694">
        <v>1920</v>
      </c>
      <c r="F694" s="2">
        <v>46081</v>
      </c>
      <c r="G694" s="1" t="s">
        <v>710</v>
      </c>
      <c r="H694" s="1" t="s">
        <v>48</v>
      </c>
      <c r="I694" s="1" t="s">
        <v>37</v>
      </c>
      <c r="J694" s="1" t="s">
        <v>704</v>
      </c>
      <c r="K694" s="1" t="s">
        <v>39</v>
      </c>
      <c r="L694">
        <v>24</v>
      </c>
      <c r="M694">
        <v>40.6</v>
      </c>
      <c r="N694">
        <v>20.399999999999999</v>
      </c>
      <c r="O694">
        <v>15.2</v>
      </c>
      <c r="P694">
        <v>1.259E-2</v>
      </c>
      <c r="Q694">
        <v>8.25</v>
      </c>
      <c r="R694">
        <v>8.59</v>
      </c>
      <c r="S694">
        <v>10</v>
      </c>
      <c r="T694">
        <v>7</v>
      </c>
      <c r="U694">
        <v>70</v>
      </c>
      <c r="V694">
        <v>121.4</v>
      </c>
      <c r="W694">
        <v>602.5</v>
      </c>
      <c r="X694">
        <v>0.88130000000000008</v>
      </c>
      <c r="Y694">
        <v>80</v>
      </c>
      <c r="Z694">
        <v>1.0072000000000001</v>
      </c>
      <c r="AA694">
        <v>1.1428571428571428</v>
      </c>
      <c r="AB694">
        <v>16492.8</v>
      </c>
      <c r="AC694">
        <v>2</v>
      </c>
      <c r="AD694" s="1" t="s">
        <v>40</v>
      </c>
      <c r="AE694">
        <v>2</v>
      </c>
      <c r="AF694">
        <v>0</v>
      </c>
      <c r="AG694">
        <v>8.3552631578947381</v>
      </c>
    </row>
    <row r="695" spans="1:33">
      <c r="A695" s="1" t="s">
        <v>709</v>
      </c>
      <c r="B695" s="1" t="s">
        <v>1761</v>
      </c>
      <c r="C695" s="2">
        <v>46910</v>
      </c>
      <c r="D695" s="1" t="s">
        <v>34</v>
      </c>
      <c r="E695">
        <v>24251</v>
      </c>
      <c r="F695" s="2">
        <v>46081</v>
      </c>
      <c r="G695" s="1" t="s">
        <v>710</v>
      </c>
      <c r="H695" s="1" t="s">
        <v>48</v>
      </c>
      <c r="I695" s="1" t="s">
        <v>37</v>
      </c>
      <c r="J695" s="1" t="s">
        <v>704</v>
      </c>
      <c r="K695" s="1" t="s">
        <v>39</v>
      </c>
      <c r="L695">
        <v>24</v>
      </c>
      <c r="M695">
        <v>40.6</v>
      </c>
      <c r="N695">
        <v>20.399999999999999</v>
      </c>
      <c r="O695">
        <v>15.2</v>
      </c>
      <c r="P695">
        <v>1.259E-2</v>
      </c>
      <c r="Q695">
        <v>8.25</v>
      </c>
      <c r="R695">
        <v>8.59</v>
      </c>
      <c r="S695">
        <v>10</v>
      </c>
      <c r="T695">
        <v>7</v>
      </c>
      <c r="U695">
        <v>70</v>
      </c>
      <c r="V695">
        <v>121.4</v>
      </c>
      <c r="W695">
        <v>602.5</v>
      </c>
      <c r="X695">
        <v>0.88130000000000008</v>
      </c>
      <c r="Y695">
        <v>1010.4583333333334</v>
      </c>
      <c r="Z695">
        <v>12.721670416666667</v>
      </c>
      <c r="AA695">
        <v>14.435119047619049</v>
      </c>
      <c r="AB695">
        <v>208316.09</v>
      </c>
      <c r="AC695">
        <v>15</v>
      </c>
      <c r="AD695" s="1" t="s">
        <v>40</v>
      </c>
      <c r="AE695">
        <v>15</v>
      </c>
      <c r="AF695">
        <v>0</v>
      </c>
      <c r="AG695">
        <v>27.269736842105264</v>
      </c>
    </row>
    <row r="696" spans="1:33">
      <c r="A696" s="1" t="s">
        <v>711</v>
      </c>
      <c r="B696" s="1" t="s">
        <v>1762</v>
      </c>
      <c r="C696" s="2">
        <v>46556</v>
      </c>
      <c r="D696" s="1" t="s">
        <v>34</v>
      </c>
      <c r="E696">
        <v>12214</v>
      </c>
      <c r="F696" s="2">
        <v>46081</v>
      </c>
      <c r="G696" s="1" t="s">
        <v>712</v>
      </c>
      <c r="H696" s="1" t="s">
        <v>577</v>
      </c>
      <c r="I696" s="1" t="s">
        <v>37</v>
      </c>
      <c r="J696" s="1" t="s">
        <v>704</v>
      </c>
      <c r="K696" s="1" t="s">
        <v>39</v>
      </c>
      <c r="L696">
        <v>36</v>
      </c>
      <c r="M696">
        <v>33.299999999999997</v>
      </c>
      <c r="N696">
        <v>25.7</v>
      </c>
      <c r="O696">
        <v>18.3</v>
      </c>
      <c r="P696">
        <v>1.566E-2</v>
      </c>
      <c r="Q696">
        <v>8.82</v>
      </c>
      <c r="R696">
        <v>4.6900000000000004</v>
      </c>
      <c r="S696">
        <v>12</v>
      </c>
      <c r="T696">
        <v>6</v>
      </c>
      <c r="U696">
        <v>72</v>
      </c>
      <c r="V696">
        <v>124.8</v>
      </c>
      <c r="W696">
        <v>660.04</v>
      </c>
      <c r="X696">
        <v>1.1275200000000001</v>
      </c>
      <c r="Y696">
        <v>339.27777777777777</v>
      </c>
      <c r="Z696">
        <v>5.3130899999999999</v>
      </c>
      <c r="AA696">
        <v>4.7121913580246915</v>
      </c>
      <c r="AB696">
        <v>57283.66</v>
      </c>
      <c r="AC696">
        <v>5</v>
      </c>
      <c r="AD696" s="1" t="s">
        <v>40</v>
      </c>
      <c r="AE696">
        <v>5</v>
      </c>
      <c r="AF696">
        <v>0</v>
      </c>
      <c r="AG696">
        <v>15.625</v>
      </c>
    </row>
    <row r="697" spans="1:33">
      <c r="A697" s="1" t="s">
        <v>711</v>
      </c>
      <c r="B697" s="1" t="s">
        <v>1763</v>
      </c>
      <c r="C697" s="2">
        <v>46735</v>
      </c>
      <c r="D697" s="1" t="s">
        <v>34</v>
      </c>
      <c r="E697">
        <v>13</v>
      </c>
      <c r="F697" s="2">
        <v>46081</v>
      </c>
      <c r="G697" s="1" t="s">
        <v>712</v>
      </c>
      <c r="H697" s="1" t="s">
        <v>577</v>
      </c>
      <c r="I697" s="1" t="s">
        <v>37</v>
      </c>
      <c r="J697" s="1" t="s">
        <v>704</v>
      </c>
      <c r="K697" s="1" t="s">
        <v>39</v>
      </c>
      <c r="L697">
        <v>36</v>
      </c>
      <c r="M697">
        <v>33.299999999999997</v>
      </c>
      <c r="N697">
        <v>25.7</v>
      </c>
      <c r="O697">
        <v>18.3</v>
      </c>
      <c r="P697">
        <v>1.566E-2</v>
      </c>
      <c r="Q697">
        <v>8.82</v>
      </c>
      <c r="R697">
        <v>4.6900000000000004</v>
      </c>
      <c r="S697">
        <v>12</v>
      </c>
      <c r="T697">
        <v>6</v>
      </c>
      <c r="U697">
        <v>72</v>
      </c>
      <c r="V697">
        <v>124.8</v>
      </c>
      <c r="W697">
        <v>660.04</v>
      </c>
      <c r="X697">
        <v>1.1275200000000001</v>
      </c>
      <c r="Y697">
        <v>0.3611111111111111</v>
      </c>
      <c r="Z697">
        <v>5.6550000000000003E-3</v>
      </c>
      <c r="AA697">
        <v>5.0154320987654318E-3</v>
      </c>
      <c r="AB697">
        <v>60.970000000000006</v>
      </c>
      <c r="AC697">
        <v>1</v>
      </c>
      <c r="AD697" s="1" t="s">
        <v>44</v>
      </c>
      <c r="AE697">
        <v>0</v>
      </c>
      <c r="AF697">
        <v>1</v>
      </c>
      <c r="AG697">
        <v>21.513157894736842</v>
      </c>
    </row>
    <row r="698" spans="1:33">
      <c r="A698" s="1" t="s">
        <v>711</v>
      </c>
      <c r="B698" s="1" t="s">
        <v>1764</v>
      </c>
      <c r="C698" s="2">
        <v>46426</v>
      </c>
      <c r="D698" s="1" t="s">
        <v>34</v>
      </c>
      <c r="E698">
        <v>16956</v>
      </c>
      <c r="F698" s="2">
        <v>46081</v>
      </c>
      <c r="G698" s="1" t="s">
        <v>712</v>
      </c>
      <c r="H698" s="1" t="s">
        <v>577</v>
      </c>
      <c r="I698" s="1" t="s">
        <v>37</v>
      </c>
      <c r="J698" s="1" t="s">
        <v>704</v>
      </c>
      <c r="K698" s="1" t="s">
        <v>39</v>
      </c>
      <c r="L698">
        <v>36</v>
      </c>
      <c r="M698">
        <v>33.299999999999997</v>
      </c>
      <c r="N698">
        <v>25.7</v>
      </c>
      <c r="O698">
        <v>18.3</v>
      </c>
      <c r="P698">
        <v>1.566E-2</v>
      </c>
      <c r="Q698">
        <v>8.82</v>
      </c>
      <c r="R698">
        <v>4.6900000000000004</v>
      </c>
      <c r="S698">
        <v>12</v>
      </c>
      <c r="T698">
        <v>6</v>
      </c>
      <c r="U698">
        <v>72</v>
      </c>
      <c r="V698">
        <v>124.8</v>
      </c>
      <c r="W698">
        <v>660.04</v>
      </c>
      <c r="X698">
        <v>1.1275200000000001</v>
      </c>
      <c r="Y698">
        <v>471</v>
      </c>
      <c r="Z698">
        <v>7.3758600000000003</v>
      </c>
      <c r="AA698">
        <v>6.541666666666667</v>
      </c>
      <c r="AB698">
        <v>79523.64</v>
      </c>
      <c r="AC698">
        <v>7</v>
      </c>
      <c r="AD698" s="1" t="s">
        <v>40</v>
      </c>
      <c r="AE698">
        <v>7</v>
      </c>
      <c r="AF698">
        <v>0</v>
      </c>
      <c r="AG698">
        <v>11.348684210526317</v>
      </c>
    </row>
    <row r="699" spans="1:33">
      <c r="A699" s="1" t="s">
        <v>713</v>
      </c>
      <c r="B699" s="1" t="s">
        <v>1765</v>
      </c>
      <c r="C699" s="2">
        <v>46500</v>
      </c>
      <c r="D699" s="1" t="s">
        <v>34</v>
      </c>
      <c r="E699">
        <v>886</v>
      </c>
      <c r="F699" s="2">
        <v>46081</v>
      </c>
      <c r="G699" s="1" t="s">
        <v>714</v>
      </c>
      <c r="H699" s="1" t="s">
        <v>577</v>
      </c>
      <c r="I699" s="1" t="s">
        <v>37</v>
      </c>
      <c r="J699" s="1" t="s">
        <v>704</v>
      </c>
      <c r="K699" s="1" t="s">
        <v>39</v>
      </c>
      <c r="L699">
        <v>48</v>
      </c>
      <c r="M699">
        <v>40.9</v>
      </c>
      <c r="N699">
        <v>22.5</v>
      </c>
      <c r="O699">
        <v>20.9</v>
      </c>
      <c r="P699">
        <v>1.9230000000000001E-2</v>
      </c>
      <c r="Q699">
        <v>15.14</v>
      </c>
      <c r="R699">
        <v>5.3</v>
      </c>
      <c r="S699">
        <v>8</v>
      </c>
      <c r="T699">
        <v>5</v>
      </c>
      <c r="U699">
        <v>40</v>
      </c>
      <c r="V699">
        <v>119.5</v>
      </c>
      <c r="W699">
        <v>630.6</v>
      </c>
      <c r="X699">
        <v>0.76919999999999999</v>
      </c>
      <c r="Y699">
        <v>18.458333333333332</v>
      </c>
      <c r="Z699">
        <v>0.35495375000000001</v>
      </c>
      <c r="AA699">
        <v>0.4614583333333333</v>
      </c>
      <c r="AB699">
        <v>4695.8</v>
      </c>
      <c r="AC699">
        <v>1</v>
      </c>
      <c r="AD699" s="1" t="s">
        <v>40</v>
      </c>
      <c r="AE699">
        <v>1</v>
      </c>
      <c r="AF699">
        <v>0</v>
      </c>
      <c r="AG699">
        <v>13.782894736842106</v>
      </c>
    </row>
    <row r="700" spans="1:33">
      <c r="A700" s="1" t="s">
        <v>715</v>
      </c>
      <c r="B700" s="1" t="s">
        <v>1766</v>
      </c>
      <c r="C700" s="2">
        <v>47129</v>
      </c>
      <c r="D700" s="1" t="s">
        <v>34</v>
      </c>
      <c r="E700">
        <v>19925</v>
      </c>
      <c r="F700" s="2">
        <v>46081</v>
      </c>
      <c r="G700" s="1" t="s">
        <v>716</v>
      </c>
      <c r="H700" s="1" t="s">
        <v>48</v>
      </c>
      <c r="I700" s="1" t="s">
        <v>37</v>
      </c>
      <c r="J700" s="1" t="s">
        <v>704</v>
      </c>
      <c r="K700" s="1" t="s">
        <v>39</v>
      </c>
      <c r="L700">
        <v>60</v>
      </c>
      <c r="M700">
        <v>30.8</v>
      </c>
      <c r="N700">
        <v>30.3</v>
      </c>
      <c r="O700">
        <v>16.8</v>
      </c>
      <c r="P700">
        <v>1.5679999999999999E-2</v>
      </c>
      <c r="Q700">
        <v>11.82</v>
      </c>
      <c r="R700">
        <v>3.6</v>
      </c>
      <c r="S700">
        <v>8</v>
      </c>
      <c r="T700">
        <v>7</v>
      </c>
      <c r="U700">
        <v>56</v>
      </c>
      <c r="V700">
        <v>132.60000000000002</v>
      </c>
      <c r="W700">
        <v>686.92000000000007</v>
      </c>
      <c r="X700">
        <v>0.87807999999999997</v>
      </c>
      <c r="Y700">
        <v>332.08333333333331</v>
      </c>
      <c r="Z700">
        <v>5.2070666666666661</v>
      </c>
      <c r="AA700">
        <v>5.9300595238095237</v>
      </c>
      <c r="AB700">
        <v>71730</v>
      </c>
      <c r="AC700">
        <v>6</v>
      </c>
      <c r="AD700" s="1" t="s">
        <v>40</v>
      </c>
      <c r="AE700">
        <v>6</v>
      </c>
      <c r="AF700">
        <v>0</v>
      </c>
      <c r="AG700">
        <v>34.473684210526315</v>
      </c>
    </row>
    <row r="701" spans="1:33">
      <c r="A701" s="1" t="s">
        <v>715</v>
      </c>
      <c r="B701" s="1" t="s">
        <v>1767</v>
      </c>
      <c r="C701" s="2">
        <v>46295</v>
      </c>
      <c r="D701" s="1" t="s">
        <v>34</v>
      </c>
      <c r="E701">
        <v>2081</v>
      </c>
      <c r="F701" s="2">
        <v>46081</v>
      </c>
      <c r="G701" s="1" t="s">
        <v>716</v>
      </c>
      <c r="H701" s="1" t="s">
        <v>48</v>
      </c>
      <c r="I701" s="1" t="s">
        <v>37</v>
      </c>
      <c r="J701" s="1" t="s">
        <v>704</v>
      </c>
      <c r="K701" s="1" t="s">
        <v>39</v>
      </c>
      <c r="L701">
        <v>60</v>
      </c>
      <c r="M701">
        <v>30.8</v>
      </c>
      <c r="N701">
        <v>30.3</v>
      </c>
      <c r="O701">
        <v>16.8</v>
      </c>
      <c r="P701">
        <v>1.5679999999999999E-2</v>
      </c>
      <c r="Q701">
        <v>11.82</v>
      </c>
      <c r="R701">
        <v>3.6</v>
      </c>
      <c r="S701">
        <v>8</v>
      </c>
      <c r="T701">
        <v>7</v>
      </c>
      <c r="U701">
        <v>56</v>
      </c>
      <c r="V701">
        <v>132.60000000000002</v>
      </c>
      <c r="W701">
        <v>686.92000000000007</v>
      </c>
      <c r="X701">
        <v>0.87807999999999997</v>
      </c>
      <c r="Y701">
        <v>34.68333333333333</v>
      </c>
      <c r="Z701">
        <v>0.54383466666666658</v>
      </c>
      <c r="AA701">
        <v>0.619345238095238</v>
      </c>
      <c r="AB701">
        <v>7491.6</v>
      </c>
      <c r="AC701">
        <v>1</v>
      </c>
      <c r="AD701" s="1" t="s">
        <v>40</v>
      </c>
      <c r="AE701">
        <v>1</v>
      </c>
      <c r="AF701">
        <v>0</v>
      </c>
      <c r="AG701">
        <v>7.0394736842105265</v>
      </c>
    </row>
    <row r="702" spans="1:33">
      <c r="A702" s="1" t="s">
        <v>717</v>
      </c>
      <c r="B702" s="1" t="s">
        <v>1768</v>
      </c>
      <c r="C702" s="2">
        <v>46611</v>
      </c>
      <c r="D702" s="1" t="s">
        <v>34</v>
      </c>
      <c r="E702">
        <v>6537</v>
      </c>
      <c r="F702" s="2">
        <v>46081</v>
      </c>
      <c r="G702" s="1" t="s">
        <v>718</v>
      </c>
      <c r="H702" s="1" t="s">
        <v>48</v>
      </c>
      <c r="I702" s="1" t="s">
        <v>37</v>
      </c>
      <c r="J702" s="1" t="s">
        <v>704</v>
      </c>
      <c r="K702" s="1" t="s">
        <v>39</v>
      </c>
      <c r="L702">
        <v>24</v>
      </c>
      <c r="M702">
        <v>42.6</v>
      </c>
      <c r="N702">
        <v>21.4</v>
      </c>
      <c r="O702">
        <v>15.1</v>
      </c>
      <c r="P702">
        <v>1.3769999999999999E-2</v>
      </c>
      <c r="Q702">
        <v>8.7899999999999991</v>
      </c>
      <c r="R702">
        <v>4.4000000000000004</v>
      </c>
      <c r="S702">
        <v>10</v>
      </c>
      <c r="T702">
        <v>7</v>
      </c>
      <c r="U702">
        <v>70</v>
      </c>
      <c r="V702">
        <v>120.7</v>
      </c>
      <c r="W702">
        <v>640.29999999999995</v>
      </c>
      <c r="X702">
        <v>0.96389999999999998</v>
      </c>
      <c r="Y702">
        <v>272.375</v>
      </c>
      <c r="Z702">
        <v>3.7506037499999998</v>
      </c>
      <c r="AA702">
        <v>3.8910714285714287</v>
      </c>
      <c r="AB702">
        <v>28762.800000000003</v>
      </c>
      <c r="AC702">
        <v>4</v>
      </c>
      <c r="AD702" s="1" t="s">
        <v>40</v>
      </c>
      <c r="AE702">
        <v>4</v>
      </c>
      <c r="AF702">
        <v>0</v>
      </c>
      <c r="AG702">
        <v>17.434210526315791</v>
      </c>
    </row>
    <row r="703" spans="1:33">
      <c r="A703" s="1" t="s">
        <v>719</v>
      </c>
      <c r="B703" s="1" t="s">
        <v>1769</v>
      </c>
      <c r="C703" s="2">
        <v>46780</v>
      </c>
      <c r="D703" s="1" t="s">
        <v>34</v>
      </c>
      <c r="E703">
        <v>40498</v>
      </c>
      <c r="F703" s="2">
        <v>46081</v>
      </c>
      <c r="G703" s="1" t="s">
        <v>720</v>
      </c>
      <c r="H703" s="1" t="s">
        <v>48</v>
      </c>
      <c r="I703" s="1" t="s">
        <v>37</v>
      </c>
      <c r="J703" s="1" t="s">
        <v>704</v>
      </c>
      <c r="K703" s="1" t="s">
        <v>39</v>
      </c>
      <c r="L703">
        <v>60</v>
      </c>
      <c r="M703">
        <v>41.2</v>
      </c>
      <c r="N703">
        <v>29.9</v>
      </c>
      <c r="O703">
        <v>15.9</v>
      </c>
      <c r="P703">
        <v>1.959E-2</v>
      </c>
      <c r="Q703">
        <v>15.04</v>
      </c>
      <c r="R703">
        <v>6.84</v>
      </c>
      <c r="S703">
        <v>6</v>
      </c>
      <c r="T703">
        <v>8</v>
      </c>
      <c r="U703">
        <v>48</v>
      </c>
      <c r="V703">
        <v>142.19999999999999</v>
      </c>
      <c r="W703">
        <v>746.92</v>
      </c>
      <c r="X703">
        <v>0.94032000000000004</v>
      </c>
      <c r="Y703">
        <v>674.9666666666667</v>
      </c>
      <c r="Z703">
        <v>13.222597</v>
      </c>
      <c r="AA703">
        <v>14.061805555555557</v>
      </c>
      <c r="AB703">
        <v>277006.32</v>
      </c>
      <c r="AC703">
        <v>15</v>
      </c>
      <c r="AD703" s="1" t="s">
        <v>40</v>
      </c>
      <c r="AE703">
        <v>15</v>
      </c>
      <c r="AF703">
        <v>0</v>
      </c>
      <c r="AG703">
        <v>22.993421052631579</v>
      </c>
    </row>
    <row r="704" spans="1:33">
      <c r="A704" s="1" t="s">
        <v>721</v>
      </c>
      <c r="B704" s="1" t="s">
        <v>1770</v>
      </c>
      <c r="C704" s="2">
        <v>46236</v>
      </c>
      <c r="D704" s="1" t="s">
        <v>34</v>
      </c>
      <c r="E704">
        <v>265</v>
      </c>
      <c r="F704" s="2">
        <v>46081</v>
      </c>
      <c r="G704" s="1" t="s">
        <v>722</v>
      </c>
      <c r="H704" s="1" t="s">
        <v>48</v>
      </c>
      <c r="I704" s="1" t="s">
        <v>37</v>
      </c>
      <c r="J704" s="1" t="s">
        <v>704</v>
      </c>
      <c r="K704" s="1" t="s">
        <v>39</v>
      </c>
      <c r="L704">
        <v>36</v>
      </c>
      <c r="M704">
        <v>43.7</v>
      </c>
      <c r="N704">
        <v>26.2</v>
      </c>
      <c r="O704">
        <v>18.2</v>
      </c>
      <c r="P704">
        <v>2.0840000000000001E-2</v>
      </c>
      <c r="Q704">
        <v>15.91</v>
      </c>
      <c r="R704">
        <v>6.03</v>
      </c>
      <c r="S704">
        <v>8</v>
      </c>
      <c r="T704">
        <v>5</v>
      </c>
      <c r="U704">
        <v>40</v>
      </c>
      <c r="V704">
        <v>106</v>
      </c>
      <c r="W704">
        <v>661.4</v>
      </c>
      <c r="X704">
        <v>0.83360000000000001</v>
      </c>
      <c r="Y704">
        <v>7.3611111111111107</v>
      </c>
      <c r="Z704">
        <v>0.15340555555555555</v>
      </c>
      <c r="AA704">
        <v>0.18402777777777776</v>
      </c>
      <c r="AB704">
        <v>1597.95</v>
      </c>
      <c r="AC704">
        <v>1</v>
      </c>
      <c r="AD704" s="1" t="s">
        <v>44</v>
      </c>
      <c r="AE704">
        <v>0</v>
      </c>
      <c r="AF704">
        <v>1</v>
      </c>
      <c r="AG704">
        <v>5.0986842105263159</v>
      </c>
    </row>
    <row r="705" spans="1:33">
      <c r="A705" s="1" t="s">
        <v>721</v>
      </c>
      <c r="B705" s="1" t="s">
        <v>1771</v>
      </c>
      <c r="C705" s="2">
        <v>46784</v>
      </c>
      <c r="D705" s="1" t="s">
        <v>34</v>
      </c>
      <c r="E705">
        <v>775</v>
      </c>
      <c r="F705" s="2">
        <v>46081</v>
      </c>
      <c r="G705" s="1" t="s">
        <v>722</v>
      </c>
      <c r="H705" s="1" t="s">
        <v>48</v>
      </c>
      <c r="I705" s="1" t="s">
        <v>37</v>
      </c>
      <c r="J705" s="1" t="s">
        <v>704</v>
      </c>
      <c r="K705" s="1" t="s">
        <v>39</v>
      </c>
      <c r="L705">
        <v>36</v>
      </c>
      <c r="M705">
        <v>43.7</v>
      </c>
      <c r="N705">
        <v>26.2</v>
      </c>
      <c r="O705">
        <v>18.2</v>
      </c>
      <c r="P705">
        <v>2.0840000000000001E-2</v>
      </c>
      <c r="Q705">
        <v>15.91</v>
      </c>
      <c r="R705">
        <v>6.03</v>
      </c>
      <c r="S705">
        <v>8</v>
      </c>
      <c r="T705">
        <v>5</v>
      </c>
      <c r="U705">
        <v>40</v>
      </c>
      <c r="V705">
        <v>106</v>
      </c>
      <c r="W705">
        <v>661.4</v>
      </c>
      <c r="X705">
        <v>0.83360000000000001</v>
      </c>
      <c r="Y705">
        <v>21.527777777777779</v>
      </c>
      <c r="Z705">
        <v>0.44863888888888892</v>
      </c>
      <c r="AA705">
        <v>0.53819444444444442</v>
      </c>
      <c r="AB705">
        <v>4673.25</v>
      </c>
      <c r="AC705">
        <v>1</v>
      </c>
      <c r="AD705" s="1" t="s">
        <v>40</v>
      </c>
      <c r="AE705">
        <v>1</v>
      </c>
      <c r="AF705">
        <v>0</v>
      </c>
      <c r="AG705">
        <v>23.125</v>
      </c>
    </row>
    <row r="706" spans="1:33">
      <c r="A706" s="1" t="s">
        <v>721</v>
      </c>
      <c r="B706" s="1" t="s">
        <v>1772</v>
      </c>
      <c r="C706" s="2">
        <v>46778</v>
      </c>
      <c r="D706" s="1" t="s">
        <v>34</v>
      </c>
      <c r="E706">
        <v>22</v>
      </c>
      <c r="F706" s="2">
        <v>46081</v>
      </c>
      <c r="G706" s="1" t="s">
        <v>722</v>
      </c>
      <c r="H706" s="1" t="s">
        <v>48</v>
      </c>
      <c r="I706" s="1" t="s">
        <v>37</v>
      </c>
      <c r="J706" s="1" t="s">
        <v>704</v>
      </c>
      <c r="K706" s="1" t="s">
        <v>39</v>
      </c>
      <c r="L706">
        <v>36</v>
      </c>
      <c r="M706">
        <v>43.7</v>
      </c>
      <c r="N706">
        <v>26.2</v>
      </c>
      <c r="O706">
        <v>18.2</v>
      </c>
      <c r="P706">
        <v>2.0840000000000001E-2</v>
      </c>
      <c r="Q706">
        <v>15.91</v>
      </c>
      <c r="R706">
        <v>6.03</v>
      </c>
      <c r="S706">
        <v>8</v>
      </c>
      <c r="T706">
        <v>5</v>
      </c>
      <c r="U706">
        <v>40</v>
      </c>
      <c r="V706">
        <v>106</v>
      </c>
      <c r="W706">
        <v>661.4</v>
      </c>
      <c r="X706">
        <v>0.83360000000000001</v>
      </c>
      <c r="Y706">
        <v>0.61111111111111116</v>
      </c>
      <c r="Z706">
        <v>1.2735555555555557E-2</v>
      </c>
      <c r="AA706">
        <v>1.5277777777777779E-2</v>
      </c>
      <c r="AB706">
        <v>132.66</v>
      </c>
      <c r="AC706">
        <v>1</v>
      </c>
      <c r="AD706" s="1" t="s">
        <v>44</v>
      </c>
      <c r="AE706">
        <v>0</v>
      </c>
      <c r="AF706">
        <v>1</v>
      </c>
      <c r="AG706">
        <v>22.92763157894737</v>
      </c>
    </row>
    <row r="707" spans="1:33">
      <c r="A707" s="1" t="s">
        <v>721</v>
      </c>
      <c r="B707" s="1" t="s">
        <v>1773</v>
      </c>
      <c r="C707" s="2">
        <v>47070</v>
      </c>
      <c r="D707" s="1" t="s">
        <v>34</v>
      </c>
      <c r="E707">
        <v>367</v>
      </c>
      <c r="F707" s="2">
        <v>46081</v>
      </c>
      <c r="G707" s="1" t="s">
        <v>722</v>
      </c>
      <c r="H707" s="1" t="s">
        <v>48</v>
      </c>
      <c r="I707" s="1" t="s">
        <v>37</v>
      </c>
      <c r="J707" s="1" t="s">
        <v>704</v>
      </c>
      <c r="K707" s="1" t="s">
        <v>39</v>
      </c>
      <c r="L707">
        <v>36</v>
      </c>
      <c r="M707">
        <v>43.7</v>
      </c>
      <c r="N707">
        <v>26.2</v>
      </c>
      <c r="O707">
        <v>18.2</v>
      </c>
      <c r="P707">
        <v>2.0840000000000001E-2</v>
      </c>
      <c r="Q707">
        <v>15.91</v>
      </c>
      <c r="R707">
        <v>6.03</v>
      </c>
      <c r="S707">
        <v>8</v>
      </c>
      <c r="T707">
        <v>5</v>
      </c>
      <c r="U707">
        <v>40</v>
      </c>
      <c r="V707">
        <v>106</v>
      </c>
      <c r="W707">
        <v>661.4</v>
      </c>
      <c r="X707">
        <v>0.83360000000000001</v>
      </c>
      <c r="Y707">
        <v>10.194444444444445</v>
      </c>
      <c r="Z707">
        <v>0.21245222222222224</v>
      </c>
      <c r="AA707">
        <v>0.25486111111111109</v>
      </c>
      <c r="AB707">
        <v>2213.0100000000002</v>
      </c>
      <c r="AC707">
        <v>1</v>
      </c>
      <c r="AD707" s="1" t="s">
        <v>44</v>
      </c>
      <c r="AE707">
        <v>0</v>
      </c>
      <c r="AF707">
        <v>1</v>
      </c>
      <c r="AG707">
        <v>32.53289473684211</v>
      </c>
    </row>
    <row r="708" spans="1:33">
      <c r="A708" s="1" t="s">
        <v>723</v>
      </c>
      <c r="B708" s="1" t="s">
        <v>1774</v>
      </c>
      <c r="C708" s="2">
        <v>46796</v>
      </c>
      <c r="D708" s="1" t="s">
        <v>34</v>
      </c>
      <c r="E708">
        <v>5083</v>
      </c>
      <c r="F708" s="2">
        <v>46081</v>
      </c>
      <c r="G708" s="1" t="s">
        <v>724</v>
      </c>
      <c r="H708" s="1" t="s">
        <v>48</v>
      </c>
      <c r="I708" s="1" t="s">
        <v>37</v>
      </c>
      <c r="J708" s="1" t="s">
        <v>704</v>
      </c>
      <c r="K708" s="1" t="s">
        <v>39</v>
      </c>
      <c r="L708">
        <v>24</v>
      </c>
      <c r="M708">
        <v>33</v>
      </c>
      <c r="N708">
        <v>34.9</v>
      </c>
      <c r="O708">
        <v>23.6</v>
      </c>
      <c r="P708">
        <v>2.7179999999999999E-2</v>
      </c>
      <c r="Q708">
        <v>19.579999999999998</v>
      </c>
      <c r="R708">
        <v>8.4700000000000006</v>
      </c>
      <c r="S708">
        <v>7</v>
      </c>
      <c r="T708">
        <v>3</v>
      </c>
      <c r="U708">
        <v>21</v>
      </c>
      <c r="V708">
        <v>85.800000000000011</v>
      </c>
      <c r="W708">
        <v>436.18</v>
      </c>
      <c r="X708">
        <v>0.57077999999999995</v>
      </c>
      <c r="Y708">
        <v>211.79166666666666</v>
      </c>
      <c r="Z708">
        <v>5.7564974999999992</v>
      </c>
      <c r="AA708">
        <v>10.08531746031746</v>
      </c>
      <c r="AB708">
        <v>43053.01</v>
      </c>
      <c r="AC708">
        <v>11</v>
      </c>
      <c r="AD708" s="1" t="s">
        <v>40</v>
      </c>
      <c r="AE708">
        <v>11</v>
      </c>
      <c r="AF708">
        <v>0</v>
      </c>
      <c r="AG708">
        <v>23.519736842105264</v>
      </c>
    </row>
    <row r="709" spans="1:33">
      <c r="A709" s="1" t="s">
        <v>725</v>
      </c>
      <c r="B709" s="1" t="s">
        <v>1775</v>
      </c>
      <c r="C709" s="2">
        <v>46488</v>
      </c>
      <c r="D709" s="1" t="s">
        <v>34</v>
      </c>
      <c r="E709">
        <v>63</v>
      </c>
      <c r="F709" s="2">
        <v>46081</v>
      </c>
      <c r="G709" s="1" t="s">
        <v>726</v>
      </c>
      <c r="H709" s="1" t="s">
        <v>48</v>
      </c>
      <c r="I709" s="1" t="s">
        <v>37</v>
      </c>
      <c r="J709" s="1" t="s">
        <v>704</v>
      </c>
      <c r="K709" s="1" t="s">
        <v>39</v>
      </c>
      <c r="L709">
        <v>48</v>
      </c>
      <c r="M709">
        <v>42.4</v>
      </c>
      <c r="N709">
        <v>29.2</v>
      </c>
      <c r="O709">
        <v>19.100000000000001</v>
      </c>
      <c r="P709">
        <v>2.3650000000000001E-2</v>
      </c>
      <c r="Q709">
        <v>15.06</v>
      </c>
      <c r="R709">
        <v>9.19</v>
      </c>
      <c r="S709">
        <v>8</v>
      </c>
      <c r="T709">
        <v>5</v>
      </c>
      <c r="U709">
        <v>40</v>
      </c>
      <c r="V709">
        <v>110.5</v>
      </c>
      <c r="W709">
        <v>627.4</v>
      </c>
      <c r="X709">
        <v>0.94599999999999995</v>
      </c>
      <c r="Y709">
        <v>1.3125</v>
      </c>
      <c r="Z709">
        <v>3.1040625000000002E-2</v>
      </c>
      <c r="AA709">
        <v>3.2812500000000001E-2</v>
      </c>
      <c r="AB709">
        <v>578.96999999999991</v>
      </c>
      <c r="AC709">
        <v>1</v>
      </c>
      <c r="AD709" s="1" t="s">
        <v>44</v>
      </c>
      <c r="AE709">
        <v>0</v>
      </c>
      <c r="AF709">
        <v>1</v>
      </c>
      <c r="AG709">
        <v>13.388157894736842</v>
      </c>
    </row>
    <row r="710" spans="1:33">
      <c r="A710" s="1" t="s">
        <v>725</v>
      </c>
      <c r="B710" s="1" t="s">
        <v>1776</v>
      </c>
      <c r="C710" s="2">
        <v>47042</v>
      </c>
      <c r="D710" s="1" t="s">
        <v>34</v>
      </c>
      <c r="E710">
        <v>84</v>
      </c>
      <c r="F710" s="2">
        <v>46081</v>
      </c>
      <c r="G710" s="1" t="s">
        <v>726</v>
      </c>
      <c r="H710" s="1" t="s">
        <v>48</v>
      </c>
      <c r="I710" s="1" t="s">
        <v>37</v>
      </c>
      <c r="J710" s="1" t="s">
        <v>704</v>
      </c>
      <c r="K710" s="1" t="s">
        <v>39</v>
      </c>
      <c r="L710">
        <v>48</v>
      </c>
      <c r="M710">
        <v>42.4</v>
      </c>
      <c r="N710">
        <v>29.2</v>
      </c>
      <c r="O710">
        <v>19.100000000000001</v>
      </c>
      <c r="P710">
        <v>2.3650000000000001E-2</v>
      </c>
      <c r="Q710">
        <v>15.06</v>
      </c>
      <c r="R710">
        <v>9.19</v>
      </c>
      <c r="S710">
        <v>8</v>
      </c>
      <c r="T710">
        <v>5</v>
      </c>
      <c r="U710">
        <v>40</v>
      </c>
      <c r="V710">
        <v>110.5</v>
      </c>
      <c r="W710">
        <v>627.4</v>
      </c>
      <c r="X710">
        <v>0.94599999999999995</v>
      </c>
      <c r="Y710">
        <v>1.75</v>
      </c>
      <c r="Z710">
        <v>4.1387500000000001E-2</v>
      </c>
      <c r="AA710">
        <v>4.3749999999999997E-2</v>
      </c>
      <c r="AB710">
        <v>771.95999999999992</v>
      </c>
      <c r="AC710">
        <v>1</v>
      </c>
      <c r="AD710" s="1" t="s">
        <v>44</v>
      </c>
      <c r="AE710">
        <v>0</v>
      </c>
      <c r="AF710">
        <v>1</v>
      </c>
      <c r="AG710">
        <v>31.611842105263161</v>
      </c>
    </row>
    <row r="711" spans="1:33">
      <c r="A711" s="1" t="s">
        <v>725</v>
      </c>
      <c r="B711" s="1" t="s">
        <v>1777</v>
      </c>
      <c r="C711" s="2">
        <v>46467</v>
      </c>
      <c r="D711" s="1" t="s">
        <v>34</v>
      </c>
      <c r="E711">
        <v>226</v>
      </c>
      <c r="F711" s="2">
        <v>46081</v>
      </c>
      <c r="G711" s="1" t="s">
        <v>726</v>
      </c>
      <c r="H711" s="1" t="s">
        <v>48</v>
      </c>
      <c r="I711" s="1" t="s">
        <v>37</v>
      </c>
      <c r="J711" s="1" t="s">
        <v>704</v>
      </c>
      <c r="K711" s="1" t="s">
        <v>39</v>
      </c>
      <c r="L711">
        <v>48</v>
      </c>
      <c r="M711">
        <v>42.4</v>
      </c>
      <c r="N711">
        <v>29.2</v>
      </c>
      <c r="O711">
        <v>19.100000000000001</v>
      </c>
      <c r="P711">
        <v>2.3650000000000001E-2</v>
      </c>
      <c r="Q711">
        <v>15.06</v>
      </c>
      <c r="R711">
        <v>9.19</v>
      </c>
      <c r="S711">
        <v>8</v>
      </c>
      <c r="T711">
        <v>5</v>
      </c>
      <c r="U711">
        <v>40</v>
      </c>
      <c r="V711">
        <v>110.5</v>
      </c>
      <c r="W711">
        <v>627.4</v>
      </c>
      <c r="X711">
        <v>0.94599999999999995</v>
      </c>
      <c r="Y711">
        <v>4.708333333333333</v>
      </c>
      <c r="Z711">
        <v>0.11135208333333332</v>
      </c>
      <c r="AA711">
        <v>0.11770833333333333</v>
      </c>
      <c r="AB711">
        <v>2076.94</v>
      </c>
      <c r="AC711">
        <v>1</v>
      </c>
      <c r="AD711" s="1" t="s">
        <v>44</v>
      </c>
      <c r="AE711">
        <v>0</v>
      </c>
      <c r="AF711">
        <v>1</v>
      </c>
      <c r="AG711">
        <v>12.697368421052632</v>
      </c>
    </row>
    <row r="712" spans="1:33">
      <c r="A712" s="1" t="s">
        <v>725</v>
      </c>
      <c r="B712" s="1" t="s">
        <v>1778</v>
      </c>
      <c r="C712" s="2">
        <v>46339</v>
      </c>
      <c r="D712" s="1" t="s">
        <v>49</v>
      </c>
      <c r="E712">
        <v>18</v>
      </c>
      <c r="F712" s="2">
        <v>46081</v>
      </c>
      <c r="G712" s="1" t="s">
        <v>726</v>
      </c>
      <c r="H712" s="1" t="s">
        <v>48</v>
      </c>
      <c r="I712" s="1" t="s">
        <v>37</v>
      </c>
      <c r="J712" s="1" t="s">
        <v>704</v>
      </c>
      <c r="K712" s="1" t="s">
        <v>39</v>
      </c>
      <c r="L712">
        <v>48</v>
      </c>
      <c r="M712">
        <v>42.4</v>
      </c>
      <c r="N712">
        <v>29.2</v>
      </c>
      <c r="O712">
        <v>19.100000000000001</v>
      </c>
      <c r="P712">
        <v>2.3650000000000001E-2</v>
      </c>
      <c r="Q712">
        <v>15.06</v>
      </c>
      <c r="R712">
        <v>9.19</v>
      </c>
      <c r="S712">
        <v>8</v>
      </c>
      <c r="T712">
        <v>5</v>
      </c>
      <c r="U712">
        <v>40</v>
      </c>
      <c r="V712">
        <v>110.5</v>
      </c>
      <c r="W712">
        <v>627.4</v>
      </c>
      <c r="X712">
        <v>0.94599999999999995</v>
      </c>
      <c r="Y712">
        <v>0.375</v>
      </c>
      <c r="Z712">
        <v>8.8687499999999999E-3</v>
      </c>
      <c r="AA712">
        <v>9.3749999999999997E-3</v>
      </c>
      <c r="AB712">
        <v>165.42</v>
      </c>
      <c r="AC712">
        <v>1</v>
      </c>
      <c r="AD712" s="1" t="s">
        <v>44</v>
      </c>
      <c r="AE712">
        <v>0</v>
      </c>
      <c r="AF712">
        <v>1</v>
      </c>
      <c r="AG712">
        <v>8.4868421052631575</v>
      </c>
    </row>
    <row r="713" spans="1:33">
      <c r="A713" s="1" t="s">
        <v>727</v>
      </c>
      <c r="B713" s="1" t="s">
        <v>1779</v>
      </c>
      <c r="C713" s="2">
        <v>46433</v>
      </c>
      <c r="D713" s="1" t="s">
        <v>34</v>
      </c>
      <c r="E713">
        <v>414</v>
      </c>
      <c r="F713" s="2">
        <v>46081</v>
      </c>
      <c r="G713" s="1" t="s">
        <v>728</v>
      </c>
      <c r="H713" s="1" t="s">
        <v>577</v>
      </c>
      <c r="I713" s="1" t="s">
        <v>37</v>
      </c>
      <c r="J713" s="1" t="s">
        <v>704</v>
      </c>
      <c r="K713" s="1" t="s">
        <v>39</v>
      </c>
      <c r="L713">
        <v>24</v>
      </c>
      <c r="M713">
        <v>44.9</v>
      </c>
      <c r="N713">
        <v>33.1</v>
      </c>
      <c r="O713">
        <v>17.100000000000001</v>
      </c>
      <c r="P713">
        <v>2.5409999999999999E-2</v>
      </c>
      <c r="Q713">
        <v>19.59</v>
      </c>
      <c r="R713">
        <v>5.42</v>
      </c>
      <c r="S713">
        <v>4</v>
      </c>
      <c r="T713">
        <v>6</v>
      </c>
      <c r="U713">
        <v>24</v>
      </c>
      <c r="V713">
        <v>117.6</v>
      </c>
      <c r="W713">
        <v>495.16</v>
      </c>
      <c r="X713">
        <v>0.60983999999999994</v>
      </c>
      <c r="Y713">
        <v>17.25</v>
      </c>
      <c r="Z713">
        <v>0.43832249999999995</v>
      </c>
      <c r="AA713">
        <v>0.71875</v>
      </c>
      <c r="AB713">
        <v>2243.88</v>
      </c>
      <c r="AC713">
        <v>1</v>
      </c>
      <c r="AD713" s="1" t="s">
        <v>40</v>
      </c>
      <c r="AE713">
        <v>1</v>
      </c>
      <c r="AF713">
        <v>0</v>
      </c>
      <c r="AG713">
        <v>11.578947368421053</v>
      </c>
    </row>
    <row r="714" spans="1:33">
      <c r="A714" s="1" t="s">
        <v>727</v>
      </c>
      <c r="B714" s="1" t="s">
        <v>1780</v>
      </c>
      <c r="C714" s="2">
        <v>46671</v>
      </c>
      <c r="D714" s="1" t="s">
        <v>34</v>
      </c>
      <c r="E714">
        <v>173</v>
      </c>
      <c r="F714" s="2">
        <v>46081</v>
      </c>
      <c r="G714" s="1" t="s">
        <v>728</v>
      </c>
      <c r="H714" s="1" t="s">
        <v>577</v>
      </c>
      <c r="I714" s="1" t="s">
        <v>37</v>
      </c>
      <c r="J714" s="1" t="s">
        <v>704</v>
      </c>
      <c r="K714" s="1" t="s">
        <v>39</v>
      </c>
      <c r="L714">
        <v>24</v>
      </c>
      <c r="M714">
        <v>44.9</v>
      </c>
      <c r="N714">
        <v>33.1</v>
      </c>
      <c r="O714">
        <v>17.100000000000001</v>
      </c>
      <c r="P714">
        <v>2.5409999999999999E-2</v>
      </c>
      <c r="Q714">
        <v>19.59</v>
      </c>
      <c r="R714">
        <v>5.42</v>
      </c>
      <c r="S714">
        <v>4</v>
      </c>
      <c r="T714">
        <v>6</v>
      </c>
      <c r="U714">
        <v>24</v>
      </c>
      <c r="V714">
        <v>117.6</v>
      </c>
      <c r="W714">
        <v>495.16</v>
      </c>
      <c r="X714">
        <v>0.60983999999999994</v>
      </c>
      <c r="Y714">
        <v>7.208333333333333</v>
      </c>
      <c r="Z714">
        <v>0.18316374999999999</v>
      </c>
      <c r="AA714">
        <v>0.30034722222222221</v>
      </c>
      <c r="AB714">
        <v>937.66</v>
      </c>
      <c r="AC714">
        <v>1</v>
      </c>
      <c r="AD714" s="1" t="s">
        <v>44</v>
      </c>
      <c r="AE714">
        <v>0</v>
      </c>
      <c r="AF714">
        <v>1</v>
      </c>
      <c r="AG714">
        <v>19.407894736842106</v>
      </c>
    </row>
    <row r="715" spans="1:33">
      <c r="A715" s="1" t="s">
        <v>727</v>
      </c>
      <c r="B715" s="1" t="s">
        <v>1781</v>
      </c>
      <c r="C715" s="2">
        <v>46247</v>
      </c>
      <c r="D715" s="1" t="s">
        <v>49</v>
      </c>
      <c r="E715">
        <v>29</v>
      </c>
      <c r="F715" s="2">
        <v>46081</v>
      </c>
      <c r="G715" s="1" t="s">
        <v>728</v>
      </c>
      <c r="H715" s="1" t="s">
        <v>577</v>
      </c>
      <c r="I715" s="1" t="s">
        <v>37</v>
      </c>
      <c r="J715" s="1" t="s">
        <v>704</v>
      </c>
      <c r="K715" s="1" t="s">
        <v>39</v>
      </c>
      <c r="L715">
        <v>24</v>
      </c>
      <c r="M715">
        <v>44.9</v>
      </c>
      <c r="N715">
        <v>33.1</v>
      </c>
      <c r="O715">
        <v>17.100000000000001</v>
      </c>
      <c r="P715">
        <v>2.5409999999999999E-2</v>
      </c>
      <c r="Q715">
        <v>19.59</v>
      </c>
      <c r="R715">
        <v>5.42</v>
      </c>
      <c r="S715">
        <v>4</v>
      </c>
      <c r="T715">
        <v>6</v>
      </c>
      <c r="U715">
        <v>24</v>
      </c>
      <c r="V715">
        <v>117.6</v>
      </c>
      <c r="W715">
        <v>495.16</v>
      </c>
      <c r="X715">
        <v>0.60983999999999994</v>
      </c>
      <c r="Y715">
        <v>1.2083333333333333</v>
      </c>
      <c r="Z715">
        <v>3.0703749999999995E-2</v>
      </c>
      <c r="AA715">
        <v>5.0347222222222217E-2</v>
      </c>
      <c r="AB715">
        <v>157.18</v>
      </c>
      <c r="AC715">
        <v>1</v>
      </c>
      <c r="AD715" s="1" t="s">
        <v>44</v>
      </c>
      <c r="AE715">
        <v>0</v>
      </c>
      <c r="AF715">
        <v>1</v>
      </c>
      <c r="AG715">
        <v>5.4605263157894743</v>
      </c>
    </row>
    <row r="716" spans="1:33">
      <c r="A716" s="1" t="s">
        <v>729</v>
      </c>
      <c r="B716" s="1" t="s">
        <v>1782</v>
      </c>
      <c r="C716" s="2">
        <v>46200</v>
      </c>
      <c r="D716" s="1" t="s">
        <v>34</v>
      </c>
      <c r="E716">
        <v>341</v>
      </c>
      <c r="F716" s="2">
        <v>46081</v>
      </c>
      <c r="G716" s="1" t="s">
        <v>730</v>
      </c>
      <c r="H716" s="1" t="s">
        <v>577</v>
      </c>
      <c r="I716" s="1" t="s">
        <v>37</v>
      </c>
      <c r="J716" s="1" t="s">
        <v>704</v>
      </c>
      <c r="K716" s="1" t="s">
        <v>39</v>
      </c>
      <c r="L716">
        <v>36</v>
      </c>
      <c r="M716">
        <v>37.299999999999997</v>
      </c>
      <c r="N716">
        <v>22.2</v>
      </c>
      <c r="O716">
        <v>20</v>
      </c>
      <c r="P716">
        <v>1.6559999999999998E-2</v>
      </c>
      <c r="Q716">
        <v>9.5</v>
      </c>
      <c r="R716">
        <v>8.5</v>
      </c>
      <c r="S716">
        <v>12</v>
      </c>
      <c r="T716">
        <v>5</v>
      </c>
      <c r="U716">
        <v>60</v>
      </c>
      <c r="V716">
        <v>115</v>
      </c>
      <c r="W716">
        <v>595</v>
      </c>
      <c r="X716">
        <v>0.99360000000000004</v>
      </c>
      <c r="Y716">
        <v>9.4722222222222214</v>
      </c>
      <c r="Z716">
        <v>0.15685999999999997</v>
      </c>
      <c r="AA716">
        <v>0.15787037037037036</v>
      </c>
      <c r="AB716">
        <v>2898.5</v>
      </c>
      <c r="AC716">
        <v>1</v>
      </c>
      <c r="AD716" s="1" t="s">
        <v>44</v>
      </c>
      <c r="AE716">
        <v>0</v>
      </c>
      <c r="AF716">
        <v>1</v>
      </c>
      <c r="AG716">
        <v>3.9144736842105265</v>
      </c>
    </row>
    <row r="717" spans="1:33">
      <c r="A717" s="1" t="s">
        <v>729</v>
      </c>
      <c r="B717" s="1" t="s">
        <v>1783</v>
      </c>
      <c r="C717" s="2">
        <v>46227</v>
      </c>
      <c r="D717" s="1" t="s">
        <v>34</v>
      </c>
      <c r="E717">
        <v>4561</v>
      </c>
      <c r="F717" s="2">
        <v>46081</v>
      </c>
      <c r="G717" s="1" t="s">
        <v>730</v>
      </c>
      <c r="H717" s="1" t="s">
        <v>577</v>
      </c>
      <c r="I717" s="1" t="s">
        <v>37</v>
      </c>
      <c r="J717" s="1" t="s">
        <v>704</v>
      </c>
      <c r="K717" s="1" t="s">
        <v>39</v>
      </c>
      <c r="L717">
        <v>36</v>
      </c>
      <c r="M717">
        <v>37.299999999999997</v>
      </c>
      <c r="N717">
        <v>22.2</v>
      </c>
      <c r="O717">
        <v>20</v>
      </c>
      <c r="P717">
        <v>1.6559999999999998E-2</v>
      </c>
      <c r="Q717">
        <v>9.5</v>
      </c>
      <c r="R717">
        <v>8.5</v>
      </c>
      <c r="S717">
        <v>12</v>
      </c>
      <c r="T717">
        <v>5</v>
      </c>
      <c r="U717">
        <v>60</v>
      </c>
      <c r="V717">
        <v>115</v>
      </c>
      <c r="W717">
        <v>595</v>
      </c>
      <c r="X717">
        <v>0.99360000000000004</v>
      </c>
      <c r="Y717">
        <v>126.69444444444444</v>
      </c>
      <c r="Z717">
        <v>2.0980599999999998</v>
      </c>
      <c r="AA717">
        <v>2.111574074074074</v>
      </c>
      <c r="AB717">
        <v>38768.5</v>
      </c>
      <c r="AC717">
        <v>3</v>
      </c>
      <c r="AD717" s="1" t="s">
        <v>40</v>
      </c>
      <c r="AE717">
        <v>3</v>
      </c>
      <c r="AF717">
        <v>0</v>
      </c>
      <c r="AG717">
        <v>4.802631578947369</v>
      </c>
    </row>
    <row r="718" spans="1:33">
      <c r="A718" s="1" t="s">
        <v>731</v>
      </c>
      <c r="B718" s="1" t="s">
        <v>1784</v>
      </c>
      <c r="C718" s="2">
        <v>46265</v>
      </c>
      <c r="D718" s="1" t="s">
        <v>34</v>
      </c>
      <c r="E718">
        <v>3043</v>
      </c>
      <c r="F718" s="2">
        <v>46081</v>
      </c>
      <c r="G718" s="1" t="s">
        <v>732</v>
      </c>
      <c r="H718" s="1" t="s">
        <v>577</v>
      </c>
      <c r="I718" s="1" t="s">
        <v>37</v>
      </c>
      <c r="J718" s="1" t="s">
        <v>704</v>
      </c>
      <c r="K718" s="1" t="s">
        <v>39</v>
      </c>
      <c r="L718">
        <v>36</v>
      </c>
      <c r="M718">
        <v>40.9</v>
      </c>
      <c r="N718">
        <v>33.6</v>
      </c>
      <c r="O718">
        <v>22.6</v>
      </c>
      <c r="P718">
        <v>3.1060000000000001E-2</v>
      </c>
      <c r="Q718">
        <v>19.95</v>
      </c>
      <c r="R718">
        <v>11.78</v>
      </c>
      <c r="S718">
        <v>6</v>
      </c>
      <c r="T718">
        <v>5</v>
      </c>
      <c r="U718">
        <v>30</v>
      </c>
      <c r="V718">
        <v>128</v>
      </c>
      <c r="W718">
        <v>623.5</v>
      </c>
      <c r="X718">
        <v>0.93179999999999996</v>
      </c>
      <c r="Y718">
        <v>84.527777777777771</v>
      </c>
      <c r="Z718">
        <v>2.6254327777777777</v>
      </c>
      <c r="AA718">
        <v>2.8175925925925922</v>
      </c>
      <c r="AB718">
        <v>35846.54</v>
      </c>
      <c r="AC718">
        <v>3</v>
      </c>
      <c r="AD718" s="1" t="s">
        <v>40</v>
      </c>
      <c r="AE718">
        <v>3</v>
      </c>
      <c r="AF718">
        <v>0</v>
      </c>
      <c r="AG718">
        <v>6.052631578947369</v>
      </c>
    </row>
    <row r="719" spans="1:33">
      <c r="A719" s="1" t="s">
        <v>733</v>
      </c>
      <c r="B719" s="1" t="s">
        <v>1785</v>
      </c>
      <c r="C719" s="2">
        <v>46903</v>
      </c>
      <c r="D719" s="1" t="s">
        <v>34</v>
      </c>
      <c r="E719">
        <v>189</v>
      </c>
      <c r="F719" s="2">
        <v>46081</v>
      </c>
      <c r="G719" s="1" t="s">
        <v>734</v>
      </c>
      <c r="H719" s="1" t="s">
        <v>577</v>
      </c>
      <c r="I719" s="1" t="s">
        <v>37</v>
      </c>
      <c r="J719" s="1" t="s">
        <v>704</v>
      </c>
      <c r="K719" s="1" t="s">
        <v>39</v>
      </c>
      <c r="L719">
        <v>36</v>
      </c>
      <c r="M719">
        <v>34.200000000000003</v>
      </c>
      <c r="N719">
        <v>27</v>
      </c>
      <c r="O719">
        <v>21.2</v>
      </c>
      <c r="P719">
        <v>1.958E-2</v>
      </c>
      <c r="Q719">
        <v>11.39</v>
      </c>
      <c r="R719">
        <v>10.3</v>
      </c>
      <c r="S719">
        <v>9</v>
      </c>
      <c r="T719">
        <v>3</v>
      </c>
      <c r="U719">
        <v>27</v>
      </c>
      <c r="V719">
        <v>78.599999999999994</v>
      </c>
      <c r="W719">
        <v>332.53000000000003</v>
      </c>
      <c r="X719">
        <v>0.52866000000000002</v>
      </c>
      <c r="Y719">
        <v>5.25</v>
      </c>
      <c r="Z719">
        <v>0.102795</v>
      </c>
      <c r="AA719">
        <v>0.19444444444444445</v>
      </c>
      <c r="AB719">
        <v>1946.7</v>
      </c>
      <c r="AC719">
        <v>1</v>
      </c>
      <c r="AD719" s="1" t="s">
        <v>44</v>
      </c>
      <c r="AE719">
        <v>0</v>
      </c>
      <c r="AF719">
        <v>1</v>
      </c>
      <c r="AG719">
        <v>27.039473684210527</v>
      </c>
    </row>
    <row r="720" spans="1:33">
      <c r="A720" s="1" t="s">
        <v>733</v>
      </c>
      <c r="B720" s="1" t="s">
        <v>1786</v>
      </c>
      <c r="C720" s="2">
        <v>47046</v>
      </c>
      <c r="D720" s="1" t="s">
        <v>34</v>
      </c>
      <c r="E720">
        <v>286</v>
      </c>
      <c r="F720" s="2">
        <v>46081</v>
      </c>
      <c r="G720" s="1" t="s">
        <v>734</v>
      </c>
      <c r="H720" s="1" t="s">
        <v>577</v>
      </c>
      <c r="I720" s="1" t="s">
        <v>37</v>
      </c>
      <c r="J720" s="1" t="s">
        <v>704</v>
      </c>
      <c r="K720" s="1" t="s">
        <v>39</v>
      </c>
      <c r="L720">
        <v>36</v>
      </c>
      <c r="M720">
        <v>34.200000000000003</v>
      </c>
      <c r="N720">
        <v>27</v>
      </c>
      <c r="O720">
        <v>21.2</v>
      </c>
      <c r="P720">
        <v>1.958E-2</v>
      </c>
      <c r="Q720">
        <v>11.39</v>
      </c>
      <c r="R720">
        <v>10.3</v>
      </c>
      <c r="S720">
        <v>9</v>
      </c>
      <c r="T720">
        <v>3</v>
      </c>
      <c r="U720">
        <v>27</v>
      </c>
      <c r="V720">
        <v>78.599999999999994</v>
      </c>
      <c r="W720">
        <v>332.53000000000003</v>
      </c>
      <c r="X720">
        <v>0.52866000000000002</v>
      </c>
      <c r="Y720">
        <v>7.9444444444444446</v>
      </c>
      <c r="Z720">
        <v>0.15555222222222223</v>
      </c>
      <c r="AA720">
        <v>0.29423868312757201</v>
      </c>
      <c r="AB720">
        <v>2945.8</v>
      </c>
      <c r="AC720">
        <v>1</v>
      </c>
      <c r="AD720" s="1" t="s">
        <v>44</v>
      </c>
      <c r="AE720">
        <v>0</v>
      </c>
      <c r="AF720">
        <v>1</v>
      </c>
      <c r="AG720">
        <v>31.743421052631579</v>
      </c>
    </row>
    <row r="721" spans="1:33">
      <c r="A721" s="1" t="s">
        <v>735</v>
      </c>
      <c r="B721" s="1" t="s">
        <v>1787</v>
      </c>
      <c r="C721" s="2">
        <v>46999</v>
      </c>
      <c r="D721" s="1" t="s">
        <v>34</v>
      </c>
      <c r="E721">
        <v>3205</v>
      </c>
      <c r="F721" s="2">
        <v>46081</v>
      </c>
      <c r="G721" s="1" t="s">
        <v>736</v>
      </c>
      <c r="H721" s="1" t="s">
        <v>48</v>
      </c>
      <c r="I721" s="1" t="s">
        <v>37</v>
      </c>
      <c r="J721" s="1" t="s">
        <v>704</v>
      </c>
      <c r="K721" s="1" t="s">
        <v>39</v>
      </c>
      <c r="L721">
        <v>48</v>
      </c>
      <c r="M721">
        <v>40.5</v>
      </c>
      <c r="N721">
        <v>22.2</v>
      </c>
      <c r="O721">
        <v>21.5</v>
      </c>
      <c r="P721">
        <v>1.933E-2</v>
      </c>
      <c r="Q721">
        <v>12.85</v>
      </c>
      <c r="R721">
        <v>4.63</v>
      </c>
      <c r="S721">
        <v>10</v>
      </c>
      <c r="T721">
        <v>4</v>
      </c>
      <c r="U721">
        <v>40</v>
      </c>
      <c r="V721">
        <v>101</v>
      </c>
      <c r="W721">
        <v>539</v>
      </c>
      <c r="X721">
        <v>0.7732</v>
      </c>
      <c r="Y721">
        <v>66.770833333333329</v>
      </c>
      <c r="Z721">
        <v>1.2906802083333333</v>
      </c>
      <c r="AA721">
        <v>1.6692708333333333</v>
      </c>
      <c r="AB721">
        <v>14839.15</v>
      </c>
      <c r="AC721">
        <v>2</v>
      </c>
      <c r="AD721" s="1" t="s">
        <v>40</v>
      </c>
      <c r="AE721">
        <v>2</v>
      </c>
      <c r="AF721">
        <v>0</v>
      </c>
      <c r="AG721">
        <v>30.197368421052634</v>
      </c>
    </row>
    <row r="722" spans="1:33">
      <c r="A722" s="1" t="s">
        <v>737</v>
      </c>
      <c r="B722" s="1" t="s">
        <v>1788</v>
      </c>
      <c r="C722" s="2">
        <v>46464</v>
      </c>
      <c r="D722" s="1" t="s">
        <v>34</v>
      </c>
      <c r="E722">
        <v>1688</v>
      </c>
      <c r="F722" s="2">
        <v>46081</v>
      </c>
      <c r="G722" s="1" t="s">
        <v>738</v>
      </c>
      <c r="H722" s="1" t="s">
        <v>48</v>
      </c>
      <c r="I722" s="1" t="s">
        <v>37</v>
      </c>
      <c r="J722" s="1" t="s">
        <v>704</v>
      </c>
      <c r="K722" s="1" t="s">
        <v>39</v>
      </c>
      <c r="L722">
        <v>48</v>
      </c>
      <c r="M722">
        <v>36.1</v>
      </c>
      <c r="N722">
        <v>24.5</v>
      </c>
      <c r="O722">
        <v>22.4</v>
      </c>
      <c r="P722">
        <v>1.9810000000000001E-2</v>
      </c>
      <c r="Q722">
        <v>14.05</v>
      </c>
      <c r="R722">
        <v>11.26</v>
      </c>
      <c r="S722">
        <v>10</v>
      </c>
      <c r="T722">
        <v>5</v>
      </c>
      <c r="U722">
        <v>50</v>
      </c>
      <c r="V722">
        <v>127</v>
      </c>
      <c r="W722">
        <v>727.5</v>
      </c>
      <c r="X722">
        <v>0.99050000000000005</v>
      </c>
      <c r="Y722">
        <v>35.166666666666664</v>
      </c>
      <c r="Z722">
        <v>0.69665166666666667</v>
      </c>
      <c r="AA722">
        <v>0.70333333333333325</v>
      </c>
      <c r="AB722">
        <v>19006.88</v>
      </c>
      <c r="AC722">
        <v>1</v>
      </c>
      <c r="AD722" s="1" t="s">
        <v>40</v>
      </c>
      <c r="AE722">
        <v>1</v>
      </c>
      <c r="AF722">
        <v>0</v>
      </c>
      <c r="AG722">
        <v>12.598684210526317</v>
      </c>
    </row>
    <row r="723" spans="1:33">
      <c r="A723" s="1" t="s">
        <v>739</v>
      </c>
      <c r="B723" s="1" t="s">
        <v>1789</v>
      </c>
      <c r="C723" s="2">
        <v>46848</v>
      </c>
      <c r="D723" s="1" t="s">
        <v>34</v>
      </c>
      <c r="E723">
        <v>4964</v>
      </c>
      <c r="F723" s="2">
        <v>46081</v>
      </c>
      <c r="G723" s="1" t="s">
        <v>740</v>
      </c>
      <c r="H723" s="1" t="s">
        <v>577</v>
      </c>
      <c r="I723" s="1" t="s">
        <v>37</v>
      </c>
      <c r="J723" s="1" t="s">
        <v>704</v>
      </c>
      <c r="K723" s="1" t="s">
        <v>39</v>
      </c>
      <c r="L723">
        <v>24</v>
      </c>
      <c r="M723">
        <v>38</v>
      </c>
      <c r="N723">
        <v>33.9</v>
      </c>
      <c r="O723">
        <v>21.1</v>
      </c>
      <c r="P723">
        <v>2.7179999999999999E-2</v>
      </c>
      <c r="Q723">
        <v>20.82</v>
      </c>
      <c r="R723">
        <v>3.9</v>
      </c>
      <c r="S723">
        <v>6</v>
      </c>
      <c r="T723">
        <v>4</v>
      </c>
      <c r="U723">
        <v>24</v>
      </c>
      <c r="V723">
        <v>99.4</v>
      </c>
      <c r="W723">
        <v>524.68000000000006</v>
      </c>
      <c r="X723">
        <v>0.65232000000000001</v>
      </c>
      <c r="Y723">
        <v>206.83333333333334</v>
      </c>
      <c r="Z723">
        <v>5.6217300000000003</v>
      </c>
      <c r="AA723">
        <v>8.6180555555555554</v>
      </c>
      <c r="AB723">
        <v>19359.599999999999</v>
      </c>
      <c r="AC723">
        <v>9</v>
      </c>
      <c r="AD723" s="1" t="s">
        <v>40</v>
      </c>
      <c r="AE723">
        <v>9</v>
      </c>
      <c r="AF723">
        <v>0</v>
      </c>
      <c r="AG723">
        <v>25.230263157894736</v>
      </c>
    </row>
    <row r="724" spans="1:33">
      <c r="A724" s="1" t="s">
        <v>741</v>
      </c>
      <c r="B724" s="1" t="s">
        <v>1790</v>
      </c>
      <c r="C724" s="2">
        <v>46490</v>
      </c>
      <c r="D724" s="1" t="s">
        <v>34</v>
      </c>
      <c r="E724">
        <v>1803</v>
      </c>
      <c r="F724" s="2">
        <v>46081</v>
      </c>
      <c r="G724" s="1" t="s">
        <v>742</v>
      </c>
      <c r="H724" s="1" t="s">
        <v>48</v>
      </c>
      <c r="I724" s="1" t="s">
        <v>37</v>
      </c>
      <c r="J724" s="1" t="s">
        <v>704</v>
      </c>
      <c r="K724" s="1" t="s">
        <v>39</v>
      </c>
      <c r="L724">
        <v>60</v>
      </c>
      <c r="M724">
        <v>37.299999999999997</v>
      </c>
      <c r="N724">
        <v>24.3</v>
      </c>
      <c r="O724">
        <v>17.600000000000001</v>
      </c>
      <c r="P724">
        <v>1.5949999999999999E-2</v>
      </c>
      <c r="Q724">
        <v>10.07</v>
      </c>
      <c r="R724">
        <v>3.67</v>
      </c>
      <c r="S724">
        <v>12</v>
      </c>
      <c r="T724">
        <v>5</v>
      </c>
      <c r="U724">
        <v>60</v>
      </c>
      <c r="V724">
        <v>103</v>
      </c>
      <c r="W724">
        <v>629.20000000000005</v>
      </c>
      <c r="X724">
        <v>0.95699999999999996</v>
      </c>
      <c r="Y724">
        <v>30.05</v>
      </c>
      <c r="Z724">
        <v>0.47929749999999999</v>
      </c>
      <c r="AA724">
        <v>0.50083333333333335</v>
      </c>
      <c r="AB724">
        <v>6617.01</v>
      </c>
      <c r="AC724">
        <v>1</v>
      </c>
      <c r="AD724" s="1" t="s">
        <v>40</v>
      </c>
      <c r="AE724">
        <v>1</v>
      </c>
      <c r="AF724">
        <v>0</v>
      </c>
      <c r="AG724">
        <v>13.453947368421053</v>
      </c>
    </row>
    <row r="725" spans="1:33">
      <c r="A725" s="1" t="s">
        <v>741</v>
      </c>
      <c r="B725" s="1" t="s">
        <v>1791</v>
      </c>
      <c r="C725" s="2">
        <v>47013</v>
      </c>
      <c r="D725" s="1" t="s">
        <v>34</v>
      </c>
      <c r="E725">
        <v>13</v>
      </c>
      <c r="F725" s="2">
        <v>46081</v>
      </c>
      <c r="G725" s="1" t="s">
        <v>742</v>
      </c>
      <c r="H725" s="1" t="s">
        <v>48</v>
      </c>
      <c r="I725" s="1" t="s">
        <v>37</v>
      </c>
      <c r="J725" s="1" t="s">
        <v>704</v>
      </c>
      <c r="K725" s="1" t="s">
        <v>39</v>
      </c>
      <c r="L725">
        <v>60</v>
      </c>
      <c r="M725">
        <v>37.299999999999997</v>
      </c>
      <c r="N725">
        <v>24.3</v>
      </c>
      <c r="O725">
        <v>17.600000000000001</v>
      </c>
      <c r="P725">
        <v>1.5949999999999999E-2</v>
      </c>
      <c r="Q725">
        <v>10.07</v>
      </c>
      <c r="R725">
        <v>3.67</v>
      </c>
      <c r="S725">
        <v>12</v>
      </c>
      <c r="T725">
        <v>5</v>
      </c>
      <c r="U725">
        <v>60</v>
      </c>
      <c r="V725">
        <v>103</v>
      </c>
      <c r="W725">
        <v>629.20000000000005</v>
      </c>
      <c r="X725">
        <v>0.95699999999999996</v>
      </c>
      <c r="Y725">
        <v>0.21666666666666667</v>
      </c>
      <c r="Z725">
        <v>3.4558333333333333E-3</v>
      </c>
      <c r="AA725">
        <v>3.6111111111111114E-3</v>
      </c>
      <c r="AB725">
        <v>47.71</v>
      </c>
      <c r="AC725">
        <v>1</v>
      </c>
      <c r="AD725" s="1" t="s">
        <v>44</v>
      </c>
      <c r="AE725">
        <v>0</v>
      </c>
      <c r="AF725">
        <v>1</v>
      </c>
      <c r="AG725">
        <v>30.657894736842106</v>
      </c>
    </row>
    <row r="726" spans="1:33">
      <c r="A726" s="1" t="s">
        <v>743</v>
      </c>
      <c r="B726" s="1" t="s">
        <v>1792</v>
      </c>
      <c r="C726" s="2">
        <v>46876</v>
      </c>
      <c r="D726" s="1" t="s">
        <v>34</v>
      </c>
      <c r="E726">
        <v>2044</v>
      </c>
      <c r="F726" s="2">
        <v>46081</v>
      </c>
      <c r="G726" s="1" t="s">
        <v>744</v>
      </c>
      <c r="H726" s="1" t="s">
        <v>48</v>
      </c>
      <c r="I726" s="1" t="s">
        <v>37</v>
      </c>
      <c r="J726" s="1" t="s">
        <v>704</v>
      </c>
      <c r="K726" s="1" t="s">
        <v>39</v>
      </c>
      <c r="L726">
        <v>60</v>
      </c>
      <c r="M726">
        <v>33.5</v>
      </c>
      <c r="N726">
        <v>25.4</v>
      </c>
      <c r="O726">
        <v>19</v>
      </c>
      <c r="P726">
        <v>1.617E-2</v>
      </c>
      <c r="Q726">
        <v>11.05</v>
      </c>
      <c r="R726">
        <v>5.42</v>
      </c>
      <c r="S726">
        <v>8</v>
      </c>
      <c r="T726">
        <v>6</v>
      </c>
      <c r="U726">
        <v>48</v>
      </c>
      <c r="V726">
        <v>129</v>
      </c>
      <c r="W726">
        <v>555.40000000000009</v>
      </c>
      <c r="X726">
        <v>0.77615999999999996</v>
      </c>
      <c r="Y726">
        <v>34.06666666666667</v>
      </c>
      <c r="Z726">
        <v>0.55085800000000007</v>
      </c>
      <c r="AA726">
        <v>0.70972222222222225</v>
      </c>
      <c r="AB726">
        <v>11078.48</v>
      </c>
      <c r="AC726">
        <v>1</v>
      </c>
      <c r="AD726" s="1" t="s">
        <v>40</v>
      </c>
      <c r="AE726">
        <v>1</v>
      </c>
      <c r="AF726">
        <v>0</v>
      </c>
      <c r="AG726">
        <v>26.151315789473685</v>
      </c>
    </row>
    <row r="727" spans="1:33">
      <c r="A727" s="1" t="s">
        <v>743</v>
      </c>
      <c r="B727" s="1" t="s">
        <v>1793</v>
      </c>
      <c r="C727" s="2">
        <v>46666</v>
      </c>
      <c r="D727" s="1" t="s">
        <v>34</v>
      </c>
      <c r="E727">
        <v>368</v>
      </c>
      <c r="F727" s="2">
        <v>46081</v>
      </c>
      <c r="G727" s="1" t="s">
        <v>744</v>
      </c>
      <c r="H727" s="1" t="s">
        <v>48</v>
      </c>
      <c r="I727" s="1" t="s">
        <v>37</v>
      </c>
      <c r="J727" s="1" t="s">
        <v>704</v>
      </c>
      <c r="K727" s="1" t="s">
        <v>39</v>
      </c>
      <c r="L727">
        <v>60</v>
      </c>
      <c r="M727">
        <v>33.5</v>
      </c>
      <c r="N727">
        <v>25.4</v>
      </c>
      <c r="O727">
        <v>19</v>
      </c>
      <c r="P727">
        <v>1.617E-2</v>
      </c>
      <c r="Q727">
        <v>11.05</v>
      </c>
      <c r="R727">
        <v>5.42</v>
      </c>
      <c r="S727">
        <v>8</v>
      </c>
      <c r="T727">
        <v>6</v>
      </c>
      <c r="U727">
        <v>48</v>
      </c>
      <c r="V727">
        <v>129</v>
      </c>
      <c r="W727">
        <v>555.40000000000009</v>
      </c>
      <c r="X727">
        <v>0.77615999999999996</v>
      </c>
      <c r="Y727">
        <v>6.1333333333333337</v>
      </c>
      <c r="Z727">
        <v>9.9176000000000014E-2</v>
      </c>
      <c r="AA727">
        <v>0.1277777777777778</v>
      </c>
      <c r="AB727">
        <v>1994.56</v>
      </c>
      <c r="AC727">
        <v>1</v>
      </c>
      <c r="AD727" s="1" t="s">
        <v>44</v>
      </c>
      <c r="AE727">
        <v>0</v>
      </c>
      <c r="AF727">
        <v>1</v>
      </c>
      <c r="AG727">
        <v>19.243421052631579</v>
      </c>
    </row>
    <row r="728" spans="1:33">
      <c r="A728" s="1" t="s">
        <v>743</v>
      </c>
      <c r="B728" s="1" t="s">
        <v>1794</v>
      </c>
      <c r="C728" s="2">
        <v>46686</v>
      </c>
      <c r="D728" s="1" t="s">
        <v>34</v>
      </c>
      <c r="E728">
        <v>1550</v>
      </c>
      <c r="F728" s="2">
        <v>46081</v>
      </c>
      <c r="G728" s="1" t="s">
        <v>744</v>
      </c>
      <c r="H728" s="1" t="s">
        <v>48</v>
      </c>
      <c r="I728" s="1" t="s">
        <v>37</v>
      </c>
      <c r="J728" s="1" t="s">
        <v>704</v>
      </c>
      <c r="K728" s="1" t="s">
        <v>39</v>
      </c>
      <c r="L728">
        <v>60</v>
      </c>
      <c r="M728">
        <v>33.5</v>
      </c>
      <c r="N728">
        <v>25.4</v>
      </c>
      <c r="O728">
        <v>19</v>
      </c>
      <c r="P728">
        <v>1.617E-2</v>
      </c>
      <c r="Q728">
        <v>11.05</v>
      </c>
      <c r="R728">
        <v>5.42</v>
      </c>
      <c r="S728">
        <v>8</v>
      </c>
      <c r="T728">
        <v>6</v>
      </c>
      <c r="U728">
        <v>48</v>
      </c>
      <c r="V728">
        <v>129</v>
      </c>
      <c r="W728">
        <v>555.40000000000009</v>
      </c>
      <c r="X728">
        <v>0.77615999999999996</v>
      </c>
      <c r="Y728">
        <v>25.833333333333332</v>
      </c>
      <c r="Z728">
        <v>0.41772500000000001</v>
      </c>
      <c r="AA728">
        <v>0.53819444444444442</v>
      </c>
      <c r="AB728">
        <v>8401</v>
      </c>
      <c r="AC728">
        <v>1</v>
      </c>
      <c r="AD728" s="1" t="s">
        <v>40</v>
      </c>
      <c r="AE728">
        <v>1</v>
      </c>
      <c r="AF728">
        <v>0</v>
      </c>
      <c r="AG728">
        <v>19.901315789473685</v>
      </c>
    </row>
    <row r="729" spans="1:33">
      <c r="A729" s="1" t="s">
        <v>745</v>
      </c>
      <c r="B729" s="1" t="s">
        <v>1795</v>
      </c>
      <c r="C729" s="2">
        <v>46205</v>
      </c>
      <c r="D729" s="1" t="s">
        <v>34</v>
      </c>
      <c r="E729">
        <v>374</v>
      </c>
      <c r="F729" s="2">
        <v>46081</v>
      </c>
      <c r="G729" s="1" t="s">
        <v>746</v>
      </c>
      <c r="H729" s="1" t="s">
        <v>48</v>
      </c>
      <c r="I729" s="1" t="s">
        <v>37</v>
      </c>
      <c r="J729" s="1" t="s">
        <v>704</v>
      </c>
      <c r="K729" s="1" t="s">
        <v>39</v>
      </c>
      <c r="L729">
        <v>60</v>
      </c>
      <c r="M729">
        <v>35.299999999999997</v>
      </c>
      <c r="N729">
        <v>30.1</v>
      </c>
      <c r="O729">
        <v>22.5</v>
      </c>
      <c r="P729">
        <v>2.3910000000000001E-2</v>
      </c>
      <c r="Q729">
        <v>14.92</v>
      </c>
      <c r="R729">
        <v>11.92</v>
      </c>
      <c r="S729">
        <v>9</v>
      </c>
      <c r="T729">
        <v>5</v>
      </c>
      <c r="U729">
        <v>45</v>
      </c>
      <c r="V729">
        <v>127.5</v>
      </c>
      <c r="W729">
        <v>696.4</v>
      </c>
      <c r="X729">
        <v>1.07595</v>
      </c>
      <c r="Y729">
        <v>6.2333333333333334</v>
      </c>
      <c r="Z729">
        <v>0.149039</v>
      </c>
      <c r="AA729">
        <v>0.13851851851851851</v>
      </c>
      <c r="AB729">
        <v>4458.08</v>
      </c>
      <c r="AC729">
        <v>1</v>
      </c>
      <c r="AD729" s="1" t="s">
        <v>44</v>
      </c>
      <c r="AE729">
        <v>0</v>
      </c>
      <c r="AF729">
        <v>1</v>
      </c>
      <c r="AG729">
        <v>4.0789473684210531</v>
      </c>
    </row>
    <row r="730" spans="1:33">
      <c r="A730" s="1" t="s">
        <v>747</v>
      </c>
      <c r="B730" s="1" t="s">
        <v>1796</v>
      </c>
      <c r="C730" s="2">
        <v>46460</v>
      </c>
      <c r="D730" s="1" t="s">
        <v>34</v>
      </c>
      <c r="E730">
        <v>18196</v>
      </c>
      <c r="F730" s="2">
        <v>46081</v>
      </c>
      <c r="G730" s="1" t="s">
        <v>748</v>
      </c>
      <c r="H730" s="1" t="s">
        <v>577</v>
      </c>
      <c r="I730" s="1" t="s">
        <v>37</v>
      </c>
      <c r="J730" s="1" t="s">
        <v>704</v>
      </c>
      <c r="K730" s="1" t="s">
        <v>39</v>
      </c>
      <c r="L730">
        <v>36</v>
      </c>
      <c r="M730">
        <v>31.9</v>
      </c>
      <c r="N730">
        <v>32</v>
      </c>
      <c r="O730">
        <v>18</v>
      </c>
      <c r="P730">
        <v>1.8370000000000001E-2</v>
      </c>
      <c r="Q730">
        <v>12.97</v>
      </c>
      <c r="R730">
        <v>10.52</v>
      </c>
      <c r="S730">
        <v>9</v>
      </c>
      <c r="T730">
        <v>6</v>
      </c>
      <c r="U730">
        <v>54</v>
      </c>
      <c r="V730">
        <v>123</v>
      </c>
      <c r="W730">
        <v>725.38</v>
      </c>
      <c r="X730">
        <v>0.99197999999999997</v>
      </c>
      <c r="Y730">
        <v>505.44444444444446</v>
      </c>
      <c r="Z730">
        <v>9.285014444444446</v>
      </c>
      <c r="AA730">
        <v>9.3600823045267489</v>
      </c>
      <c r="AB730">
        <v>191421.91999999998</v>
      </c>
      <c r="AC730">
        <v>10</v>
      </c>
      <c r="AD730" s="1" t="s">
        <v>40</v>
      </c>
      <c r="AE730">
        <v>10</v>
      </c>
      <c r="AF730">
        <v>0</v>
      </c>
      <c r="AG730">
        <v>12.467105263157896</v>
      </c>
    </row>
    <row r="731" spans="1:33">
      <c r="A731" s="1" t="s">
        <v>747</v>
      </c>
      <c r="B731" s="1" t="s">
        <v>1797</v>
      </c>
      <c r="C731" s="2">
        <v>46433</v>
      </c>
      <c r="D731" s="1" t="s">
        <v>45</v>
      </c>
      <c r="E731">
        <v>363</v>
      </c>
      <c r="F731" s="2">
        <v>46081</v>
      </c>
      <c r="G731" s="1" t="s">
        <v>748</v>
      </c>
      <c r="H731" s="1" t="s">
        <v>577</v>
      </c>
      <c r="I731" s="1" t="s">
        <v>37</v>
      </c>
      <c r="J731" s="1" t="s">
        <v>704</v>
      </c>
      <c r="K731" s="1" t="s">
        <v>39</v>
      </c>
      <c r="L731">
        <v>36</v>
      </c>
      <c r="M731">
        <v>31.9</v>
      </c>
      <c r="N731">
        <v>32</v>
      </c>
      <c r="O731">
        <v>18</v>
      </c>
      <c r="P731">
        <v>1.8370000000000001E-2</v>
      </c>
      <c r="Q731">
        <v>12.97</v>
      </c>
      <c r="R731">
        <v>10.52</v>
      </c>
      <c r="S731">
        <v>9</v>
      </c>
      <c r="T731">
        <v>6</v>
      </c>
      <c r="U731">
        <v>54</v>
      </c>
      <c r="V731">
        <v>123</v>
      </c>
      <c r="W731">
        <v>725.38</v>
      </c>
      <c r="X731">
        <v>0.99197999999999997</v>
      </c>
      <c r="Y731">
        <v>10.083333333333334</v>
      </c>
      <c r="Z731">
        <v>0.18523083333333334</v>
      </c>
      <c r="AA731">
        <v>0.18672839506172842</v>
      </c>
      <c r="AB731">
        <v>3818.7599999999998</v>
      </c>
      <c r="AC731">
        <v>1</v>
      </c>
      <c r="AD731" s="1" t="s">
        <v>44</v>
      </c>
      <c r="AE731">
        <v>0</v>
      </c>
      <c r="AF731">
        <v>1</v>
      </c>
      <c r="AG731">
        <v>11.578947368421053</v>
      </c>
    </row>
    <row r="732" spans="1:33">
      <c r="A732" s="1" t="s">
        <v>749</v>
      </c>
      <c r="B732" s="1" t="s">
        <v>1798</v>
      </c>
      <c r="C732" s="2">
        <v>46243</v>
      </c>
      <c r="D732" s="1" t="s">
        <v>34</v>
      </c>
      <c r="E732">
        <v>20201</v>
      </c>
      <c r="F732" s="2">
        <v>46081</v>
      </c>
      <c r="G732" s="1" t="s">
        <v>750</v>
      </c>
      <c r="H732" s="1" t="s">
        <v>577</v>
      </c>
      <c r="I732" s="1" t="s">
        <v>37</v>
      </c>
      <c r="J732" s="1" t="s">
        <v>704</v>
      </c>
      <c r="K732" s="1" t="s">
        <v>39</v>
      </c>
      <c r="L732">
        <v>48</v>
      </c>
      <c r="M732">
        <v>42.9</v>
      </c>
      <c r="N732">
        <v>24.8</v>
      </c>
      <c r="O732">
        <v>15.9</v>
      </c>
      <c r="P732">
        <v>1.6920000000000001E-2</v>
      </c>
      <c r="Q732">
        <v>9.34</v>
      </c>
      <c r="R732">
        <v>9.9700000000000006</v>
      </c>
      <c r="S732">
        <v>8</v>
      </c>
      <c r="T732">
        <v>6</v>
      </c>
      <c r="U732">
        <v>48</v>
      </c>
      <c r="V732">
        <v>110.4</v>
      </c>
      <c r="W732">
        <v>473.32</v>
      </c>
      <c r="X732">
        <v>0.81215999999999999</v>
      </c>
      <c r="Y732">
        <v>420.85416666666669</v>
      </c>
      <c r="Z732">
        <v>7.1208525000000007</v>
      </c>
      <c r="AA732">
        <v>8.7677951388888893</v>
      </c>
      <c r="AB732">
        <v>201403.97</v>
      </c>
      <c r="AC732">
        <v>9</v>
      </c>
      <c r="AD732" s="1" t="s">
        <v>40</v>
      </c>
      <c r="AE732">
        <v>9</v>
      </c>
      <c r="AF732">
        <v>0</v>
      </c>
      <c r="AG732">
        <v>5.3289473684210531</v>
      </c>
    </row>
    <row r="733" spans="1:33">
      <c r="A733" s="1" t="s">
        <v>751</v>
      </c>
      <c r="B733" s="1" t="s">
        <v>1799</v>
      </c>
      <c r="C733" s="2">
        <v>47065</v>
      </c>
      <c r="D733" s="1" t="s">
        <v>34</v>
      </c>
      <c r="E733">
        <v>163</v>
      </c>
      <c r="F733" s="2">
        <v>46081</v>
      </c>
      <c r="G733" s="1" t="s">
        <v>752</v>
      </c>
      <c r="H733" s="1" t="s">
        <v>577</v>
      </c>
      <c r="I733" s="1" t="s">
        <v>37</v>
      </c>
      <c r="J733" s="1" t="s">
        <v>704</v>
      </c>
      <c r="K733" s="1" t="s">
        <v>39</v>
      </c>
      <c r="L733">
        <v>60</v>
      </c>
      <c r="M733">
        <v>41.6</v>
      </c>
      <c r="N733">
        <v>31.1</v>
      </c>
      <c r="O733">
        <v>25</v>
      </c>
      <c r="P733">
        <v>3.2340000000000001E-2</v>
      </c>
      <c r="Q733">
        <v>20.73</v>
      </c>
      <c r="R733">
        <v>4.57</v>
      </c>
      <c r="S733">
        <v>6</v>
      </c>
      <c r="T733">
        <v>5</v>
      </c>
      <c r="U733">
        <v>30</v>
      </c>
      <c r="V733">
        <v>140</v>
      </c>
      <c r="W733">
        <v>646.9</v>
      </c>
      <c r="X733">
        <v>0.97019999999999995</v>
      </c>
      <c r="Y733">
        <v>2.7166666666666668</v>
      </c>
      <c r="Z733">
        <v>8.7857000000000005E-2</v>
      </c>
      <c r="AA733">
        <v>9.0555555555555556E-2</v>
      </c>
      <c r="AB733">
        <v>744.91000000000008</v>
      </c>
      <c r="AC733">
        <v>1</v>
      </c>
      <c r="AD733" s="1" t="s">
        <v>44</v>
      </c>
      <c r="AE733">
        <v>0</v>
      </c>
      <c r="AF733">
        <v>1</v>
      </c>
      <c r="AG733">
        <v>32.368421052631582</v>
      </c>
    </row>
    <row r="734" spans="1:33">
      <c r="A734" s="1" t="s">
        <v>751</v>
      </c>
      <c r="B734" s="1" t="s">
        <v>1800</v>
      </c>
      <c r="C734" s="2">
        <v>46607</v>
      </c>
      <c r="D734" s="1" t="s">
        <v>34</v>
      </c>
      <c r="E734">
        <v>155</v>
      </c>
      <c r="F734" s="2">
        <v>46081</v>
      </c>
      <c r="G734" s="1" t="s">
        <v>752</v>
      </c>
      <c r="H734" s="1" t="s">
        <v>577</v>
      </c>
      <c r="I734" s="1" t="s">
        <v>37</v>
      </c>
      <c r="J734" s="1" t="s">
        <v>704</v>
      </c>
      <c r="K734" s="1" t="s">
        <v>39</v>
      </c>
      <c r="L734">
        <v>60</v>
      </c>
      <c r="M734">
        <v>41.6</v>
      </c>
      <c r="N734">
        <v>31.1</v>
      </c>
      <c r="O734">
        <v>25</v>
      </c>
      <c r="P734">
        <v>3.2340000000000001E-2</v>
      </c>
      <c r="Q734">
        <v>20.73</v>
      </c>
      <c r="R734">
        <v>4.57</v>
      </c>
      <c r="S734">
        <v>6</v>
      </c>
      <c r="T734">
        <v>5</v>
      </c>
      <c r="U734">
        <v>30</v>
      </c>
      <c r="V734">
        <v>140</v>
      </c>
      <c r="W734">
        <v>646.9</v>
      </c>
      <c r="X734">
        <v>0.97019999999999995</v>
      </c>
      <c r="Y734">
        <v>2.5833333333333335</v>
      </c>
      <c r="Z734">
        <v>8.3545000000000008E-2</v>
      </c>
      <c r="AA734">
        <v>8.611111111111111E-2</v>
      </c>
      <c r="AB734">
        <v>708.35</v>
      </c>
      <c r="AC734">
        <v>1</v>
      </c>
      <c r="AD734" s="1" t="s">
        <v>44</v>
      </c>
      <c r="AE734">
        <v>0</v>
      </c>
      <c r="AF734">
        <v>1</v>
      </c>
      <c r="AG734">
        <v>17.30263157894737</v>
      </c>
    </row>
    <row r="735" spans="1:33">
      <c r="A735" s="1" t="s">
        <v>753</v>
      </c>
      <c r="B735" s="1" t="s">
        <v>1801</v>
      </c>
      <c r="C735" s="2">
        <v>47119</v>
      </c>
      <c r="D735" s="1" t="s">
        <v>34</v>
      </c>
      <c r="E735">
        <v>465</v>
      </c>
      <c r="F735" s="2">
        <v>46081</v>
      </c>
      <c r="G735" s="1" t="s">
        <v>754</v>
      </c>
      <c r="H735" s="1" t="s">
        <v>48</v>
      </c>
      <c r="I735" s="1" t="s">
        <v>37</v>
      </c>
      <c r="J735" s="1" t="s">
        <v>704</v>
      </c>
      <c r="K735" s="1" t="s">
        <v>39</v>
      </c>
      <c r="L735">
        <v>60</v>
      </c>
      <c r="M735">
        <v>36.700000000000003</v>
      </c>
      <c r="N735">
        <v>20.2</v>
      </c>
      <c r="O735">
        <v>21.1</v>
      </c>
      <c r="P735">
        <v>1.5640000000000001E-2</v>
      </c>
      <c r="Q735">
        <v>10.25</v>
      </c>
      <c r="R735">
        <v>10.75</v>
      </c>
      <c r="S735">
        <v>10</v>
      </c>
      <c r="T735">
        <v>4</v>
      </c>
      <c r="U735">
        <v>40</v>
      </c>
      <c r="V735">
        <v>99.4</v>
      </c>
      <c r="W735">
        <v>435</v>
      </c>
      <c r="X735">
        <v>0.62560000000000004</v>
      </c>
      <c r="Y735">
        <v>7.75</v>
      </c>
      <c r="Z735">
        <v>0.12121000000000001</v>
      </c>
      <c r="AA735">
        <v>0.19375000000000001</v>
      </c>
      <c r="AB735">
        <v>4998.75</v>
      </c>
      <c r="AC735">
        <v>1</v>
      </c>
      <c r="AD735" s="1" t="s">
        <v>44</v>
      </c>
      <c r="AE735">
        <v>0</v>
      </c>
      <c r="AF735">
        <v>1</v>
      </c>
      <c r="AG735">
        <v>34.144736842105267</v>
      </c>
    </row>
    <row r="736" spans="1:33">
      <c r="A736" s="1" t="s">
        <v>755</v>
      </c>
      <c r="B736" s="1" t="s">
        <v>1802</v>
      </c>
      <c r="C736" s="2">
        <v>46486</v>
      </c>
      <c r="D736" s="1" t="s">
        <v>34</v>
      </c>
      <c r="E736">
        <v>8032</v>
      </c>
      <c r="F736" s="2">
        <v>46081</v>
      </c>
      <c r="G736" s="1" t="s">
        <v>756</v>
      </c>
      <c r="H736" s="1" t="s">
        <v>577</v>
      </c>
      <c r="I736" s="1" t="s">
        <v>37</v>
      </c>
      <c r="J736" s="1" t="s">
        <v>704</v>
      </c>
      <c r="K736" s="1" t="s">
        <v>39</v>
      </c>
      <c r="L736">
        <v>60</v>
      </c>
      <c r="M736">
        <v>38.299999999999997</v>
      </c>
      <c r="N736">
        <v>25.7</v>
      </c>
      <c r="O736">
        <v>17.2</v>
      </c>
      <c r="P736">
        <v>1.6930000000000001E-2</v>
      </c>
      <c r="Q736">
        <v>13.27</v>
      </c>
      <c r="R736">
        <v>10.5</v>
      </c>
      <c r="S736">
        <v>9</v>
      </c>
      <c r="T736">
        <v>6</v>
      </c>
      <c r="U736">
        <v>54</v>
      </c>
      <c r="V736">
        <v>118.2</v>
      </c>
      <c r="W736">
        <v>741.57999999999993</v>
      </c>
      <c r="X736">
        <v>0.91422000000000003</v>
      </c>
      <c r="Y736">
        <v>133.86666666666667</v>
      </c>
      <c r="Z736">
        <v>2.2663626666666667</v>
      </c>
      <c r="AA736">
        <v>2.4790123456790125</v>
      </c>
      <c r="AB736">
        <v>84336</v>
      </c>
      <c r="AC736">
        <v>3</v>
      </c>
      <c r="AD736" s="1" t="s">
        <v>40</v>
      </c>
      <c r="AE736">
        <v>3</v>
      </c>
      <c r="AF736">
        <v>0</v>
      </c>
      <c r="AG736">
        <v>13.322368421052632</v>
      </c>
    </row>
    <row r="737" spans="1:33">
      <c r="A737" s="1" t="s">
        <v>757</v>
      </c>
      <c r="B737" s="1" t="s">
        <v>1803</v>
      </c>
      <c r="C737" s="2">
        <v>46573</v>
      </c>
      <c r="D737" s="1" t="s">
        <v>34</v>
      </c>
      <c r="E737">
        <v>797</v>
      </c>
      <c r="F737" s="2">
        <v>46081</v>
      </c>
      <c r="G737" s="1" t="s">
        <v>758</v>
      </c>
      <c r="H737" s="1" t="s">
        <v>48</v>
      </c>
      <c r="I737" s="1" t="s">
        <v>37</v>
      </c>
      <c r="J737" s="1" t="s">
        <v>704</v>
      </c>
      <c r="K737" s="1" t="s">
        <v>39</v>
      </c>
      <c r="L737">
        <v>60</v>
      </c>
      <c r="M737">
        <v>38.200000000000003</v>
      </c>
      <c r="N737">
        <v>30.9</v>
      </c>
      <c r="O737">
        <v>17.3</v>
      </c>
      <c r="P737">
        <v>2.0420000000000001E-2</v>
      </c>
      <c r="Q737">
        <v>13.25</v>
      </c>
      <c r="R737">
        <v>11.51</v>
      </c>
      <c r="S737">
        <v>9</v>
      </c>
      <c r="T737">
        <v>5</v>
      </c>
      <c r="U737">
        <v>45</v>
      </c>
      <c r="V737">
        <v>101.5</v>
      </c>
      <c r="W737">
        <v>621.25</v>
      </c>
      <c r="X737">
        <v>0.91890000000000005</v>
      </c>
      <c r="Y737">
        <v>13.283333333333333</v>
      </c>
      <c r="Z737">
        <v>0.27124566666666666</v>
      </c>
      <c r="AA737">
        <v>0.29518518518518516</v>
      </c>
      <c r="AB737">
        <v>9173.4699999999993</v>
      </c>
      <c r="AC737">
        <v>1</v>
      </c>
      <c r="AD737" s="1" t="s">
        <v>40</v>
      </c>
      <c r="AE737">
        <v>1</v>
      </c>
      <c r="AF737">
        <v>0</v>
      </c>
      <c r="AG737">
        <v>16.184210526315791</v>
      </c>
    </row>
    <row r="738" spans="1:33">
      <c r="A738" s="1" t="s">
        <v>759</v>
      </c>
      <c r="B738" s="1" t="s">
        <v>1804</v>
      </c>
      <c r="C738" s="2">
        <v>47008</v>
      </c>
      <c r="D738" s="1" t="s">
        <v>34</v>
      </c>
      <c r="E738">
        <v>3756</v>
      </c>
      <c r="F738" s="2">
        <v>46081</v>
      </c>
      <c r="G738" s="1" t="s">
        <v>760</v>
      </c>
      <c r="H738" s="1" t="s">
        <v>48</v>
      </c>
      <c r="I738" s="1" t="s">
        <v>37</v>
      </c>
      <c r="J738" s="1" t="s">
        <v>704</v>
      </c>
      <c r="K738" s="1" t="s">
        <v>39</v>
      </c>
      <c r="L738">
        <v>36</v>
      </c>
      <c r="M738">
        <v>36.6</v>
      </c>
      <c r="N738">
        <v>21.8</v>
      </c>
      <c r="O738">
        <v>18.399999999999999</v>
      </c>
      <c r="P738">
        <v>1.468E-2</v>
      </c>
      <c r="Q738">
        <v>11.6</v>
      </c>
      <c r="R738">
        <v>6.71</v>
      </c>
      <c r="S738">
        <v>12</v>
      </c>
      <c r="T738">
        <v>5</v>
      </c>
      <c r="U738">
        <v>60</v>
      </c>
      <c r="V738">
        <v>107</v>
      </c>
      <c r="W738">
        <v>721</v>
      </c>
      <c r="X738">
        <v>0.88080000000000003</v>
      </c>
      <c r="Y738">
        <v>104.33333333333333</v>
      </c>
      <c r="Z738">
        <v>1.5316133333333333</v>
      </c>
      <c r="AA738">
        <v>1.7388888888888887</v>
      </c>
      <c r="AB738">
        <v>25202.76</v>
      </c>
      <c r="AC738">
        <v>2</v>
      </c>
      <c r="AD738" s="1" t="s">
        <v>40</v>
      </c>
      <c r="AE738">
        <v>2</v>
      </c>
      <c r="AF738">
        <v>0</v>
      </c>
      <c r="AG738">
        <v>30.493421052631579</v>
      </c>
    </row>
    <row r="739" spans="1:33">
      <c r="A739" s="1" t="s">
        <v>759</v>
      </c>
      <c r="B739" s="1" t="s">
        <v>1805</v>
      </c>
      <c r="C739" s="2">
        <v>46330</v>
      </c>
      <c r="D739" s="1" t="s">
        <v>34</v>
      </c>
      <c r="E739">
        <v>400</v>
      </c>
      <c r="F739" s="2">
        <v>46081</v>
      </c>
      <c r="G739" s="1" t="s">
        <v>760</v>
      </c>
      <c r="H739" s="1" t="s">
        <v>48</v>
      </c>
      <c r="I739" s="1" t="s">
        <v>37</v>
      </c>
      <c r="J739" s="1" t="s">
        <v>704</v>
      </c>
      <c r="K739" s="1" t="s">
        <v>39</v>
      </c>
      <c r="L739">
        <v>36</v>
      </c>
      <c r="M739">
        <v>36.6</v>
      </c>
      <c r="N739">
        <v>21.8</v>
      </c>
      <c r="O739">
        <v>18.399999999999999</v>
      </c>
      <c r="P739">
        <v>1.468E-2</v>
      </c>
      <c r="Q739">
        <v>11.6</v>
      </c>
      <c r="R739">
        <v>6.71</v>
      </c>
      <c r="S739">
        <v>12</v>
      </c>
      <c r="T739">
        <v>5</v>
      </c>
      <c r="U739">
        <v>60</v>
      </c>
      <c r="V739">
        <v>107</v>
      </c>
      <c r="W739">
        <v>721</v>
      </c>
      <c r="X739">
        <v>0.88080000000000003</v>
      </c>
      <c r="Y739">
        <v>11.111111111111111</v>
      </c>
      <c r="Z739">
        <v>0.1631111111111111</v>
      </c>
      <c r="AA739">
        <v>0.18518518518518517</v>
      </c>
      <c r="AB739">
        <v>2684</v>
      </c>
      <c r="AC739">
        <v>1</v>
      </c>
      <c r="AD739" s="1" t="s">
        <v>44</v>
      </c>
      <c r="AE739">
        <v>0</v>
      </c>
      <c r="AF739">
        <v>1</v>
      </c>
      <c r="AG739">
        <v>8.1907894736842106</v>
      </c>
    </row>
    <row r="740" spans="1:33">
      <c r="A740" s="1" t="s">
        <v>761</v>
      </c>
      <c r="B740" s="1" t="s">
        <v>1806</v>
      </c>
      <c r="C740" s="2">
        <v>46815</v>
      </c>
      <c r="D740" s="1" t="s">
        <v>34</v>
      </c>
      <c r="E740">
        <v>1019</v>
      </c>
      <c r="F740" s="2">
        <v>46081</v>
      </c>
      <c r="G740" s="1" t="s">
        <v>762</v>
      </c>
      <c r="H740" s="1" t="s">
        <v>48</v>
      </c>
      <c r="I740" s="1" t="s">
        <v>37</v>
      </c>
      <c r="J740" s="1" t="s">
        <v>704</v>
      </c>
      <c r="K740" s="1" t="s">
        <v>39</v>
      </c>
      <c r="L740">
        <v>24</v>
      </c>
      <c r="M740">
        <v>36.799999999999997</v>
      </c>
      <c r="N740">
        <v>20.6</v>
      </c>
      <c r="O740">
        <v>18.600000000000001</v>
      </c>
      <c r="P740">
        <v>1.41E-2</v>
      </c>
      <c r="Q740">
        <v>10.93</v>
      </c>
      <c r="R740">
        <v>5.27</v>
      </c>
      <c r="S740">
        <v>12</v>
      </c>
      <c r="T740">
        <v>5</v>
      </c>
      <c r="U740">
        <v>60</v>
      </c>
      <c r="V740">
        <v>108</v>
      </c>
      <c r="W740">
        <v>680.8</v>
      </c>
      <c r="X740">
        <v>0.84599999999999997</v>
      </c>
      <c r="Y740">
        <v>42.458333333333336</v>
      </c>
      <c r="Z740">
        <v>0.59866249999999999</v>
      </c>
      <c r="AA740">
        <v>0.70763888888888893</v>
      </c>
      <c r="AB740">
        <v>5370.1299999999992</v>
      </c>
      <c r="AC740">
        <v>1</v>
      </c>
      <c r="AD740" s="1" t="s">
        <v>40</v>
      </c>
      <c r="AE740">
        <v>1</v>
      </c>
      <c r="AF740">
        <v>0</v>
      </c>
      <c r="AG740">
        <v>24.144736842105264</v>
      </c>
    </row>
    <row r="741" spans="1:33">
      <c r="A741" s="1" t="s">
        <v>761</v>
      </c>
      <c r="B741" s="1" t="s">
        <v>1807</v>
      </c>
      <c r="C741" s="2">
        <v>46844</v>
      </c>
      <c r="D741" s="1" t="s">
        <v>34</v>
      </c>
      <c r="E741">
        <v>5614</v>
      </c>
      <c r="F741" s="2">
        <v>46081</v>
      </c>
      <c r="G741" s="1" t="s">
        <v>762</v>
      </c>
      <c r="H741" s="1" t="s">
        <v>48</v>
      </c>
      <c r="I741" s="1" t="s">
        <v>37</v>
      </c>
      <c r="J741" s="1" t="s">
        <v>704</v>
      </c>
      <c r="K741" s="1" t="s">
        <v>39</v>
      </c>
      <c r="L741">
        <v>24</v>
      </c>
      <c r="M741">
        <v>36.799999999999997</v>
      </c>
      <c r="N741">
        <v>20.6</v>
      </c>
      <c r="O741">
        <v>18.600000000000001</v>
      </c>
      <c r="P741">
        <v>1.41E-2</v>
      </c>
      <c r="Q741">
        <v>10.93</v>
      </c>
      <c r="R741">
        <v>5.27</v>
      </c>
      <c r="S741">
        <v>12</v>
      </c>
      <c r="T741">
        <v>5</v>
      </c>
      <c r="U741">
        <v>60</v>
      </c>
      <c r="V741">
        <v>108</v>
      </c>
      <c r="W741">
        <v>680.8</v>
      </c>
      <c r="X741">
        <v>0.84599999999999997</v>
      </c>
      <c r="Y741">
        <v>233.91666666666666</v>
      </c>
      <c r="Z741">
        <v>3.298225</v>
      </c>
      <c r="AA741">
        <v>3.8986111111111108</v>
      </c>
      <c r="AB741">
        <v>29585.78</v>
      </c>
      <c r="AC741">
        <v>4</v>
      </c>
      <c r="AD741" s="1" t="s">
        <v>40</v>
      </c>
      <c r="AE741">
        <v>4</v>
      </c>
      <c r="AF741">
        <v>0</v>
      </c>
      <c r="AG741">
        <v>25.098684210526319</v>
      </c>
    </row>
    <row r="742" spans="1:33">
      <c r="A742" s="1" t="s">
        <v>763</v>
      </c>
      <c r="B742" s="1" t="s">
        <v>1808</v>
      </c>
      <c r="C742" s="2">
        <v>47159</v>
      </c>
      <c r="D742" s="1" t="s">
        <v>34</v>
      </c>
      <c r="E742">
        <v>10</v>
      </c>
      <c r="F742" s="2">
        <v>46081</v>
      </c>
      <c r="G742" s="1" t="s">
        <v>764</v>
      </c>
      <c r="H742" s="1" t="s">
        <v>577</v>
      </c>
      <c r="I742" s="1" t="s">
        <v>37</v>
      </c>
      <c r="J742" s="1" t="s">
        <v>704</v>
      </c>
      <c r="K742" s="1" t="s">
        <v>39</v>
      </c>
      <c r="L742">
        <v>48</v>
      </c>
      <c r="M742">
        <v>38</v>
      </c>
      <c r="N742">
        <v>26.4</v>
      </c>
      <c r="O742">
        <v>21.3</v>
      </c>
      <c r="P742">
        <v>2.137E-2</v>
      </c>
      <c r="Q742">
        <v>14.97</v>
      </c>
      <c r="R742">
        <v>10.88</v>
      </c>
      <c r="S742">
        <v>9</v>
      </c>
      <c r="T742">
        <v>5</v>
      </c>
      <c r="U742">
        <v>45</v>
      </c>
      <c r="V742">
        <v>121.5</v>
      </c>
      <c r="W742">
        <v>698.65</v>
      </c>
      <c r="X742">
        <v>0.96165</v>
      </c>
      <c r="Y742">
        <v>0.20833333333333334</v>
      </c>
      <c r="Z742">
        <v>4.4520833333333339E-3</v>
      </c>
      <c r="AA742">
        <v>4.6296296296296302E-3</v>
      </c>
      <c r="AB742">
        <v>108.80000000000001</v>
      </c>
      <c r="AC742">
        <v>1</v>
      </c>
      <c r="AD742" s="1" t="s">
        <v>44</v>
      </c>
      <c r="AE742">
        <v>0</v>
      </c>
      <c r="AF742">
        <v>1</v>
      </c>
      <c r="AG742">
        <v>35.460526315789473</v>
      </c>
    </row>
    <row r="743" spans="1:33">
      <c r="A743" s="1" t="s">
        <v>763</v>
      </c>
      <c r="B743" s="1" t="s">
        <v>1809</v>
      </c>
      <c r="C743" s="2">
        <v>46483</v>
      </c>
      <c r="D743" s="1" t="s">
        <v>34</v>
      </c>
      <c r="E743">
        <v>533</v>
      </c>
      <c r="F743" s="2">
        <v>46081</v>
      </c>
      <c r="G743" s="1" t="s">
        <v>764</v>
      </c>
      <c r="H743" s="1" t="s">
        <v>577</v>
      </c>
      <c r="I743" s="1" t="s">
        <v>37</v>
      </c>
      <c r="J743" s="1" t="s">
        <v>704</v>
      </c>
      <c r="K743" s="1" t="s">
        <v>39</v>
      </c>
      <c r="L743">
        <v>48</v>
      </c>
      <c r="M743">
        <v>38</v>
      </c>
      <c r="N743">
        <v>26.4</v>
      </c>
      <c r="O743">
        <v>21.3</v>
      </c>
      <c r="P743">
        <v>2.137E-2</v>
      </c>
      <c r="Q743">
        <v>14.97</v>
      </c>
      <c r="R743">
        <v>10.88</v>
      </c>
      <c r="S743">
        <v>9</v>
      </c>
      <c r="T743">
        <v>5</v>
      </c>
      <c r="U743">
        <v>45</v>
      </c>
      <c r="V743">
        <v>121.5</v>
      </c>
      <c r="W743">
        <v>698.65</v>
      </c>
      <c r="X743">
        <v>0.96165</v>
      </c>
      <c r="Y743">
        <v>11.104166666666666</v>
      </c>
      <c r="Z743">
        <v>0.23729604166666665</v>
      </c>
      <c r="AA743">
        <v>0.24675925925925923</v>
      </c>
      <c r="AB743">
        <v>5799.04</v>
      </c>
      <c r="AC743">
        <v>1</v>
      </c>
      <c r="AD743" s="1" t="s">
        <v>44</v>
      </c>
      <c r="AE743">
        <v>0</v>
      </c>
      <c r="AF743">
        <v>1</v>
      </c>
      <c r="AG743">
        <v>13.223684210526317</v>
      </c>
    </row>
    <row r="744" spans="1:33">
      <c r="A744" s="1" t="s">
        <v>765</v>
      </c>
      <c r="B744" s="1" t="s">
        <v>1810</v>
      </c>
      <c r="C744" s="2">
        <v>46763</v>
      </c>
      <c r="D744" s="1" t="s">
        <v>34</v>
      </c>
      <c r="E744">
        <v>7786</v>
      </c>
      <c r="F744" s="2">
        <v>46081</v>
      </c>
      <c r="G744" s="1" t="s">
        <v>766</v>
      </c>
      <c r="H744" s="1" t="s">
        <v>48</v>
      </c>
      <c r="I744" s="1" t="s">
        <v>37</v>
      </c>
      <c r="J744" s="1" t="s">
        <v>704</v>
      </c>
      <c r="K744" s="1" t="s">
        <v>39</v>
      </c>
      <c r="L744">
        <v>48</v>
      </c>
      <c r="M744">
        <v>38.9</v>
      </c>
      <c r="N744">
        <v>24.9</v>
      </c>
      <c r="O744">
        <v>15.7</v>
      </c>
      <c r="P744">
        <v>1.521E-2</v>
      </c>
      <c r="Q744">
        <v>9.66</v>
      </c>
      <c r="R744">
        <v>3.72</v>
      </c>
      <c r="S744">
        <v>12</v>
      </c>
      <c r="T744">
        <v>6</v>
      </c>
      <c r="U744">
        <v>72</v>
      </c>
      <c r="V744">
        <v>109.2</v>
      </c>
      <c r="W744">
        <v>720.52</v>
      </c>
      <c r="X744">
        <v>1.0951200000000001</v>
      </c>
      <c r="Y744">
        <v>162.20833333333334</v>
      </c>
      <c r="Z744">
        <v>2.46718875</v>
      </c>
      <c r="AA744">
        <v>2.2528935185185186</v>
      </c>
      <c r="AB744">
        <v>28963.920000000002</v>
      </c>
      <c r="AC744">
        <v>3</v>
      </c>
      <c r="AD744" s="1" t="s">
        <v>40</v>
      </c>
      <c r="AE744">
        <v>3</v>
      </c>
      <c r="AF744">
        <v>0</v>
      </c>
      <c r="AG744">
        <v>22.434210526315791</v>
      </c>
    </row>
    <row r="745" spans="1:33">
      <c r="A745" s="1" t="s">
        <v>767</v>
      </c>
      <c r="B745" s="1" t="s">
        <v>1811</v>
      </c>
      <c r="C745" s="2">
        <v>46572</v>
      </c>
      <c r="D745" s="1" t="s">
        <v>34</v>
      </c>
      <c r="E745">
        <v>1801</v>
      </c>
      <c r="F745" s="2">
        <v>46081</v>
      </c>
      <c r="G745" s="1" t="s">
        <v>768</v>
      </c>
      <c r="H745" s="1" t="s">
        <v>577</v>
      </c>
      <c r="I745" s="1" t="s">
        <v>37</v>
      </c>
      <c r="J745" s="1" t="s">
        <v>704</v>
      </c>
      <c r="K745" s="1" t="s">
        <v>39</v>
      </c>
      <c r="L745">
        <v>36</v>
      </c>
      <c r="M745">
        <v>35.200000000000003</v>
      </c>
      <c r="N745">
        <v>28.4</v>
      </c>
      <c r="O745">
        <v>24.6</v>
      </c>
      <c r="P745">
        <v>2.4590000000000001E-2</v>
      </c>
      <c r="Q745">
        <v>18.760000000000002</v>
      </c>
      <c r="R745">
        <v>6.86</v>
      </c>
      <c r="S745">
        <v>9</v>
      </c>
      <c r="T745">
        <v>2</v>
      </c>
      <c r="U745">
        <v>18</v>
      </c>
      <c r="V745">
        <v>64.2</v>
      </c>
      <c r="W745">
        <v>362.68</v>
      </c>
      <c r="X745">
        <v>0.44262000000000001</v>
      </c>
      <c r="Y745">
        <v>50.027777777777779</v>
      </c>
      <c r="Z745">
        <v>1.2301830555555555</v>
      </c>
      <c r="AA745">
        <v>2.7793209876543212</v>
      </c>
      <c r="AB745">
        <v>12354.86</v>
      </c>
      <c r="AC745">
        <v>3</v>
      </c>
      <c r="AD745" s="1" t="s">
        <v>40</v>
      </c>
      <c r="AE745">
        <v>3</v>
      </c>
      <c r="AF745">
        <v>0</v>
      </c>
      <c r="AG745">
        <v>16.151315789473685</v>
      </c>
    </row>
    <row r="746" spans="1:33">
      <c r="A746" s="1" t="s">
        <v>767</v>
      </c>
      <c r="B746" s="1" t="s">
        <v>1812</v>
      </c>
      <c r="C746" s="2">
        <v>47067</v>
      </c>
      <c r="D746" s="1" t="s">
        <v>34</v>
      </c>
      <c r="E746">
        <v>1188</v>
      </c>
      <c r="F746" s="2">
        <v>46081</v>
      </c>
      <c r="G746" s="1" t="s">
        <v>768</v>
      </c>
      <c r="H746" s="1" t="s">
        <v>577</v>
      </c>
      <c r="I746" s="1" t="s">
        <v>37</v>
      </c>
      <c r="J746" s="1" t="s">
        <v>704</v>
      </c>
      <c r="K746" s="1" t="s">
        <v>39</v>
      </c>
      <c r="L746">
        <v>36</v>
      </c>
      <c r="M746">
        <v>35.200000000000003</v>
      </c>
      <c r="N746">
        <v>28.4</v>
      </c>
      <c r="O746">
        <v>24.6</v>
      </c>
      <c r="P746">
        <v>2.4590000000000001E-2</v>
      </c>
      <c r="Q746">
        <v>18.760000000000002</v>
      </c>
      <c r="R746">
        <v>6.86</v>
      </c>
      <c r="S746">
        <v>9</v>
      </c>
      <c r="T746">
        <v>2</v>
      </c>
      <c r="U746">
        <v>18</v>
      </c>
      <c r="V746">
        <v>64.2</v>
      </c>
      <c r="W746">
        <v>362.68</v>
      </c>
      <c r="X746">
        <v>0.44262000000000001</v>
      </c>
      <c r="Y746">
        <v>33</v>
      </c>
      <c r="Z746">
        <v>0.81147000000000002</v>
      </c>
      <c r="AA746">
        <v>1.8333333333333333</v>
      </c>
      <c r="AB746">
        <v>8149.68</v>
      </c>
      <c r="AC746">
        <v>2</v>
      </c>
      <c r="AD746" s="1" t="s">
        <v>40</v>
      </c>
      <c r="AE746">
        <v>2</v>
      </c>
      <c r="AF746">
        <v>0</v>
      </c>
      <c r="AG746">
        <v>32.434210526315788</v>
      </c>
    </row>
    <row r="747" spans="1:33">
      <c r="A747" s="1" t="s">
        <v>769</v>
      </c>
      <c r="B747" s="1" t="s">
        <v>1813</v>
      </c>
      <c r="C747" s="2">
        <v>46288</v>
      </c>
      <c r="D747" s="1" t="s">
        <v>34</v>
      </c>
      <c r="E747">
        <v>1908</v>
      </c>
      <c r="F747" s="2">
        <v>46081</v>
      </c>
      <c r="G747" s="1" t="s">
        <v>770</v>
      </c>
      <c r="H747" s="1" t="s">
        <v>48</v>
      </c>
      <c r="I747" s="1" t="s">
        <v>37</v>
      </c>
      <c r="J747" s="1" t="s">
        <v>704</v>
      </c>
      <c r="K747" s="1" t="s">
        <v>39</v>
      </c>
      <c r="L747">
        <v>36</v>
      </c>
      <c r="M747">
        <v>34.6</v>
      </c>
      <c r="N747">
        <v>27.1</v>
      </c>
      <c r="O747">
        <v>18.399999999999999</v>
      </c>
      <c r="P747">
        <v>1.7250000000000001E-2</v>
      </c>
      <c r="Q747">
        <v>13.69</v>
      </c>
      <c r="R747">
        <v>8.92</v>
      </c>
      <c r="S747">
        <v>9</v>
      </c>
      <c r="T747">
        <v>5</v>
      </c>
      <c r="U747">
        <v>45</v>
      </c>
      <c r="V747">
        <v>107</v>
      </c>
      <c r="W747">
        <v>641.04999999999995</v>
      </c>
      <c r="X747">
        <v>0.77625000000000011</v>
      </c>
      <c r="Y747">
        <v>53</v>
      </c>
      <c r="Z747">
        <v>0.91425000000000012</v>
      </c>
      <c r="AA747">
        <v>1.1777777777777778</v>
      </c>
      <c r="AB747">
        <v>17019.36</v>
      </c>
      <c r="AC747">
        <v>2</v>
      </c>
      <c r="AD747" s="1" t="s">
        <v>40</v>
      </c>
      <c r="AE747">
        <v>2</v>
      </c>
      <c r="AF747">
        <v>0</v>
      </c>
      <c r="AG747">
        <v>6.8092105263157894</v>
      </c>
    </row>
    <row r="748" spans="1:33">
      <c r="A748" s="1" t="s">
        <v>769</v>
      </c>
      <c r="B748" s="1" t="s">
        <v>1814</v>
      </c>
      <c r="C748" s="2">
        <v>47120</v>
      </c>
      <c r="D748" s="1" t="s">
        <v>34</v>
      </c>
      <c r="E748">
        <v>229</v>
      </c>
      <c r="F748" s="2">
        <v>46081</v>
      </c>
      <c r="G748" s="1" t="s">
        <v>770</v>
      </c>
      <c r="H748" s="1" t="s">
        <v>48</v>
      </c>
      <c r="I748" s="1" t="s">
        <v>37</v>
      </c>
      <c r="J748" s="1" t="s">
        <v>704</v>
      </c>
      <c r="K748" s="1" t="s">
        <v>39</v>
      </c>
      <c r="L748">
        <v>36</v>
      </c>
      <c r="M748">
        <v>34.6</v>
      </c>
      <c r="N748">
        <v>27.1</v>
      </c>
      <c r="O748">
        <v>18.399999999999999</v>
      </c>
      <c r="P748">
        <v>1.7250000000000001E-2</v>
      </c>
      <c r="Q748">
        <v>13.69</v>
      </c>
      <c r="R748">
        <v>8.92</v>
      </c>
      <c r="S748">
        <v>9</v>
      </c>
      <c r="T748">
        <v>5</v>
      </c>
      <c r="U748">
        <v>45</v>
      </c>
      <c r="V748">
        <v>107</v>
      </c>
      <c r="W748">
        <v>641.04999999999995</v>
      </c>
      <c r="X748">
        <v>0.77625000000000011</v>
      </c>
      <c r="Y748">
        <v>6.3611111111111107</v>
      </c>
      <c r="Z748">
        <v>0.10972916666666667</v>
      </c>
      <c r="AA748">
        <v>0.14135802469135803</v>
      </c>
      <c r="AB748">
        <v>2042.68</v>
      </c>
      <c r="AC748">
        <v>1</v>
      </c>
      <c r="AD748" s="1" t="s">
        <v>44</v>
      </c>
      <c r="AE748">
        <v>0</v>
      </c>
      <c r="AF748">
        <v>1</v>
      </c>
      <c r="AG748">
        <v>34.17763157894737</v>
      </c>
    </row>
    <row r="749" spans="1:33">
      <c r="A749" s="1" t="s">
        <v>771</v>
      </c>
      <c r="B749" s="1" t="s">
        <v>1815</v>
      </c>
      <c r="C749" s="2">
        <v>46591</v>
      </c>
      <c r="D749" s="1" t="s">
        <v>34</v>
      </c>
      <c r="E749">
        <v>3566</v>
      </c>
      <c r="F749" s="2">
        <v>46081</v>
      </c>
      <c r="G749" s="1" t="s">
        <v>772</v>
      </c>
      <c r="H749" s="1" t="s">
        <v>577</v>
      </c>
      <c r="I749" s="1" t="s">
        <v>37</v>
      </c>
      <c r="J749" s="1" t="s">
        <v>704</v>
      </c>
      <c r="K749" s="1" t="s">
        <v>39</v>
      </c>
      <c r="L749">
        <v>48</v>
      </c>
      <c r="M749">
        <v>44.6</v>
      </c>
      <c r="N749">
        <v>27.9</v>
      </c>
      <c r="O749">
        <v>20.7</v>
      </c>
      <c r="P749">
        <v>2.5760000000000002E-2</v>
      </c>
      <c r="Q749">
        <v>16.09</v>
      </c>
      <c r="R749">
        <v>6.42</v>
      </c>
      <c r="S749">
        <v>8</v>
      </c>
      <c r="T749">
        <v>5</v>
      </c>
      <c r="U749">
        <v>40</v>
      </c>
      <c r="V749">
        <v>118.5</v>
      </c>
      <c r="W749">
        <v>668.6</v>
      </c>
      <c r="X749">
        <v>1.0304</v>
      </c>
      <c r="Y749">
        <v>74.291666666666671</v>
      </c>
      <c r="Z749">
        <v>1.9137533333333336</v>
      </c>
      <c r="AA749">
        <v>1.8572916666666668</v>
      </c>
      <c r="AB749">
        <v>22893.72</v>
      </c>
      <c r="AC749">
        <v>2</v>
      </c>
      <c r="AD749" s="1" t="s">
        <v>40</v>
      </c>
      <c r="AE749">
        <v>2</v>
      </c>
      <c r="AF749">
        <v>0</v>
      </c>
      <c r="AG749">
        <v>16.776315789473685</v>
      </c>
    </row>
    <row r="750" spans="1:33">
      <c r="A750" s="1" t="s">
        <v>771</v>
      </c>
      <c r="B750" s="1" t="s">
        <v>1816</v>
      </c>
      <c r="C750" s="2">
        <v>46657</v>
      </c>
      <c r="D750" s="1" t="s">
        <v>34</v>
      </c>
      <c r="E750">
        <v>4602</v>
      </c>
      <c r="F750" s="2">
        <v>46081</v>
      </c>
      <c r="G750" s="1" t="s">
        <v>772</v>
      </c>
      <c r="H750" s="1" t="s">
        <v>577</v>
      </c>
      <c r="I750" s="1" t="s">
        <v>37</v>
      </c>
      <c r="J750" s="1" t="s">
        <v>704</v>
      </c>
      <c r="K750" s="1" t="s">
        <v>39</v>
      </c>
      <c r="L750">
        <v>48</v>
      </c>
      <c r="M750">
        <v>44.6</v>
      </c>
      <c r="N750">
        <v>27.9</v>
      </c>
      <c r="O750">
        <v>20.7</v>
      </c>
      <c r="P750">
        <v>2.5760000000000002E-2</v>
      </c>
      <c r="Q750">
        <v>16.09</v>
      </c>
      <c r="R750">
        <v>6.42</v>
      </c>
      <c r="S750">
        <v>8</v>
      </c>
      <c r="T750">
        <v>5</v>
      </c>
      <c r="U750">
        <v>40</v>
      </c>
      <c r="V750">
        <v>118.5</v>
      </c>
      <c r="W750">
        <v>668.6</v>
      </c>
      <c r="X750">
        <v>1.0304</v>
      </c>
      <c r="Y750">
        <v>95.875</v>
      </c>
      <c r="Z750">
        <v>2.4697400000000003</v>
      </c>
      <c r="AA750">
        <v>2.3968750000000001</v>
      </c>
      <c r="AB750">
        <v>29544.84</v>
      </c>
      <c r="AC750">
        <v>3</v>
      </c>
      <c r="AD750" s="1" t="s">
        <v>40</v>
      </c>
      <c r="AE750">
        <v>3</v>
      </c>
      <c r="AF750">
        <v>0</v>
      </c>
      <c r="AG750">
        <v>18.947368421052634</v>
      </c>
    </row>
    <row r="751" spans="1:33">
      <c r="A751" s="1" t="s">
        <v>773</v>
      </c>
      <c r="B751" s="1" t="s">
        <v>1817</v>
      </c>
      <c r="C751" s="2">
        <v>46484</v>
      </c>
      <c r="D751" s="1" t="s">
        <v>34</v>
      </c>
      <c r="E751">
        <v>1232</v>
      </c>
      <c r="F751" s="2">
        <v>46081</v>
      </c>
      <c r="G751" s="1" t="s">
        <v>774</v>
      </c>
      <c r="H751" s="1" t="s">
        <v>577</v>
      </c>
      <c r="I751" s="1" t="s">
        <v>37</v>
      </c>
      <c r="J751" s="1" t="s">
        <v>704</v>
      </c>
      <c r="K751" s="1" t="s">
        <v>39</v>
      </c>
      <c r="L751">
        <v>48</v>
      </c>
      <c r="M751">
        <v>41.5</v>
      </c>
      <c r="N751">
        <v>28</v>
      </c>
      <c r="O751">
        <v>15.4</v>
      </c>
      <c r="P751">
        <v>1.789E-2</v>
      </c>
      <c r="Q751">
        <v>12.94</v>
      </c>
      <c r="R751">
        <v>10.3</v>
      </c>
      <c r="S751">
        <v>8</v>
      </c>
      <c r="T751">
        <v>4</v>
      </c>
      <c r="U751">
        <v>32</v>
      </c>
      <c r="V751">
        <v>76.599999999999994</v>
      </c>
      <c r="W751">
        <v>439.08</v>
      </c>
      <c r="X751">
        <v>0.57247999999999999</v>
      </c>
      <c r="Y751">
        <v>25.666666666666668</v>
      </c>
      <c r="Z751">
        <v>0.45917666666666668</v>
      </c>
      <c r="AA751">
        <v>0.80208333333333337</v>
      </c>
      <c r="AB751">
        <v>12689.6</v>
      </c>
      <c r="AC751">
        <v>1</v>
      </c>
      <c r="AD751" s="1" t="s">
        <v>40</v>
      </c>
      <c r="AE751">
        <v>1</v>
      </c>
      <c r="AF751">
        <v>0</v>
      </c>
      <c r="AG751">
        <v>13.256578947368421</v>
      </c>
    </row>
    <row r="752" spans="1:33">
      <c r="A752" s="1" t="s">
        <v>773</v>
      </c>
      <c r="B752" s="1" t="s">
        <v>1818</v>
      </c>
      <c r="C752" s="2">
        <v>46722</v>
      </c>
      <c r="D752" s="1" t="s">
        <v>34</v>
      </c>
      <c r="E752">
        <v>2786</v>
      </c>
      <c r="F752" s="2">
        <v>46081</v>
      </c>
      <c r="G752" s="1" t="s">
        <v>774</v>
      </c>
      <c r="H752" s="1" t="s">
        <v>577</v>
      </c>
      <c r="I752" s="1" t="s">
        <v>37</v>
      </c>
      <c r="J752" s="1" t="s">
        <v>704</v>
      </c>
      <c r="K752" s="1" t="s">
        <v>39</v>
      </c>
      <c r="L752">
        <v>48</v>
      </c>
      <c r="M752">
        <v>41.5</v>
      </c>
      <c r="N752">
        <v>28</v>
      </c>
      <c r="O752">
        <v>15.4</v>
      </c>
      <c r="P752">
        <v>1.789E-2</v>
      </c>
      <c r="Q752">
        <v>12.94</v>
      </c>
      <c r="R752">
        <v>10.3</v>
      </c>
      <c r="S752">
        <v>8</v>
      </c>
      <c r="T752">
        <v>4</v>
      </c>
      <c r="U752">
        <v>32</v>
      </c>
      <c r="V752">
        <v>76.599999999999994</v>
      </c>
      <c r="W752">
        <v>439.08</v>
      </c>
      <c r="X752">
        <v>0.57247999999999999</v>
      </c>
      <c r="Y752">
        <v>58.041666666666664</v>
      </c>
      <c r="Z752">
        <v>1.0383654166666667</v>
      </c>
      <c r="AA752">
        <v>1.8138020833333333</v>
      </c>
      <c r="AB752">
        <v>28695.800000000003</v>
      </c>
      <c r="AC752">
        <v>2</v>
      </c>
      <c r="AD752" s="1" t="s">
        <v>40</v>
      </c>
      <c r="AE752">
        <v>2</v>
      </c>
      <c r="AF752">
        <v>0</v>
      </c>
      <c r="AG752">
        <v>21.085526315789476</v>
      </c>
    </row>
    <row r="753" spans="1:33">
      <c r="A753" s="1" t="s">
        <v>773</v>
      </c>
      <c r="B753" s="1" t="s">
        <v>1819</v>
      </c>
      <c r="C753" s="2">
        <v>46953</v>
      </c>
      <c r="D753" s="1" t="s">
        <v>34</v>
      </c>
      <c r="E753">
        <v>2065</v>
      </c>
      <c r="F753" s="2">
        <v>46081</v>
      </c>
      <c r="G753" s="1" t="s">
        <v>774</v>
      </c>
      <c r="H753" s="1" t="s">
        <v>577</v>
      </c>
      <c r="I753" s="1" t="s">
        <v>37</v>
      </c>
      <c r="J753" s="1" t="s">
        <v>704</v>
      </c>
      <c r="K753" s="1" t="s">
        <v>39</v>
      </c>
      <c r="L753">
        <v>48</v>
      </c>
      <c r="M753">
        <v>41.5</v>
      </c>
      <c r="N753">
        <v>28</v>
      </c>
      <c r="O753">
        <v>15.4</v>
      </c>
      <c r="P753">
        <v>1.789E-2</v>
      </c>
      <c r="Q753">
        <v>12.94</v>
      </c>
      <c r="R753">
        <v>10.3</v>
      </c>
      <c r="S753">
        <v>8</v>
      </c>
      <c r="T753">
        <v>4</v>
      </c>
      <c r="U753">
        <v>32</v>
      </c>
      <c r="V753">
        <v>76.599999999999994</v>
      </c>
      <c r="W753">
        <v>439.08</v>
      </c>
      <c r="X753">
        <v>0.57247999999999999</v>
      </c>
      <c r="Y753">
        <v>43.020833333333336</v>
      </c>
      <c r="Z753">
        <v>0.76964270833333337</v>
      </c>
      <c r="AA753">
        <v>1.3444010416666667</v>
      </c>
      <c r="AB753">
        <v>21269.5</v>
      </c>
      <c r="AC753">
        <v>2</v>
      </c>
      <c r="AD753" s="1" t="s">
        <v>40</v>
      </c>
      <c r="AE753">
        <v>2</v>
      </c>
      <c r="AF753">
        <v>0</v>
      </c>
      <c r="AG753">
        <v>28.684210526315791</v>
      </c>
    </row>
    <row r="754" spans="1:33">
      <c r="A754" s="1" t="s">
        <v>775</v>
      </c>
      <c r="B754" s="1" t="s">
        <v>1820</v>
      </c>
      <c r="C754" s="2">
        <v>46237</v>
      </c>
      <c r="D754" s="1" t="s">
        <v>34</v>
      </c>
      <c r="E754">
        <v>19</v>
      </c>
      <c r="F754" s="2">
        <v>46081</v>
      </c>
      <c r="G754" s="1" t="s">
        <v>776</v>
      </c>
      <c r="H754" s="1" t="s">
        <v>577</v>
      </c>
      <c r="I754" s="1" t="s">
        <v>37</v>
      </c>
      <c r="J754" s="1" t="s">
        <v>704</v>
      </c>
      <c r="K754" s="1" t="s">
        <v>39</v>
      </c>
      <c r="L754">
        <v>24</v>
      </c>
      <c r="M754">
        <v>35.200000000000003</v>
      </c>
      <c r="N754">
        <v>30.7</v>
      </c>
      <c r="O754">
        <v>17.7</v>
      </c>
      <c r="P754">
        <v>1.9130000000000001E-2</v>
      </c>
      <c r="Q754">
        <v>11.97</v>
      </c>
      <c r="R754">
        <v>3.12</v>
      </c>
      <c r="S754">
        <v>7</v>
      </c>
      <c r="T754">
        <v>3</v>
      </c>
      <c r="U754">
        <v>21</v>
      </c>
      <c r="V754">
        <v>68.099999999999994</v>
      </c>
      <c r="W754">
        <v>276.37</v>
      </c>
      <c r="X754">
        <v>0.40172999999999998</v>
      </c>
      <c r="Y754">
        <v>0.79166666666666663</v>
      </c>
      <c r="Z754">
        <v>1.5144583333333333E-2</v>
      </c>
      <c r="AA754">
        <v>3.7698412698412696E-2</v>
      </c>
      <c r="AB754">
        <v>59.28</v>
      </c>
      <c r="AC754">
        <v>1</v>
      </c>
      <c r="AD754" s="1" t="s">
        <v>44</v>
      </c>
      <c r="AE754">
        <v>0</v>
      </c>
      <c r="AF754">
        <v>1</v>
      </c>
      <c r="AG754">
        <v>5.1315789473684212</v>
      </c>
    </row>
    <row r="755" spans="1:33">
      <c r="A755" s="1" t="s">
        <v>775</v>
      </c>
      <c r="B755" s="1" t="s">
        <v>1821</v>
      </c>
      <c r="C755" s="2">
        <v>46392</v>
      </c>
      <c r="D755" s="1" t="s">
        <v>34</v>
      </c>
      <c r="E755">
        <v>31</v>
      </c>
      <c r="F755" s="2">
        <v>46081</v>
      </c>
      <c r="G755" s="1" t="s">
        <v>776</v>
      </c>
      <c r="H755" s="1" t="s">
        <v>577</v>
      </c>
      <c r="I755" s="1" t="s">
        <v>37</v>
      </c>
      <c r="J755" s="1" t="s">
        <v>704</v>
      </c>
      <c r="K755" s="1" t="s">
        <v>39</v>
      </c>
      <c r="L755">
        <v>24</v>
      </c>
      <c r="M755">
        <v>35.200000000000003</v>
      </c>
      <c r="N755">
        <v>30.7</v>
      </c>
      <c r="O755">
        <v>17.7</v>
      </c>
      <c r="P755">
        <v>1.9130000000000001E-2</v>
      </c>
      <c r="Q755">
        <v>11.97</v>
      </c>
      <c r="R755">
        <v>3.12</v>
      </c>
      <c r="S755">
        <v>7</v>
      </c>
      <c r="T755">
        <v>3</v>
      </c>
      <c r="U755">
        <v>21</v>
      </c>
      <c r="V755">
        <v>68.099999999999994</v>
      </c>
      <c r="W755">
        <v>276.37</v>
      </c>
      <c r="X755">
        <v>0.40172999999999998</v>
      </c>
      <c r="Y755">
        <v>1.2916666666666667</v>
      </c>
      <c r="Z755">
        <v>2.4709583333333337E-2</v>
      </c>
      <c r="AA755">
        <v>6.1507936507936511E-2</v>
      </c>
      <c r="AB755">
        <v>96.72</v>
      </c>
      <c r="AC755">
        <v>1</v>
      </c>
      <c r="AD755" s="1" t="s">
        <v>44</v>
      </c>
      <c r="AE755">
        <v>0</v>
      </c>
      <c r="AF755">
        <v>1</v>
      </c>
      <c r="AG755">
        <v>10.230263157894738</v>
      </c>
    </row>
    <row r="756" spans="1:33">
      <c r="A756" s="1" t="s">
        <v>777</v>
      </c>
      <c r="B756" s="1" t="s">
        <v>1822</v>
      </c>
      <c r="C756" s="2">
        <v>47152</v>
      </c>
      <c r="D756" s="1" t="s">
        <v>34</v>
      </c>
      <c r="E756">
        <v>1150</v>
      </c>
      <c r="F756" s="2">
        <v>46081</v>
      </c>
      <c r="G756" s="1" t="s">
        <v>778</v>
      </c>
      <c r="H756" s="1" t="s">
        <v>48</v>
      </c>
      <c r="I756" s="1" t="s">
        <v>37</v>
      </c>
      <c r="J756" s="1" t="s">
        <v>704</v>
      </c>
      <c r="K756" s="1" t="s">
        <v>39</v>
      </c>
      <c r="L756">
        <v>48</v>
      </c>
      <c r="M756">
        <v>35.1</v>
      </c>
      <c r="N756">
        <v>21.2</v>
      </c>
      <c r="O756">
        <v>18.8</v>
      </c>
      <c r="P756">
        <v>1.3990000000000001E-2</v>
      </c>
      <c r="Q756">
        <v>9.7899999999999991</v>
      </c>
      <c r="R756">
        <v>7.42</v>
      </c>
      <c r="S756">
        <v>12</v>
      </c>
      <c r="T756">
        <v>4</v>
      </c>
      <c r="U756">
        <v>48</v>
      </c>
      <c r="V756">
        <v>90.2</v>
      </c>
      <c r="W756">
        <v>494.92</v>
      </c>
      <c r="X756">
        <v>0.67152000000000001</v>
      </c>
      <c r="Y756">
        <v>23.958333333333332</v>
      </c>
      <c r="Z756">
        <v>0.33517708333333335</v>
      </c>
      <c r="AA756">
        <v>0.49913194444444442</v>
      </c>
      <c r="AB756">
        <v>8533</v>
      </c>
      <c r="AC756">
        <v>1</v>
      </c>
      <c r="AD756" s="1" t="s">
        <v>40</v>
      </c>
      <c r="AE756">
        <v>1</v>
      </c>
      <c r="AF756">
        <v>0</v>
      </c>
      <c r="AG756">
        <v>35.23026315789474</v>
      </c>
    </row>
    <row r="757" spans="1:33">
      <c r="A757" s="1" t="s">
        <v>777</v>
      </c>
      <c r="B757" s="1" t="s">
        <v>1823</v>
      </c>
      <c r="C757" s="2">
        <v>47146</v>
      </c>
      <c r="D757" s="1" t="s">
        <v>34</v>
      </c>
      <c r="E757">
        <v>2478</v>
      </c>
      <c r="F757" s="2">
        <v>46081</v>
      </c>
      <c r="G757" s="1" t="s">
        <v>778</v>
      </c>
      <c r="H757" s="1" t="s">
        <v>48</v>
      </c>
      <c r="I757" s="1" t="s">
        <v>37</v>
      </c>
      <c r="J757" s="1" t="s">
        <v>704</v>
      </c>
      <c r="K757" s="1" t="s">
        <v>39</v>
      </c>
      <c r="L757">
        <v>48</v>
      </c>
      <c r="M757">
        <v>35.1</v>
      </c>
      <c r="N757">
        <v>21.2</v>
      </c>
      <c r="O757">
        <v>18.8</v>
      </c>
      <c r="P757">
        <v>1.3990000000000001E-2</v>
      </c>
      <c r="Q757">
        <v>9.7899999999999991</v>
      </c>
      <c r="R757">
        <v>7.42</v>
      </c>
      <c r="S757">
        <v>12</v>
      </c>
      <c r="T757">
        <v>4</v>
      </c>
      <c r="U757">
        <v>48</v>
      </c>
      <c r="V757">
        <v>90.2</v>
      </c>
      <c r="W757">
        <v>494.92</v>
      </c>
      <c r="X757">
        <v>0.67152000000000001</v>
      </c>
      <c r="Y757">
        <v>51.625</v>
      </c>
      <c r="Z757">
        <v>0.72223375000000001</v>
      </c>
      <c r="AA757">
        <v>1.0755208333333333</v>
      </c>
      <c r="AB757">
        <v>18386.759999999998</v>
      </c>
      <c r="AC757">
        <v>2</v>
      </c>
      <c r="AD757" s="1" t="s">
        <v>40</v>
      </c>
      <c r="AE757">
        <v>2</v>
      </c>
      <c r="AF757">
        <v>0</v>
      </c>
      <c r="AG757">
        <v>35.03289473684211</v>
      </c>
    </row>
    <row r="758" spans="1:33">
      <c r="A758" s="1" t="s">
        <v>777</v>
      </c>
      <c r="B758" s="1" t="s">
        <v>1824</v>
      </c>
      <c r="C758" s="2">
        <v>47039</v>
      </c>
      <c r="D758" s="1" t="s">
        <v>34</v>
      </c>
      <c r="E758">
        <v>39</v>
      </c>
      <c r="F758" s="2">
        <v>46081</v>
      </c>
      <c r="G758" s="1" t="s">
        <v>778</v>
      </c>
      <c r="H758" s="1" t="s">
        <v>48</v>
      </c>
      <c r="I758" s="1" t="s">
        <v>37</v>
      </c>
      <c r="J758" s="1" t="s">
        <v>704</v>
      </c>
      <c r="K758" s="1" t="s">
        <v>39</v>
      </c>
      <c r="L758">
        <v>48</v>
      </c>
      <c r="M758">
        <v>35.1</v>
      </c>
      <c r="N758">
        <v>21.2</v>
      </c>
      <c r="O758">
        <v>18.8</v>
      </c>
      <c r="P758">
        <v>1.3990000000000001E-2</v>
      </c>
      <c r="Q758">
        <v>9.7899999999999991</v>
      </c>
      <c r="R758">
        <v>7.42</v>
      </c>
      <c r="S758">
        <v>12</v>
      </c>
      <c r="T758">
        <v>4</v>
      </c>
      <c r="U758">
        <v>48</v>
      </c>
      <c r="V758">
        <v>90.2</v>
      </c>
      <c r="W758">
        <v>494.92</v>
      </c>
      <c r="X758">
        <v>0.67152000000000001</v>
      </c>
      <c r="Y758">
        <v>0.8125</v>
      </c>
      <c r="Z758">
        <v>1.1366875E-2</v>
      </c>
      <c r="AA758">
        <v>1.6927083333333332E-2</v>
      </c>
      <c r="AB758">
        <v>289.38</v>
      </c>
      <c r="AC758">
        <v>1</v>
      </c>
      <c r="AD758" s="1" t="s">
        <v>44</v>
      </c>
      <c r="AE758">
        <v>0</v>
      </c>
      <c r="AF758">
        <v>1</v>
      </c>
      <c r="AG758">
        <v>31.513157894736842</v>
      </c>
    </row>
    <row r="759" spans="1:33">
      <c r="A759" s="1" t="s">
        <v>779</v>
      </c>
      <c r="B759" s="1" t="s">
        <v>1825</v>
      </c>
      <c r="C759" s="2">
        <v>46394</v>
      </c>
      <c r="D759" s="1" t="s">
        <v>34</v>
      </c>
      <c r="E759">
        <v>2864</v>
      </c>
      <c r="F759" s="2">
        <v>46081</v>
      </c>
      <c r="G759" s="1" t="s">
        <v>780</v>
      </c>
      <c r="H759" s="1" t="s">
        <v>781</v>
      </c>
      <c r="I759" s="1" t="s">
        <v>37</v>
      </c>
      <c r="J759" s="1" t="s">
        <v>782</v>
      </c>
      <c r="K759" s="1" t="s">
        <v>39</v>
      </c>
      <c r="L759">
        <v>12</v>
      </c>
      <c r="M759">
        <v>50.6</v>
      </c>
      <c r="N759">
        <v>36.5</v>
      </c>
      <c r="O759">
        <v>22.4</v>
      </c>
      <c r="P759">
        <v>4.1369999999999997E-2</v>
      </c>
      <c r="Q759">
        <v>37.49</v>
      </c>
      <c r="R759">
        <v>5.68</v>
      </c>
      <c r="S759">
        <v>4</v>
      </c>
      <c r="T759">
        <v>4</v>
      </c>
      <c r="U759">
        <v>16</v>
      </c>
      <c r="V759">
        <v>104.6</v>
      </c>
      <c r="W759">
        <v>624.84</v>
      </c>
      <c r="X759">
        <v>0.66191999999999995</v>
      </c>
      <c r="Y759">
        <v>238.66666666666666</v>
      </c>
      <c r="Z759">
        <v>9.8736399999999982</v>
      </c>
      <c r="AA759">
        <v>14.916666666666666</v>
      </c>
      <c r="AB759">
        <v>16267.519999999999</v>
      </c>
      <c r="AC759">
        <v>15</v>
      </c>
      <c r="AD759" s="1" t="s">
        <v>40</v>
      </c>
      <c r="AE759">
        <v>15</v>
      </c>
      <c r="AF759">
        <v>0</v>
      </c>
      <c r="AG759">
        <v>10.296052631578949</v>
      </c>
    </row>
    <row r="760" spans="1:33">
      <c r="A760" s="1" t="s">
        <v>783</v>
      </c>
      <c r="B760" s="1" t="s">
        <v>1826</v>
      </c>
      <c r="C760" s="2">
        <v>46383</v>
      </c>
      <c r="D760" s="1" t="s">
        <v>34</v>
      </c>
      <c r="E760">
        <v>745</v>
      </c>
      <c r="F760" s="2">
        <v>46081</v>
      </c>
      <c r="G760" s="1" t="s">
        <v>784</v>
      </c>
      <c r="H760" s="1" t="s">
        <v>781</v>
      </c>
      <c r="I760" s="1" t="s">
        <v>37</v>
      </c>
      <c r="J760" s="1" t="s">
        <v>782</v>
      </c>
      <c r="K760" s="1" t="s">
        <v>39</v>
      </c>
      <c r="L760">
        <v>12</v>
      </c>
      <c r="M760">
        <v>52.5</v>
      </c>
      <c r="N760">
        <v>32.200000000000003</v>
      </c>
      <c r="O760">
        <v>22.2</v>
      </c>
      <c r="P760">
        <v>3.7530000000000001E-2</v>
      </c>
      <c r="Q760">
        <v>32.89</v>
      </c>
      <c r="R760">
        <v>1.96</v>
      </c>
      <c r="S760">
        <v>6</v>
      </c>
      <c r="T760">
        <v>3</v>
      </c>
      <c r="U760">
        <v>18</v>
      </c>
      <c r="V760">
        <v>81.599999999999994</v>
      </c>
      <c r="W760">
        <v>617.02</v>
      </c>
      <c r="X760">
        <v>0.67554000000000003</v>
      </c>
      <c r="Y760">
        <v>62.083333333333336</v>
      </c>
      <c r="Z760">
        <v>2.3299875000000001</v>
      </c>
      <c r="AA760">
        <v>3.4490740740740744</v>
      </c>
      <c r="AB760">
        <v>1460.2</v>
      </c>
      <c r="AC760">
        <v>4</v>
      </c>
      <c r="AD760" s="1" t="s">
        <v>40</v>
      </c>
      <c r="AE760">
        <v>4</v>
      </c>
      <c r="AF760">
        <v>0</v>
      </c>
      <c r="AG760">
        <v>9.9342105263157894</v>
      </c>
    </row>
    <row r="761" spans="1:33">
      <c r="A761" s="1" t="s">
        <v>783</v>
      </c>
      <c r="B761" s="1" t="s">
        <v>1827</v>
      </c>
      <c r="C761" s="2">
        <v>46831</v>
      </c>
      <c r="D761" s="1" t="s">
        <v>34</v>
      </c>
      <c r="E761">
        <v>2052</v>
      </c>
      <c r="F761" s="2">
        <v>46081</v>
      </c>
      <c r="G761" s="1" t="s">
        <v>784</v>
      </c>
      <c r="H761" s="1" t="s">
        <v>781</v>
      </c>
      <c r="I761" s="1" t="s">
        <v>37</v>
      </c>
      <c r="J761" s="1" t="s">
        <v>782</v>
      </c>
      <c r="K761" s="1" t="s">
        <v>39</v>
      </c>
      <c r="L761">
        <v>12</v>
      </c>
      <c r="M761">
        <v>52.5</v>
      </c>
      <c r="N761">
        <v>32.200000000000003</v>
      </c>
      <c r="O761">
        <v>22.2</v>
      </c>
      <c r="P761">
        <v>3.7530000000000001E-2</v>
      </c>
      <c r="Q761">
        <v>32.89</v>
      </c>
      <c r="R761">
        <v>1.96</v>
      </c>
      <c r="S761">
        <v>6</v>
      </c>
      <c r="T761">
        <v>3</v>
      </c>
      <c r="U761">
        <v>18</v>
      </c>
      <c r="V761">
        <v>81.599999999999994</v>
      </c>
      <c r="W761">
        <v>617.02</v>
      </c>
      <c r="X761">
        <v>0.67554000000000003</v>
      </c>
      <c r="Y761">
        <v>171</v>
      </c>
      <c r="Z761">
        <v>6.4176299999999999</v>
      </c>
      <c r="AA761">
        <v>9.5</v>
      </c>
      <c r="AB761">
        <v>4021.92</v>
      </c>
      <c r="AC761">
        <v>10</v>
      </c>
      <c r="AD761" s="1" t="s">
        <v>40</v>
      </c>
      <c r="AE761">
        <v>10</v>
      </c>
      <c r="AF761">
        <v>0</v>
      </c>
      <c r="AG761">
        <v>24.671052631578949</v>
      </c>
    </row>
    <row r="762" spans="1:33">
      <c r="A762" s="1" t="s">
        <v>785</v>
      </c>
      <c r="B762" s="1" t="s">
        <v>1828</v>
      </c>
      <c r="C762" s="2">
        <v>46871</v>
      </c>
      <c r="D762" s="1" t="s">
        <v>34</v>
      </c>
      <c r="E762">
        <v>2930</v>
      </c>
      <c r="F762" s="2">
        <v>46081</v>
      </c>
      <c r="G762" s="1" t="s">
        <v>786</v>
      </c>
      <c r="H762" s="1" t="s">
        <v>781</v>
      </c>
      <c r="I762" s="1" t="s">
        <v>37</v>
      </c>
      <c r="J762" s="1" t="s">
        <v>782</v>
      </c>
      <c r="K762" s="1" t="s">
        <v>39</v>
      </c>
      <c r="L762">
        <v>12</v>
      </c>
      <c r="M762">
        <v>45.8</v>
      </c>
      <c r="N762">
        <v>39.1</v>
      </c>
      <c r="O762">
        <v>27.9</v>
      </c>
      <c r="P762">
        <v>4.9959999999999997E-2</v>
      </c>
      <c r="Q762">
        <v>49.79</v>
      </c>
      <c r="R762">
        <v>5.0599999999999996</v>
      </c>
      <c r="S762">
        <v>5</v>
      </c>
      <c r="T762">
        <v>2</v>
      </c>
      <c r="U762">
        <v>10</v>
      </c>
      <c r="V762">
        <v>70.8</v>
      </c>
      <c r="W762">
        <v>522.9</v>
      </c>
      <c r="X762">
        <v>0.49959999999999999</v>
      </c>
      <c r="Y762">
        <v>244.16666666666666</v>
      </c>
      <c r="Z762">
        <v>12.198566666666666</v>
      </c>
      <c r="AA762">
        <v>24.416666666666664</v>
      </c>
      <c r="AB762">
        <v>14825.8</v>
      </c>
      <c r="AC762">
        <v>25</v>
      </c>
      <c r="AD762" s="1" t="s">
        <v>40</v>
      </c>
      <c r="AE762">
        <v>25</v>
      </c>
      <c r="AF762">
        <v>0</v>
      </c>
      <c r="AG762">
        <v>25.986842105263158</v>
      </c>
    </row>
    <row r="763" spans="1:33">
      <c r="A763" s="1" t="s">
        <v>785</v>
      </c>
      <c r="B763" s="1" t="s">
        <v>1829</v>
      </c>
      <c r="C763" s="2">
        <v>45823</v>
      </c>
      <c r="D763" s="1" t="s">
        <v>73</v>
      </c>
      <c r="E763">
        <v>234</v>
      </c>
      <c r="F763" s="2">
        <v>46081</v>
      </c>
      <c r="G763" s="1" t="s">
        <v>786</v>
      </c>
      <c r="H763" s="1" t="s">
        <v>781</v>
      </c>
      <c r="I763" s="1" t="s">
        <v>37</v>
      </c>
      <c r="J763" s="1" t="s">
        <v>782</v>
      </c>
      <c r="K763" s="1" t="s">
        <v>39</v>
      </c>
      <c r="L763">
        <v>12</v>
      </c>
      <c r="M763">
        <v>45.8</v>
      </c>
      <c r="N763">
        <v>39.1</v>
      </c>
      <c r="O763">
        <v>27.9</v>
      </c>
      <c r="P763">
        <v>4.9959999999999997E-2</v>
      </c>
      <c r="Q763">
        <v>49.79</v>
      </c>
      <c r="R763">
        <v>5.0599999999999996</v>
      </c>
      <c r="S763">
        <v>5</v>
      </c>
      <c r="T763">
        <v>2</v>
      </c>
      <c r="U763">
        <v>10</v>
      </c>
      <c r="V763">
        <v>70.8</v>
      </c>
      <c r="W763">
        <v>522.9</v>
      </c>
      <c r="X763">
        <v>0.49959999999999999</v>
      </c>
      <c r="Y763">
        <v>19.5</v>
      </c>
      <c r="Z763">
        <v>0.97421999999999997</v>
      </c>
      <c r="AA763">
        <v>1.95</v>
      </c>
      <c r="AB763">
        <v>1184.04</v>
      </c>
      <c r="AC763">
        <v>2</v>
      </c>
      <c r="AD763" s="1" t="s">
        <v>74</v>
      </c>
      <c r="AE763">
        <v>0</v>
      </c>
      <c r="AF763">
        <v>0</v>
      </c>
      <c r="AG763">
        <v>-8.4868421052631575</v>
      </c>
    </row>
    <row r="764" spans="1:33">
      <c r="A764" s="1" t="s">
        <v>787</v>
      </c>
      <c r="B764" s="1" t="s">
        <v>1830</v>
      </c>
      <c r="C764" s="2">
        <v>46938</v>
      </c>
      <c r="D764" s="1" t="s">
        <v>34</v>
      </c>
      <c r="E764">
        <v>967</v>
      </c>
      <c r="F764" s="2">
        <v>46081</v>
      </c>
      <c r="G764" s="1" t="s">
        <v>788</v>
      </c>
      <c r="H764" s="1" t="s">
        <v>781</v>
      </c>
      <c r="I764" s="1" t="s">
        <v>37</v>
      </c>
      <c r="J764" s="1" t="s">
        <v>782</v>
      </c>
      <c r="K764" s="1" t="s">
        <v>39</v>
      </c>
      <c r="L764">
        <v>24</v>
      </c>
      <c r="M764">
        <v>45.2</v>
      </c>
      <c r="N764">
        <v>30.6</v>
      </c>
      <c r="O764">
        <v>27.9</v>
      </c>
      <c r="P764">
        <v>3.8589999999999999E-2</v>
      </c>
      <c r="Q764">
        <v>36.5</v>
      </c>
      <c r="R764">
        <v>2.4900000000000002</v>
      </c>
      <c r="S764">
        <v>6</v>
      </c>
      <c r="T764">
        <v>3</v>
      </c>
      <c r="U764">
        <v>18</v>
      </c>
      <c r="V764">
        <v>98.7</v>
      </c>
      <c r="W764">
        <v>682</v>
      </c>
      <c r="X764">
        <v>0.69462000000000002</v>
      </c>
      <c r="Y764">
        <v>40.291666666666664</v>
      </c>
      <c r="Z764">
        <v>1.5548554166666666</v>
      </c>
      <c r="AA764">
        <v>2.2384259259259256</v>
      </c>
      <c r="AB764">
        <v>2407.8300000000004</v>
      </c>
      <c r="AC764">
        <v>3</v>
      </c>
      <c r="AD764" s="1" t="s">
        <v>40</v>
      </c>
      <c r="AE764">
        <v>3</v>
      </c>
      <c r="AF764">
        <v>0</v>
      </c>
      <c r="AG764">
        <v>28.190789473684212</v>
      </c>
    </row>
    <row r="765" spans="1:33">
      <c r="A765" s="1" t="s">
        <v>789</v>
      </c>
      <c r="B765" s="1" t="s">
        <v>1831</v>
      </c>
      <c r="C765" s="2">
        <v>46570</v>
      </c>
      <c r="D765" s="1" t="s">
        <v>34</v>
      </c>
      <c r="E765">
        <v>4536</v>
      </c>
      <c r="F765" s="2">
        <v>46081</v>
      </c>
      <c r="G765" s="1" t="s">
        <v>790</v>
      </c>
      <c r="H765" s="1" t="s">
        <v>781</v>
      </c>
      <c r="I765" s="1" t="s">
        <v>37</v>
      </c>
      <c r="J765" s="1" t="s">
        <v>782</v>
      </c>
      <c r="K765" s="1" t="s">
        <v>39</v>
      </c>
      <c r="L765">
        <v>24</v>
      </c>
      <c r="M765">
        <v>52.7</v>
      </c>
      <c r="N765">
        <v>30.7</v>
      </c>
      <c r="O765">
        <v>21.3</v>
      </c>
      <c r="P765">
        <v>3.4459999999999998E-2</v>
      </c>
      <c r="Q765">
        <v>31.21</v>
      </c>
      <c r="R765">
        <v>5.4</v>
      </c>
      <c r="S765">
        <v>4</v>
      </c>
      <c r="T765">
        <v>5</v>
      </c>
      <c r="U765">
        <v>20</v>
      </c>
      <c r="V765">
        <v>121.5</v>
      </c>
      <c r="W765">
        <v>649.20000000000005</v>
      </c>
      <c r="X765">
        <v>0.68919999999999992</v>
      </c>
      <c r="Y765">
        <v>189</v>
      </c>
      <c r="Z765">
        <v>6.5129399999999995</v>
      </c>
      <c r="AA765">
        <v>9.4499999999999993</v>
      </c>
      <c r="AB765">
        <v>24494.400000000001</v>
      </c>
      <c r="AC765">
        <v>10</v>
      </c>
      <c r="AD765" s="1" t="s">
        <v>40</v>
      </c>
      <c r="AE765">
        <v>10</v>
      </c>
      <c r="AF765">
        <v>0</v>
      </c>
      <c r="AG765">
        <v>16.085526315789476</v>
      </c>
    </row>
    <row r="766" spans="1:33">
      <c r="A766" s="1" t="s">
        <v>791</v>
      </c>
      <c r="B766" s="1" t="s">
        <v>1832</v>
      </c>
      <c r="C766" s="2">
        <v>47086</v>
      </c>
      <c r="D766" s="1" t="s">
        <v>34</v>
      </c>
      <c r="E766">
        <v>78</v>
      </c>
      <c r="F766" s="2">
        <v>46081</v>
      </c>
      <c r="G766" s="1" t="s">
        <v>792</v>
      </c>
      <c r="H766" s="1" t="s">
        <v>781</v>
      </c>
      <c r="I766" s="1" t="s">
        <v>37</v>
      </c>
      <c r="J766" s="1" t="s">
        <v>782</v>
      </c>
      <c r="K766" s="1" t="s">
        <v>39</v>
      </c>
      <c r="L766">
        <v>20</v>
      </c>
      <c r="M766">
        <v>45.9</v>
      </c>
      <c r="N766">
        <v>31.4</v>
      </c>
      <c r="O766">
        <v>21.6</v>
      </c>
      <c r="P766">
        <v>3.1130000000000001E-2</v>
      </c>
      <c r="Q766">
        <v>31.1</v>
      </c>
      <c r="R766">
        <v>3.88</v>
      </c>
      <c r="S766">
        <v>6</v>
      </c>
      <c r="T766">
        <v>3</v>
      </c>
      <c r="U766">
        <v>18</v>
      </c>
      <c r="V766">
        <v>79.800000000000011</v>
      </c>
      <c r="W766">
        <v>584.80000000000007</v>
      </c>
      <c r="X766">
        <v>0.56034000000000006</v>
      </c>
      <c r="Y766">
        <v>3.9</v>
      </c>
      <c r="Z766">
        <v>0.121407</v>
      </c>
      <c r="AA766">
        <v>0.21666666666666667</v>
      </c>
      <c r="AB766">
        <v>302.64</v>
      </c>
      <c r="AC766">
        <v>1</v>
      </c>
      <c r="AD766" s="1" t="s">
        <v>44</v>
      </c>
      <c r="AE766">
        <v>0</v>
      </c>
      <c r="AF766">
        <v>1</v>
      </c>
      <c r="AG766">
        <v>33.059210526315788</v>
      </c>
    </row>
    <row r="767" spans="1:33">
      <c r="A767" s="1" t="s">
        <v>791</v>
      </c>
      <c r="B767" s="1" t="s">
        <v>1833</v>
      </c>
      <c r="C767" s="2">
        <v>47002</v>
      </c>
      <c r="D767" s="1" t="s">
        <v>34</v>
      </c>
      <c r="E767">
        <v>2693</v>
      </c>
      <c r="F767" s="2">
        <v>46081</v>
      </c>
      <c r="G767" s="1" t="s">
        <v>792</v>
      </c>
      <c r="H767" s="1" t="s">
        <v>781</v>
      </c>
      <c r="I767" s="1" t="s">
        <v>37</v>
      </c>
      <c r="J767" s="1" t="s">
        <v>782</v>
      </c>
      <c r="K767" s="1" t="s">
        <v>39</v>
      </c>
      <c r="L767">
        <v>20</v>
      </c>
      <c r="M767">
        <v>45.9</v>
      </c>
      <c r="N767">
        <v>31.4</v>
      </c>
      <c r="O767">
        <v>21.6</v>
      </c>
      <c r="P767">
        <v>3.1130000000000001E-2</v>
      </c>
      <c r="Q767">
        <v>31.1</v>
      </c>
      <c r="R767">
        <v>3.88</v>
      </c>
      <c r="S767">
        <v>6</v>
      </c>
      <c r="T767">
        <v>3</v>
      </c>
      <c r="U767">
        <v>18</v>
      </c>
      <c r="V767">
        <v>79.800000000000011</v>
      </c>
      <c r="W767">
        <v>584.80000000000007</v>
      </c>
      <c r="X767">
        <v>0.56034000000000006</v>
      </c>
      <c r="Y767">
        <v>134.65</v>
      </c>
      <c r="Z767">
        <v>4.1916545000000003</v>
      </c>
      <c r="AA767">
        <v>7.4805555555555561</v>
      </c>
      <c r="AB767">
        <v>10448.84</v>
      </c>
      <c r="AC767">
        <v>8</v>
      </c>
      <c r="AD767" s="1" t="s">
        <v>40</v>
      </c>
      <c r="AE767">
        <v>8</v>
      </c>
      <c r="AF767">
        <v>0</v>
      </c>
      <c r="AG767">
        <v>30.296052631578949</v>
      </c>
    </row>
    <row r="768" spans="1:33">
      <c r="A768" s="1" t="s">
        <v>791</v>
      </c>
      <c r="B768" s="1" t="s">
        <v>1834</v>
      </c>
      <c r="C768" s="2">
        <v>46414</v>
      </c>
      <c r="D768" s="1" t="s">
        <v>34</v>
      </c>
      <c r="E768">
        <v>2195</v>
      </c>
      <c r="F768" s="2">
        <v>46081</v>
      </c>
      <c r="G768" s="1" t="s">
        <v>792</v>
      </c>
      <c r="H768" s="1" t="s">
        <v>781</v>
      </c>
      <c r="I768" s="1" t="s">
        <v>37</v>
      </c>
      <c r="J768" s="1" t="s">
        <v>782</v>
      </c>
      <c r="K768" s="1" t="s">
        <v>39</v>
      </c>
      <c r="L768">
        <v>20</v>
      </c>
      <c r="M768">
        <v>45.9</v>
      </c>
      <c r="N768">
        <v>31.4</v>
      </c>
      <c r="O768">
        <v>21.6</v>
      </c>
      <c r="P768">
        <v>3.1130000000000001E-2</v>
      </c>
      <c r="Q768">
        <v>31.1</v>
      </c>
      <c r="R768">
        <v>3.88</v>
      </c>
      <c r="S768">
        <v>6</v>
      </c>
      <c r="T768">
        <v>3</v>
      </c>
      <c r="U768">
        <v>18</v>
      </c>
      <c r="V768">
        <v>79.800000000000011</v>
      </c>
      <c r="W768">
        <v>584.80000000000007</v>
      </c>
      <c r="X768">
        <v>0.56034000000000006</v>
      </c>
      <c r="Y768">
        <v>109.75</v>
      </c>
      <c r="Z768">
        <v>3.4165175000000003</v>
      </c>
      <c r="AA768">
        <v>6.0972222222222223</v>
      </c>
      <c r="AB768">
        <v>8516.6</v>
      </c>
      <c r="AC768">
        <v>7</v>
      </c>
      <c r="AD768" s="1" t="s">
        <v>40</v>
      </c>
      <c r="AE768">
        <v>7</v>
      </c>
      <c r="AF768">
        <v>0</v>
      </c>
      <c r="AG768">
        <v>10.953947368421053</v>
      </c>
    </row>
    <row r="769" spans="1:33">
      <c r="A769" s="1" t="s">
        <v>793</v>
      </c>
      <c r="B769" s="1" t="s">
        <v>1835</v>
      </c>
      <c r="C769" s="2">
        <v>46515</v>
      </c>
      <c r="D769" s="1" t="s">
        <v>34</v>
      </c>
      <c r="E769">
        <v>672</v>
      </c>
      <c r="F769" s="2">
        <v>46081</v>
      </c>
      <c r="G769" s="1" t="s">
        <v>794</v>
      </c>
      <c r="H769" s="1" t="s">
        <v>781</v>
      </c>
      <c r="I769" s="1" t="s">
        <v>37</v>
      </c>
      <c r="J769" s="1" t="s">
        <v>782</v>
      </c>
      <c r="K769" s="1" t="s">
        <v>39</v>
      </c>
      <c r="L769">
        <v>20</v>
      </c>
      <c r="M769">
        <v>45.4</v>
      </c>
      <c r="N769">
        <v>30.2</v>
      </c>
      <c r="O769">
        <v>27.8</v>
      </c>
      <c r="P769">
        <v>3.8120000000000001E-2</v>
      </c>
      <c r="Q769">
        <v>36.840000000000003</v>
      </c>
      <c r="R769">
        <v>4.32</v>
      </c>
      <c r="S769">
        <v>6</v>
      </c>
      <c r="T769">
        <v>3</v>
      </c>
      <c r="U769">
        <v>18</v>
      </c>
      <c r="V769">
        <v>98.4</v>
      </c>
      <c r="W769">
        <v>688.12000000000012</v>
      </c>
      <c r="X769">
        <v>0.68615999999999999</v>
      </c>
      <c r="Y769">
        <v>33.6</v>
      </c>
      <c r="Z769">
        <v>1.2808320000000002</v>
      </c>
      <c r="AA769">
        <v>1.8666666666666667</v>
      </c>
      <c r="AB769">
        <v>2903.04</v>
      </c>
      <c r="AC769">
        <v>2</v>
      </c>
      <c r="AD769" s="1" t="s">
        <v>40</v>
      </c>
      <c r="AE769">
        <v>2</v>
      </c>
      <c r="AF769">
        <v>0</v>
      </c>
      <c r="AG769">
        <v>14.276315789473685</v>
      </c>
    </row>
    <row r="770" spans="1:33">
      <c r="A770" s="1" t="s">
        <v>795</v>
      </c>
      <c r="B770" s="1" t="s">
        <v>1836</v>
      </c>
      <c r="C770" s="2">
        <v>47125</v>
      </c>
      <c r="D770" s="1" t="s">
        <v>34</v>
      </c>
      <c r="E770">
        <v>3289</v>
      </c>
      <c r="F770" s="2">
        <v>46081</v>
      </c>
      <c r="G770" s="1" t="s">
        <v>796</v>
      </c>
      <c r="H770" s="1" t="s">
        <v>781</v>
      </c>
      <c r="I770" s="1" t="s">
        <v>37</v>
      </c>
      <c r="J770" s="1" t="s">
        <v>782</v>
      </c>
      <c r="K770" s="1" t="s">
        <v>39</v>
      </c>
      <c r="L770">
        <v>12</v>
      </c>
      <c r="M770">
        <v>48.8</v>
      </c>
      <c r="N770">
        <v>32.6</v>
      </c>
      <c r="O770">
        <v>25.9</v>
      </c>
      <c r="P770">
        <v>4.1200000000000001E-2</v>
      </c>
      <c r="Q770">
        <v>36.92</v>
      </c>
      <c r="R770">
        <v>4.91</v>
      </c>
      <c r="S770">
        <v>4</v>
      </c>
      <c r="T770">
        <v>4</v>
      </c>
      <c r="U770">
        <v>16</v>
      </c>
      <c r="V770">
        <v>118.6</v>
      </c>
      <c r="W770">
        <v>615.72</v>
      </c>
      <c r="X770">
        <v>0.65920000000000001</v>
      </c>
      <c r="Y770">
        <v>274.08333333333331</v>
      </c>
      <c r="Z770">
        <v>11.292233333333332</v>
      </c>
      <c r="AA770">
        <v>17.130208333333332</v>
      </c>
      <c r="AB770">
        <v>16148.99</v>
      </c>
      <c r="AC770">
        <v>18</v>
      </c>
      <c r="AD770" s="1" t="s">
        <v>40</v>
      </c>
      <c r="AE770">
        <v>18</v>
      </c>
      <c r="AF770">
        <v>0</v>
      </c>
      <c r="AG770">
        <v>34.342105263157897</v>
      </c>
    </row>
    <row r="771" spans="1:33">
      <c r="A771" s="1" t="s">
        <v>797</v>
      </c>
      <c r="B771" s="1" t="s">
        <v>1837</v>
      </c>
      <c r="C771" s="2">
        <v>46527</v>
      </c>
      <c r="D771" s="1" t="s">
        <v>34</v>
      </c>
      <c r="E771">
        <v>107</v>
      </c>
      <c r="F771" s="2">
        <v>46081</v>
      </c>
      <c r="G771" s="1" t="s">
        <v>798</v>
      </c>
      <c r="H771" s="1" t="s">
        <v>781</v>
      </c>
      <c r="I771" s="1" t="s">
        <v>37</v>
      </c>
      <c r="J771" s="1" t="s">
        <v>782</v>
      </c>
      <c r="K771" s="1" t="s">
        <v>39</v>
      </c>
      <c r="L771">
        <v>10</v>
      </c>
      <c r="M771">
        <v>45.4</v>
      </c>
      <c r="N771">
        <v>37.299999999999997</v>
      </c>
      <c r="O771">
        <v>24.1</v>
      </c>
      <c r="P771">
        <v>4.0809999999999999E-2</v>
      </c>
      <c r="Q771">
        <v>40.35</v>
      </c>
      <c r="R771">
        <v>5.5</v>
      </c>
      <c r="S771">
        <v>6</v>
      </c>
      <c r="T771">
        <v>2</v>
      </c>
      <c r="U771">
        <v>12</v>
      </c>
      <c r="V771">
        <v>63.2</v>
      </c>
      <c r="W771">
        <v>509.2000000000001</v>
      </c>
      <c r="X771">
        <v>0.48971999999999999</v>
      </c>
      <c r="Y771">
        <v>10.7</v>
      </c>
      <c r="Z771">
        <v>0.43666699999999997</v>
      </c>
      <c r="AA771">
        <v>0.89166666666666661</v>
      </c>
      <c r="AB771">
        <v>588.5</v>
      </c>
      <c r="AC771">
        <v>1</v>
      </c>
      <c r="AD771" s="1" t="s">
        <v>40</v>
      </c>
      <c r="AE771">
        <v>1</v>
      </c>
      <c r="AF771">
        <v>0</v>
      </c>
      <c r="AG771">
        <v>14.671052631578949</v>
      </c>
    </row>
    <row r="772" spans="1:33">
      <c r="A772" s="1" t="s">
        <v>797</v>
      </c>
      <c r="B772" s="1" t="s">
        <v>1838</v>
      </c>
      <c r="C772" s="2">
        <v>46801</v>
      </c>
      <c r="D772" s="1" t="s">
        <v>34</v>
      </c>
      <c r="E772">
        <v>1100</v>
      </c>
      <c r="F772" s="2">
        <v>46081</v>
      </c>
      <c r="G772" s="1" t="s">
        <v>798</v>
      </c>
      <c r="H772" s="1" t="s">
        <v>781</v>
      </c>
      <c r="I772" s="1" t="s">
        <v>37</v>
      </c>
      <c r="J772" s="1" t="s">
        <v>782</v>
      </c>
      <c r="K772" s="1" t="s">
        <v>39</v>
      </c>
      <c r="L772">
        <v>10</v>
      </c>
      <c r="M772">
        <v>45.4</v>
      </c>
      <c r="N772">
        <v>37.299999999999997</v>
      </c>
      <c r="O772">
        <v>24.1</v>
      </c>
      <c r="P772">
        <v>4.0809999999999999E-2</v>
      </c>
      <c r="Q772">
        <v>40.35</v>
      </c>
      <c r="R772">
        <v>5.5</v>
      </c>
      <c r="S772">
        <v>6</v>
      </c>
      <c r="T772">
        <v>2</v>
      </c>
      <c r="U772">
        <v>12</v>
      </c>
      <c r="V772">
        <v>63.2</v>
      </c>
      <c r="W772">
        <v>509.2000000000001</v>
      </c>
      <c r="X772">
        <v>0.48971999999999999</v>
      </c>
      <c r="Y772">
        <v>110</v>
      </c>
      <c r="Z772">
        <v>4.4890999999999996</v>
      </c>
      <c r="AA772">
        <v>9.1666666666666661</v>
      </c>
      <c r="AB772">
        <v>6050</v>
      </c>
      <c r="AC772">
        <v>10</v>
      </c>
      <c r="AD772" s="1" t="s">
        <v>40</v>
      </c>
      <c r="AE772">
        <v>10</v>
      </c>
      <c r="AF772">
        <v>0</v>
      </c>
      <c r="AG772">
        <v>23.684210526315791</v>
      </c>
    </row>
    <row r="773" spans="1:33">
      <c r="A773" s="1" t="s">
        <v>797</v>
      </c>
      <c r="B773" s="1" t="s">
        <v>1839</v>
      </c>
      <c r="C773" s="2">
        <v>46179</v>
      </c>
      <c r="D773" s="1" t="s">
        <v>45</v>
      </c>
      <c r="E773">
        <v>24</v>
      </c>
      <c r="F773" s="2">
        <v>46081</v>
      </c>
      <c r="G773" s="1" t="s">
        <v>798</v>
      </c>
      <c r="H773" s="1" t="s">
        <v>781</v>
      </c>
      <c r="I773" s="1" t="s">
        <v>37</v>
      </c>
      <c r="J773" s="1" t="s">
        <v>782</v>
      </c>
      <c r="K773" s="1" t="s">
        <v>39</v>
      </c>
      <c r="L773">
        <v>10</v>
      </c>
      <c r="M773">
        <v>45.4</v>
      </c>
      <c r="N773">
        <v>37.299999999999997</v>
      </c>
      <c r="O773">
        <v>24.1</v>
      </c>
      <c r="P773">
        <v>4.0809999999999999E-2</v>
      </c>
      <c r="Q773">
        <v>40.35</v>
      </c>
      <c r="R773">
        <v>5.5</v>
      </c>
      <c r="S773">
        <v>6</v>
      </c>
      <c r="T773">
        <v>2</v>
      </c>
      <c r="U773">
        <v>12</v>
      </c>
      <c r="V773">
        <v>63.2</v>
      </c>
      <c r="W773">
        <v>509.2000000000001</v>
      </c>
      <c r="X773">
        <v>0.48971999999999999</v>
      </c>
      <c r="Y773">
        <v>2.4</v>
      </c>
      <c r="Z773">
        <v>9.7943999999999989E-2</v>
      </c>
      <c r="AA773">
        <v>0.19999999999999998</v>
      </c>
      <c r="AB773">
        <v>132</v>
      </c>
      <c r="AC773">
        <v>1</v>
      </c>
      <c r="AD773" s="1" t="s">
        <v>44</v>
      </c>
      <c r="AE773">
        <v>0</v>
      </c>
      <c r="AF773">
        <v>1</v>
      </c>
      <c r="AG773">
        <v>3.2236842105263159</v>
      </c>
    </row>
    <row r="774" spans="1:33">
      <c r="A774" s="1" t="s">
        <v>799</v>
      </c>
      <c r="B774" s="1" t="s">
        <v>1840</v>
      </c>
      <c r="C774" s="2">
        <v>46934</v>
      </c>
      <c r="D774" s="1" t="s">
        <v>34</v>
      </c>
      <c r="E774">
        <v>1508</v>
      </c>
      <c r="F774" s="2">
        <v>46081</v>
      </c>
      <c r="G774" s="1" t="s">
        <v>800</v>
      </c>
      <c r="H774" s="1" t="s">
        <v>781</v>
      </c>
      <c r="I774" s="1" t="s">
        <v>37</v>
      </c>
      <c r="J774" s="1" t="s">
        <v>782</v>
      </c>
      <c r="K774" s="1" t="s">
        <v>39</v>
      </c>
      <c r="L774">
        <v>10</v>
      </c>
      <c r="M774">
        <v>50.2</v>
      </c>
      <c r="N774">
        <v>30.5</v>
      </c>
      <c r="O774">
        <v>28.1</v>
      </c>
      <c r="P774">
        <v>4.3020000000000003E-2</v>
      </c>
      <c r="Q774">
        <v>36.840000000000003</v>
      </c>
      <c r="R774">
        <v>3.24</v>
      </c>
      <c r="S774">
        <v>5</v>
      </c>
      <c r="T774">
        <v>3</v>
      </c>
      <c r="U774">
        <v>15</v>
      </c>
      <c r="V774">
        <v>99.3</v>
      </c>
      <c r="W774">
        <v>577.6</v>
      </c>
      <c r="X774">
        <v>0.64529999999999998</v>
      </c>
      <c r="Y774">
        <v>150.80000000000001</v>
      </c>
      <c r="Z774">
        <v>6.4874160000000005</v>
      </c>
      <c r="AA774">
        <v>10.053333333333335</v>
      </c>
      <c r="AB774">
        <v>4885.92</v>
      </c>
      <c r="AC774">
        <v>11</v>
      </c>
      <c r="AD774" s="1" t="s">
        <v>40</v>
      </c>
      <c r="AE774">
        <v>11</v>
      </c>
      <c r="AF774">
        <v>0</v>
      </c>
      <c r="AG774">
        <v>28.059210526315791</v>
      </c>
    </row>
    <row r="775" spans="1:33">
      <c r="A775" s="1" t="s">
        <v>799</v>
      </c>
      <c r="B775" s="1" t="s">
        <v>1841</v>
      </c>
      <c r="C775" s="2">
        <v>46163</v>
      </c>
      <c r="D775" s="1" t="s">
        <v>153</v>
      </c>
      <c r="E775">
        <v>45</v>
      </c>
      <c r="F775" s="2">
        <v>46081</v>
      </c>
      <c r="G775" s="1" t="s">
        <v>800</v>
      </c>
      <c r="H775" s="1" t="s">
        <v>781</v>
      </c>
      <c r="I775" s="1" t="s">
        <v>37</v>
      </c>
      <c r="J775" s="1" t="s">
        <v>782</v>
      </c>
      <c r="K775" s="1" t="s">
        <v>39</v>
      </c>
      <c r="L775">
        <v>10</v>
      </c>
      <c r="M775">
        <v>50.2</v>
      </c>
      <c r="N775">
        <v>30.5</v>
      </c>
      <c r="O775">
        <v>28.1</v>
      </c>
      <c r="P775">
        <v>4.3020000000000003E-2</v>
      </c>
      <c r="Q775">
        <v>36.840000000000003</v>
      </c>
      <c r="R775">
        <v>3.24</v>
      </c>
      <c r="S775">
        <v>5</v>
      </c>
      <c r="T775">
        <v>3</v>
      </c>
      <c r="U775">
        <v>15</v>
      </c>
      <c r="V775">
        <v>99.3</v>
      </c>
      <c r="W775">
        <v>577.6</v>
      </c>
      <c r="X775">
        <v>0.64529999999999998</v>
      </c>
      <c r="Y775">
        <v>4.5</v>
      </c>
      <c r="Z775">
        <v>0.19359000000000001</v>
      </c>
      <c r="AA775">
        <v>0.3</v>
      </c>
      <c r="AB775">
        <v>145.80000000000001</v>
      </c>
      <c r="AC775">
        <v>1</v>
      </c>
      <c r="AD775" s="1" t="s">
        <v>74</v>
      </c>
      <c r="AE775">
        <v>0</v>
      </c>
      <c r="AF775">
        <v>0</v>
      </c>
      <c r="AG775">
        <v>2.6973684210526319</v>
      </c>
    </row>
    <row r="776" spans="1:33">
      <c r="A776" s="1" t="s">
        <v>801</v>
      </c>
      <c r="B776" s="1" t="s">
        <v>1842</v>
      </c>
      <c r="C776" s="2">
        <v>46506</v>
      </c>
      <c r="D776" s="1" t="s">
        <v>34</v>
      </c>
      <c r="E776">
        <v>927</v>
      </c>
      <c r="F776" s="2">
        <v>46081</v>
      </c>
      <c r="G776" s="1" t="s">
        <v>802</v>
      </c>
      <c r="H776" s="1" t="s">
        <v>781</v>
      </c>
      <c r="I776" s="1" t="s">
        <v>37</v>
      </c>
      <c r="J776" s="1" t="s">
        <v>782</v>
      </c>
      <c r="K776" s="1" t="s">
        <v>39</v>
      </c>
      <c r="L776">
        <v>20</v>
      </c>
      <c r="M776">
        <v>41.5</v>
      </c>
      <c r="N776">
        <v>34.5</v>
      </c>
      <c r="O776">
        <v>20.6</v>
      </c>
      <c r="P776">
        <v>2.9489999999999999E-2</v>
      </c>
      <c r="Q776">
        <v>27.86</v>
      </c>
      <c r="R776">
        <v>2.29</v>
      </c>
      <c r="S776">
        <v>6</v>
      </c>
      <c r="T776">
        <v>4</v>
      </c>
      <c r="U776">
        <v>24</v>
      </c>
      <c r="V776">
        <v>97.4</v>
      </c>
      <c r="W776">
        <v>693.64</v>
      </c>
      <c r="X776">
        <v>0.70775999999999994</v>
      </c>
      <c r="Y776">
        <v>46.35</v>
      </c>
      <c r="Z776">
        <v>1.3668615</v>
      </c>
      <c r="AA776">
        <v>1.9312500000000001</v>
      </c>
      <c r="AB776">
        <v>2122.83</v>
      </c>
      <c r="AC776">
        <v>2</v>
      </c>
      <c r="AD776" s="1" t="s">
        <v>40</v>
      </c>
      <c r="AE776">
        <v>2</v>
      </c>
      <c r="AF776">
        <v>0</v>
      </c>
      <c r="AG776">
        <v>13.980263157894738</v>
      </c>
    </row>
    <row r="777" spans="1:33">
      <c r="A777" s="1" t="s">
        <v>801</v>
      </c>
      <c r="B777" s="1" t="s">
        <v>1843</v>
      </c>
      <c r="C777" s="2">
        <v>46979</v>
      </c>
      <c r="D777" s="1" t="s">
        <v>34</v>
      </c>
      <c r="E777">
        <v>2958</v>
      </c>
      <c r="F777" s="2">
        <v>46081</v>
      </c>
      <c r="G777" s="1" t="s">
        <v>802</v>
      </c>
      <c r="H777" s="1" t="s">
        <v>781</v>
      </c>
      <c r="I777" s="1" t="s">
        <v>37</v>
      </c>
      <c r="J777" s="1" t="s">
        <v>782</v>
      </c>
      <c r="K777" s="1" t="s">
        <v>39</v>
      </c>
      <c r="L777">
        <v>20</v>
      </c>
      <c r="M777">
        <v>41.5</v>
      </c>
      <c r="N777">
        <v>34.5</v>
      </c>
      <c r="O777">
        <v>20.6</v>
      </c>
      <c r="P777">
        <v>2.9489999999999999E-2</v>
      </c>
      <c r="Q777">
        <v>27.86</v>
      </c>
      <c r="R777">
        <v>2.29</v>
      </c>
      <c r="S777">
        <v>6</v>
      </c>
      <c r="T777">
        <v>4</v>
      </c>
      <c r="U777">
        <v>24</v>
      </c>
      <c r="V777">
        <v>97.4</v>
      </c>
      <c r="W777">
        <v>693.64</v>
      </c>
      <c r="X777">
        <v>0.70775999999999994</v>
      </c>
      <c r="Y777">
        <v>147.9</v>
      </c>
      <c r="Z777">
        <v>4.3615709999999996</v>
      </c>
      <c r="AA777">
        <v>6.1625000000000005</v>
      </c>
      <c r="AB777">
        <v>6773.82</v>
      </c>
      <c r="AC777">
        <v>7</v>
      </c>
      <c r="AD777" s="1" t="s">
        <v>40</v>
      </c>
      <c r="AE777">
        <v>7</v>
      </c>
      <c r="AF777">
        <v>0</v>
      </c>
      <c r="AG777">
        <v>29.539473684210527</v>
      </c>
    </row>
    <row r="778" spans="1:33">
      <c r="A778" s="1" t="s">
        <v>801</v>
      </c>
      <c r="B778" s="1" t="s">
        <v>1844</v>
      </c>
      <c r="C778" s="2">
        <v>46993</v>
      </c>
      <c r="D778" s="1" t="s">
        <v>34</v>
      </c>
      <c r="E778">
        <v>2698</v>
      </c>
      <c r="F778" s="2">
        <v>46081</v>
      </c>
      <c r="G778" s="1" t="s">
        <v>802</v>
      </c>
      <c r="H778" s="1" t="s">
        <v>781</v>
      </c>
      <c r="I778" s="1" t="s">
        <v>37</v>
      </c>
      <c r="J778" s="1" t="s">
        <v>782</v>
      </c>
      <c r="K778" s="1" t="s">
        <v>39</v>
      </c>
      <c r="L778">
        <v>20</v>
      </c>
      <c r="M778">
        <v>41.5</v>
      </c>
      <c r="N778">
        <v>34.5</v>
      </c>
      <c r="O778">
        <v>20.6</v>
      </c>
      <c r="P778">
        <v>2.9489999999999999E-2</v>
      </c>
      <c r="Q778">
        <v>27.86</v>
      </c>
      <c r="R778">
        <v>2.29</v>
      </c>
      <c r="S778">
        <v>6</v>
      </c>
      <c r="T778">
        <v>4</v>
      </c>
      <c r="U778">
        <v>24</v>
      </c>
      <c r="V778">
        <v>97.4</v>
      </c>
      <c r="W778">
        <v>693.64</v>
      </c>
      <c r="X778">
        <v>0.70775999999999994</v>
      </c>
      <c r="Y778">
        <v>134.9</v>
      </c>
      <c r="Z778">
        <v>3.9782009999999999</v>
      </c>
      <c r="AA778">
        <v>5.6208333333333336</v>
      </c>
      <c r="AB778">
        <v>6178.42</v>
      </c>
      <c r="AC778">
        <v>6</v>
      </c>
      <c r="AD778" s="1" t="s">
        <v>40</v>
      </c>
      <c r="AE778">
        <v>6</v>
      </c>
      <c r="AF778">
        <v>0</v>
      </c>
      <c r="AG778">
        <v>30</v>
      </c>
    </row>
    <row r="779" spans="1:33">
      <c r="A779" s="1" t="s">
        <v>801</v>
      </c>
      <c r="B779" s="1" t="s">
        <v>1845</v>
      </c>
      <c r="C779" s="2">
        <v>46895</v>
      </c>
      <c r="D779" s="1" t="s">
        <v>34</v>
      </c>
      <c r="E779">
        <v>1094</v>
      </c>
      <c r="F779" s="2">
        <v>46081</v>
      </c>
      <c r="G779" s="1" t="s">
        <v>802</v>
      </c>
      <c r="H779" s="1" t="s">
        <v>781</v>
      </c>
      <c r="I779" s="1" t="s">
        <v>37</v>
      </c>
      <c r="J779" s="1" t="s">
        <v>782</v>
      </c>
      <c r="K779" s="1" t="s">
        <v>39</v>
      </c>
      <c r="L779">
        <v>20</v>
      </c>
      <c r="M779">
        <v>41.5</v>
      </c>
      <c r="N779">
        <v>34.5</v>
      </c>
      <c r="O779">
        <v>20.6</v>
      </c>
      <c r="P779">
        <v>2.9489999999999999E-2</v>
      </c>
      <c r="Q779">
        <v>27.86</v>
      </c>
      <c r="R779">
        <v>2.29</v>
      </c>
      <c r="S779">
        <v>6</v>
      </c>
      <c r="T779">
        <v>4</v>
      </c>
      <c r="U779">
        <v>24</v>
      </c>
      <c r="V779">
        <v>97.4</v>
      </c>
      <c r="W779">
        <v>693.64</v>
      </c>
      <c r="X779">
        <v>0.70775999999999994</v>
      </c>
      <c r="Y779">
        <v>54.7</v>
      </c>
      <c r="Z779">
        <v>1.613103</v>
      </c>
      <c r="AA779">
        <v>2.2791666666666668</v>
      </c>
      <c r="AB779">
        <v>2505.2600000000002</v>
      </c>
      <c r="AC779">
        <v>3</v>
      </c>
      <c r="AD779" s="1" t="s">
        <v>40</v>
      </c>
      <c r="AE779">
        <v>3</v>
      </c>
      <c r="AF779">
        <v>0</v>
      </c>
      <c r="AG779">
        <v>26.776315789473685</v>
      </c>
    </row>
    <row r="780" spans="1:33">
      <c r="A780" s="1" t="s">
        <v>803</v>
      </c>
      <c r="B780" s="1" t="s">
        <v>1846</v>
      </c>
      <c r="C780" s="2">
        <v>46869</v>
      </c>
      <c r="D780" s="1" t="s">
        <v>34</v>
      </c>
      <c r="E780">
        <v>3362</v>
      </c>
      <c r="F780" s="2">
        <v>46081</v>
      </c>
      <c r="G780" s="1" t="s">
        <v>804</v>
      </c>
      <c r="H780" s="1" t="s">
        <v>781</v>
      </c>
      <c r="I780" s="1" t="s">
        <v>37</v>
      </c>
      <c r="J780" s="1" t="s">
        <v>782</v>
      </c>
      <c r="K780" s="1" t="s">
        <v>39</v>
      </c>
      <c r="L780">
        <v>10</v>
      </c>
      <c r="M780">
        <v>42.6</v>
      </c>
      <c r="N780">
        <v>33.6</v>
      </c>
      <c r="O780">
        <v>21.8</v>
      </c>
      <c r="P780">
        <v>3.1199999999999999E-2</v>
      </c>
      <c r="Q780">
        <v>28.69</v>
      </c>
      <c r="R780">
        <v>3.92</v>
      </c>
      <c r="S780">
        <v>6</v>
      </c>
      <c r="T780">
        <v>3</v>
      </c>
      <c r="U780">
        <v>18</v>
      </c>
      <c r="V780">
        <v>80.400000000000006</v>
      </c>
      <c r="W780">
        <v>541.42000000000007</v>
      </c>
      <c r="X780">
        <v>0.56159999999999999</v>
      </c>
      <c r="Y780">
        <v>336.2</v>
      </c>
      <c r="Z780">
        <v>10.489439999999998</v>
      </c>
      <c r="AA780">
        <v>18.677777777777777</v>
      </c>
      <c r="AB780">
        <v>13179.039999999999</v>
      </c>
      <c r="AC780">
        <v>19</v>
      </c>
      <c r="AD780" s="1" t="s">
        <v>40</v>
      </c>
      <c r="AE780">
        <v>19</v>
      </c>
      <c r="AF780">
        <v>0</v>
      </c>
      <c r="AG780">
        <v>25.921052631578949</v>
      </c>
    </row>
    <row r="781" spans="1:33">
      <c r="A781" s="1" t="s">
        <v>805</v>
      </c>
      <c r="B781" s="1" t="s">
        <v>1847</v>
      </c>
      <c r="C781" s="2">
        <v>46668</v>
      </c>
      <c r="D781" s="1" t="s">
        <v>34</v>
      </c>
      <c r="E781">
        <v>669</v>
      </c>
      <c r="F781" s="2">
        <v>46081</v>
      </c>
      <c r="G781" s="1" t="s">
        <v>806</v>
      </c>
      <c r="H781" s="1" t="s">
        <v>781</v>
      </c>
      <c r="I781" s="1" t="s">
        <v>37</v>
      </c>
      <c r="J781" s="1" t="s">
        <v>782</v>
      </c>
      <c r="K781" s="1" t="s">
        <v>39</v>
      </c>
      <c r="L781">
        <v>24</v>
      </c>
      <c r="M781">
        <v>57</v>
      </c>
      <c r="N781">
        <v>39.9</v>
      </c>
      <c r="O781">
        <v>20.7</v>
      </c>
      <c r="P781">
        <v>4.7079999999999997E-2</v>
      </c>
      <c r="Q781">
        <v>42.85</v>
      </c>
      <c r="R781">
        <v>1.54</v>
      </c>
      <c r="S781">
        <v>3</v>
      </c>
      <c r="T781">
        <v>5</v>
      </c>
      <c r="U781">
        <v>15</v>
      </c>
      <c r="V781">
        <v>118.5</v>
      </c>
      <c r="W781">
        <v>667.75</v>
      </c>
      <c r="X781">
        <v>0.70619999999999994</v>
      </c>
      <c r="Y781">
        <v>27.875</v>
      </c>
      <c r="Z781">
        <v>1.3123549999999999</v>
      </c>
      <c r="AA781">
        <v>1.8583333333333334</v>
      </c>
      <c r="AB781">
        <v>1030.26</v>
      </c>
      <c r="AC781">
        <v>2</v>
      </c>
      <c r="AD781" s="1" t="s">
        <v>40</v>
      </c>
      <c r="AE781">
        <v>2</v>
      </c>
      <c r="AF781">
        <v>0</v>
      </c>
      <c r="AG781">
        <v>19.309210526315791</v>
      </c>
    </row>
    <row r="782" spans="1:33">
      <c r="A782" s="1" t="s">
        <v>805</v>
      </c>
      <c r="B782" s="1" t="s">
        <v>1848</v>
      </c>
      <c r="C782" s="2">
        <v>47123</v>
      </c>
      <c r="D782" s="1" t="s">
        <v>34</v>
      </c>
      <c r="E782">
        <v>65</v>
      </c>
      <c r="F782" s="2">
        <v>46081</v>
      </c>
      <c r="G782" s="1" t="s">
        <v>806</v>
      </c>
      <c r="H782" s="1" t="s">
        <v>781</v>
      </c>
      <c r="I782" s="1" t="s">
        <v>37</v>
      </c>
      <c r="J782" s="1" t="s">
        <v>782</v>
      </c>
      <c r="K782" s="1" t="s">
        <v>39</v>
      </c>
      <c r="L782">
        <v>24</v>
      </c>
      <c r="M782">
        <v>57</v>
      </c>
      <c r="N782">
        <v>39.9</v>
      </c>
      <c r="O782">
        <v>20.7</v>
      </c>
      <c r="P782">
        <v>4.7079999999999997E-2</v>
      </c>
      <c r="Q782">
        <v>42.85</v>
      </c>
      <c r="R782">
        <v>1.54</v>
      </c>
      <c r="S782">
        <v>3</v>
      </c>
      <c r="T782">
        <v>5</v>
      </c>
      <c r="U782">
        <v>15</v>
      </c>
      <c r="V782">
        <v>118.5</v>
      </c>
      <c r="W782">
        <v>667.75</v>
      </c>
      <c r="X782">
        <v>0.70619999999999994</v>
      </c>
      <c r="Y782">
        <v>2.7083333333333335</v>
      </c>
      <c r="Z782">
        <v>0.12750833333333333</v>
      </c>
      <c r="AA782">
        <v>0.18055555555555555</v>
      </c>
      <c r="AB782">
        <v>100.10000000000001</v>
      </c>
      <c r="AC782">
        <v>1</v>
      </c>
      <c r="AD782" s="1" t="s">
        <v>44</v>
      </c>
      <c r="AE782">
        <v>0</v>
      </c>
      <c r="AF782">
        <v>1</v>
      </c>
      <c r="AG782">
        <v>34.276315789473685</v>
      </c>
    </row>
    <row r="783" spans="1:33">
      <c r="A783" s="1" t="s">
        <v>807</v>
      </c>
      <c r="B783" s="1" t="s">
        <v>1849</v>
      </c>
      <c r="C783" s="2">
        <v>46991</v>
      </c>
      <c r="D783" s="1" t="s">
        <v>34</v>
      </c>
      <c r="E783">
        <v>148</v>
      </c>
      <c r="F783" s="2">
        <v>46081</v>
      </c>
      <c r="G783" s="1" t="s">
        <v>808</v>
      </c>
      <c r="H783" s="1" t="s">
        <v>781</v>
      </c>
      <c r="I783" s="1" t="s">
        <v>37</v>
      </c>
      <c r="J783" s="1" t="s">
        <v>782</v>
      </c>
      <c r="K783" s="1" t="s">
        <v>39</v>
      </c>
      <c r="L783">
        <v>20</v>
      </c>
      <c r="M783">
        <v>58.7</v>
      </c>
      <c r="N783">
        <v>33.9</v>
      </c>
      <c r="O783">
        <v>25.1</v>
      </c>
      <c r="P783">
        <v>4.9950000000000001E-2</v>
      </c>
      <c r="Q783">
        <v>48.91</v>
      </c>
      <c r="R783">
        <v>1.79</v>
      </c>
      <c r="S783">
        <v>4</v>
      </c>
      <c r="T783">
        <v>3</v>
      </c>
      <c r="U783">
        <v>12</v>
      </c>
      <c r="V783">
        <v>90.3</v>
      </c>
      <c r="W783">
        <v>611.91999999999996</v>
      </c>
      <c r="X783">
        <v>0.59940000000000004</v>
      </c>
      <c r="Y783">
        <v>7.4</v>
      </c>
      <c r="Z783">
        <v>0.36963000000000001</v>
      </c>
      <c r="AA783">
        <v>0.6166666666666667</v>
      </c>
      <c r="AB783">
        <v>264.92</v>
      </c>
      <c r="AC783">
        <v>1</v>
      </c>
      <c r="AD783" s="1" t="s">
        <v>40</v>
      </c>
      <c r="AE783">
        <v>1</v>
      </c>
      <c r="AF783">
        <v>0</v>
      </c>
      <c r="AG783">
        <v>29.934210526315791</v>
      </c>
    </row>
    <row r="784" spans="1:33">
      <c r="A784" s="1" t="s">
        <v>807</v>
      </c>
      <c r="B784" s="1" t="s">
        <v>1850</v>
      </c>
      <c r="C784" s="2">
        <v>46912</v>
      </c>
      <c r="D784" s="1" t="s">
        <v>34</v>
      </c>
      <c r="E784">
        <v>238</v>
      </c>
      <c r="F784" s="2">
        <v>46081</v>
      </c>
      <c r="G784" s="1" t="s">
        <v>808</v>
      </c>
      <c r="H784" s="1" t="s">
        <v>781</v>
      </c>
      <c r="I784" s="1" t="s">
        <v>37</v>
      </c>
      <c r="J784" s="1" t="s">
        <v>782</v>
      </c>
      <c r="K784" s="1" t="s">
        <v>39</v>
      </c>
      <c r="L784">
        <v>20</v>
      </c>
      <c r="M784">
        <v>58.7</v>
      </c>
      <c r="N784">
        <v>33.9</v>
      </c>
      <c r="O784">
        <v>25.1</v>
      </c>
      <c r="P784">
        <v>4.9950000000000001E-2</v>
      </c>
      <c r="Q784">
        <v>48.91</v>
      </c>
      <c r="R784">
        <v>1.79</v>
      </c>
      <c r="S784">
        <v>4</v>
      </c>
      <c r="T784">
        <v>3</v>
      </c>
      <c r="U784">
        <v>12</v>
      </c>
      <c r="V784">
        <v>90.3</v>
      </c>
      <c r="W784">
        <v>611.91999999999996</v>
      </c>
      <c r="X784">
        <v>0.59940000000000004</v>
      </c>
      <c r="Y784">
        <v>11.9</v>
      </c>
      <c r="Z784">
        <v>0.59440500000000007</v>
      </c>
      <c r="AA784">
        <v>0.9916666666666667</v>
      </c>
      <c r="AB784">
        <v>426.02</v>
      </c>
      <c r="AC784">
        <v>1</v>
      </c>
      <c r="AD784" s="1" t="s">
        <v>40</v>
      </c>
      <c r="AE784">
        <v>1</v>
      </c>
      <c r="AF784">
        <v>0</v>
      </c>
      <c r="AG784">
        <v>27.335526315789476</v>
      </c>
    </row>
    <row r="785" spans="1:33">
      <c r="A785" s="1" t="s">
        <v>807</v>
      </c>
      <c r="B785" s="1" t="s">
        <v>1851</v>
      </c>
      <c r="C785" s="2">
        <v>46741</v>
      </c>
      <c r="D785" s="1" t="s">
        <v>34</v>
      </c>
      <c r="E785">
        <v>228</v>
      </c>
      <c r="F785" s="2">
        <v>46081</v>
      </c>
      <c r="G785" s="1" t="s">
        <v>808</v>
      </c>
      <c r="H785" s="1" t="s">
        <v>781</v>
      </c>
      <c r="I785" s="1" t="s">
        <v>37</v>
      </c>
      <c r="J785" s="1" t="s">
        <v>782</v>
      </c>
      <c r="K785" s="1" t="s">
        <v>39</v>
      </c>
      <c r="L785">
        <v>20</v>
      </c>
      <c r="M785">
        <v>58.7</v>
      </c>
      <c r="N785">
        <v>33.9</v>
      </c>
      <c r="O785">
        <v>25.1</v>
      </c>
      <c r="P785">
        <v>4.9950000000000001E-2</v>
      </c>
      <c r="Q785">
        <v>48.91</v>
      </c>
      <c r="R785">
        <v>1.79</v>
      </c>
      <c r="S785">
        <v>4</v>
      </c>
      <c r="T785">
        <v>3</v>
      </c>
      <c r="U785">
        <v>12</v>
      </c>
      <c r="V785">
        <v>90.3</v>
      </c>
      <c r="W785">
        <v>611.91999999999996</v>
      </c>
      <c r="X785">
        <v>0.59940000000000004</v>
      </c>
      <c r="Y785">
        <v>11.4</v>
      </c>
      <c r="Z785">
        <v>0.56942999999999999</v>
      </c>
      <c r="AA785">
        <v>0.95000000000000007</v>
      </c>
      <c r="AB785">
        <v>408.12</v>
      </c>
      <c r="AC785">
        <v>1</v>
      </c>
      <c r="AD785" s="1" t="s">
        <v>40</v>
      </c>
      <c r="AE785">
        <v>1</v>
      </c>
      <c r="AF785">
        <v>0</v>
      </c>
      <c r="AG785">
        <v>21.710526315789476</v>
      </c>
    </row>
    <row r="786" spans="1:33">
      <c r="A786" s="1" t="s">
        <v>809</v>
      </c>
      <c r="B786" s="1" t="s">
        <v>1852</v>
      </c>
      <c r="C786" s="2">
        <v>46558</v>
      </c>
      <c r="D786" s="1" t="s">
        <v>34</v>
      </c>
      <c r="E786">
        <v>3466</v>
      </c>
      <c r="F786" s="2">
        <v>46081</v>
      </c>
      <c r="G786" s="1" t="s">
        <v>810</v>
      </c>
      <c r="H786" s="1" t="s">
        <v>781</v>
      </c>
      <c r="I786" s="1" t="s">
        <v>37</v>
      </c>
      <c r="J786" s="1" t="s">
        <v>782</v>
      </c>
      <c r="K786" s="1" t="s">
        <v>39</v>
      </c>
      <c r="L786">
        <v>20</v>
      </c>
      <c r="M786">
        <v>40.6</v>
      </c>
      <c r="N786">
        <v>31.8</v>
      </c>
      <c r="O786">
        <v>26.3</v>
      </c>
      <c r="P786">
        <v>3.3959999999999997E-2</v>
      </c>
      <c r="Q786">
        <v>31.6</v>
      </c>
      <c r="R786">
        <v>5.56</v>
      </c>
      <c r="S786">
        <v>5</v>
      </c>
      <c r="T786">
        <v>4</v>
      </c>
      <c r="U786">
        <v>20</v>
      </c>
      <c r="V786">
        <v>120.2</v>
      </c>
      <c r="W786">
        <v>657</v>
      </c>
      <c r="X786">
        <v>0.67919999999999991</v>
      </c>
      <c r="Y786">
        <v>173.3</v>
      </c>
      <c r="Z786">
        <v>5.8852679999999999</v>
      </c>
      <c r="AA786">
        <v>8.6650000000000009</v>
      </c>
      <c r="AB786">
        <v>19270.96</v>
      </c>
      <c r="AC786">
        <v>9</v>
      </c>
      <c r="AD786" s="1" t="s">
        <v>40</v>
      </c>
      <c r="AE786">
        <v>9</v>
      </c>
      <c r="AF786">
        <v>0</v>
      </c>
      <c r="AG786">
        <v>15.690789473684211</v>
      </c>
    </row>
    <row r="787" spans="1:33">
      <c r="A787" s="1" t="s">
        <v>811</v>
      </c>
      <c r="B787" s="1" t="s">
        <v>1853</v>
      </c>
      <c r="C787" s="2">
        <v>46425</v>
      </c>
      <c r="D787" s="1" t="s">
        <v>34</v>
      </c>
      <c r="E787">
        <v>392</v>
      </c>
      <c r="F787" s="2">
        <v>46081</v>
      </c>
      <c r="G787" s="1" t="s">
        <v>812</v>
      </c>
      <c r="H787" s="1" t="s">
        <v>781</v>
      </c>
      <c r="I787" s="1" t="s">
        <v>37</v>
      </c>
      <c r="J787" s="1" t="s">
        <v>782</v>
      </c>
      <c r="K787" s="1" t="s">
        <v>39</v>
      </c>
      <c r="L787">
        <v>10</v>
      </c>
      <c r="M787">
        <v>43.7</v>
      </c>
      <c r="N787">
        <v>34.299999999999997</v>
      </c>
      <c r="O787">
        <v>28.4</v>
      </c>
      <c r="P787">
        <v>4.2569999999999997E-2</v>
      </c>
      <c r="Q787">
        <v>40.950000000000003</v>
      </c>
      <c r="R787">
        <v>3.45</v>
      </c>
      <c r="S787">
        <v>6</v>
      </c>
      <c r="T787">
        <v>2</v>
      </c>
      <c r="U787">
        <v>12</v>
      </c>
      <c r="V787">
        <v>71.8</v>
      </c>
      <c r="W787">
        <v>516.40000000000009</v>
      </c>
      <c r="X787">
        <v>0.51083999999999996</v>
      </c>
      <c r="Y787">
        <v>39.200000000000003</v>
      </c>
      <c r="Z787">
        <v>1.668744</v>
      </c>
      <c r="AA787">
        <v>3.2666666666666671</v>
      </c>
      <c r="AB787">
        <v>1352.4</v>
      </c>
      <c r="AC787">
        <v>4</v>
      </c>
      <c r="AD787" s="1" t="s">
        <v>40</v>
      </c>
      <c r="AE787">
        <v>4</v>
      </c>
      <c r="AF787">
        <v>0</v>
      </c>
      <c r="AG787">
        <v>11.315789473684211</v>
      </c>
    </row>
    <row r="788" spans="1:33">
      <c r="A788" s="1" t="s">
        <v>811</v>
      </c>
      <c r="B788" s="1" t="s">
        <v>1854</v>
      </c>
      <c r="C788" s="2">
        <v>46584</v>
      </c>
      <c r="D788" s="1" t="s">
        <v>34</v>
      </c>
      <c r="E788">
        <v>230</v>
      </c>
      <c r="F788" s="2">
        <v>46081</v>
      </c>
      <c r="G788" s="1" t="s">
        <v>812</v>
      </c>
      <c r="H788" s="1" t="s">
        <v>781</v>
      </c>
      <c r="I788" s="1" t="s">
        <v>37</v>
      </c>
      <c r="J788" s="1" t="s">
        <v>782</v>
      </c>
      <c r="K788" s="1" t="s">
        <v>39</v>
      </c>
      <c r="L788">
        <v>10</v>
      </c>
      <c r="M788">
        <v>43.7</v>
      </c>
      <c r="N788">
        <v>34.299999999999997</v>
      </c>
      <c r="O788">
        <v>28.4</v>
      </c>
      <c r="P788">
        <v>4.2569999999999997E-2</v>
      </c>
      <c r="Q788">
        <v>40.950000000000003</v>
      </c>
      <c r="R788">
        <v>3.45</v>
      </c>
      <c r="S788">
        <v>6</v>
      </c>
      <c r="T788">
        <v>2</v>
      </c>
      <c r="U788">
        <v>12</v>
      </c>
      <c r="V788">
        <v>71.8</v>
      </c>
      <c r="W788">
        <v>516.40000000000009</v>
      </c>
      <c r="X788">
        <v>0.51083999999999996</v>
      </c>
      <c r="Y788">
        <v>23</v>
      </c>
      <c r="Z788">
        <v>0.97910999999999992</v>
      </c>
      <c r="AA788">
        <v>1.9166666666666667</v>
      </c>
      <c r="AB788">
        <v>793.5</v>
      </c>
      <c r="AC788">
        <v>2</v>
      </c>
      <c r="AD788" s="1" t="s">
        <v>40</v>
      </c>
      <c r="AE788">
        <v>2</v>
      </c>
      <c r="AF788">
        <v>0</v>
      </c>
      <c r="AG788">
        <v>16.546052631578949</v>
      </c>
    </row>
    <row r="789" spans="1:33">
      <c r="A789" s="1" t="s">
        <v>811</v>
      </c>
      <c r="B789" s="1" t="s">
        <v>1855</v>
      </c>
      <c r="C789" s="2">
        <v>46447</v>
      </c>
      <c r="D789" s="1" t="s">
        <v>34</v>
      </c>
      <c r="E789">
        <v>15</v>
      </c>
      <c r="F789" s="2">
        <v>46081</v>
      </c>
      <c r="G789" s="1" t="s">
        <v>812</v>
      </c>
      <c r="H789" s="1" t="s">
        <v>781</v>
      </c>
      <c r="I789" s="1" t="s">
        <v>37</v>
      </c>
      <c r="J789" s="1" t="s">
        <v>782</v>
      </c>
      <c r="K789" s="1" t="s">
        <v>39</v>
      </c>
      <c r="L789">
        <v>10</v>
      </c>
      <c r="M789">
        <v>43.7</v>
      </c>
      <c r="N789">
        <v>34.299999999999997</v>
      </c>
      <c r="O789">
        <v>28.4</v>
      </c>
      <c r="P789">
        <v>4.2569999999999997E-2</v>
      </c>
      <c r="Q789">
        <v>40.950000000000003</v>
      </c>
      <c r="R789">
        <v>3.45</v>
      </c>
      <c r="S789">
        <v>6</v>
      </c>
      <c r="T789">
        <v>2</v>
      </c>
      <c r="U789">
        <v>12</v>
      </c>
      <c r="V789">
        <v>71.8</v>
      </c>
      <c r="W789">
        <v>516.40000000000009</v>
      </c>
      <c r="X789">
        <v>0.51083999999999996</v>
      </c>
      <c r="Y789">
        <v>1.5</v>
      </c>
      <c r="Z789">
        <v>6.3854999999999995E-2</v>
      </c>
      <c r="AA789">
        <v>0.125</v>
      </c>
      <c r="AB789">
        <v>51.75</v>
      </c>
      <c r="AC789">
        <v>1</v>
      </c>
      <c r="AD789" s="1" t="s">
        <v>44</v>
      </c>
      <c r="AE789">
        <v>0</v>
      </c>
      <c r="AF789">
        <v>1</v>
      </c>
      <c r="AG789">
        <v>12.039473684210527</v>
      </c>
    </row>
    <row r="790" spans="1:33">
      <c r="A790" s="1" t="s">
        <v>813</v>
      </c>
      <c r="B790" s="1" t="s">
        <v>1856</v>
      </c>
      <c r="C790" s="2">
        <v>46711</v>
      </c>
      <c r="D790" s="1" t="s">
        <v>34</v>
      </c>
      <c r="E790">
        <v>1883</v>
      </c>
      <c r="F790" s="2">
        <v>46081</v>
      </c>
      <c r="G790" s="1" t="s">
        <v>814</v>
      </c>
      <c r="H790" s="1" t="s">
        <v>781</v>
      </c>
      <c r="I790" s="1" t="s">
        <v>37</v>
      </c>
      <c r="J790" s="1" t="s">
        <v>782</v>
      </c>
      <c r="K790" s="1" t="s">
        <v>39</v>
      </c>
      <c r="L790">
        <v>10</v>
      </c>
      <c r="M790">
        <v>55</v>
      </c>
      <c r="N790">
        <v>31.3</v>
      </c>
      <c r="O790">
        <v>21.2</v>
      </c>
      <c r="P790">
        <v>3.6499999999999998E-2</v>
      </c>
      <c r="Q790">
        <v>33.54</v>
      </c>
      <c r="R790">
        <v>3.95</v>
      </c>
      <c r="S790">
        <v>6</v>
      </c>
      <c r="T790">
        <v>3</v>
      </c>
      <c r="U790">
        <v>18</v>
      </c>
      <c r="V790">
        <v>78.599999999999994</v>
      </c>
      <c r="W790">
        <v>628.72</v>
      </c>
      <c r="X790">
        <v>0.65699999999999992</v>
      </c>
      <c r="Y790">
        <v>188.3</v>
      </c>
      <c r="Z790">
        <v>6.8729500000000003</v>
      </c>
      <c r="AA790">
        <v>10.461111111111112</v>
      </c>
      <c r="AB790">
        <v>7437.85</v>
      </c>
      <c r="AC790">
        <v>11</v>
      </c>
      <c r="AD790" s="1" t="s">
        <v>40</v>
      </c>
      <c r="AE790">
        <v>11</v>
      </c>
      <c r="AF790">
        <v>0</v>
      </c>
      <c r="AG790">
        <v>20.723684210526315</v>
      </c>
    </row>
    <row r="791" spans="1:33">
      <c r="A791" s="1" t="s">
        <v>815</v>
      </c>
      <c r="B791" s="1" t="s">
        <v>1857</v>
      </c>
      <c r="C791" s="2">
        <v>46277</v>
      </c>
      <c r="D791" s="1" t="s">
        <v>34</v>
      </c>
      <c r="E791">
        <v>100</v>
      </c>
      <c r="F791" s="2">
        <v>46081</v>
      </c>
      <c r="G791" s="1" t="s">
        <v>816</v>
      </c>
      <c r="H791" s="1" t="s">
        <v>781</v>
      </c>
      <c r="I791" s="1" t="s">
        <v>37</v>
      </c>
      <c r="J791" s="1" t="s">
        <v>782</v>
      </c>
      <c r="K791" s="1" t="s">
        <v>39</v>
      </c>
      <c r="L791">
        <v>24</v>
      </c>
      <c r="M791">
        <v>59.8</v>
      </c>
      <c r="N791">
        <v>39</v>
      </c>
      <c r="O791">
        <v>25</v>
      </c>
      <c r="P791">
        <v>5.8299999999999998E-2</v>
      </c>
      <c r="Q791">
        <v>52.58</v>
      </c>
      <c r="R791">
        <v>1.74</v>
      </c>
      <c r="S791">
        <v>2</v>
      </c>
      <c r="T791">
        <v>4</v>
      </c>
      <c r="U791">
        <v>8</v>
      </c>
      <c r="V791">
        <v>115</v>
      </c>
      <c r="W791">
        <v>445.64</v>
      </c>
      <c r="X791">
        <v>0.46639999999999998</v>
      </c>
      <c r="Y791">
        <v>4.166666666666667</v>
      </c>
      <c r="Z791">
        <v>0.24291666666666667</v>
      </c>
      <c r="AA791">
        <v>0.52083333333333337</v>
      </c>
      <c r="AB791">
        <v>174</v>
      </c>
      <c r="AC791">
        <v>1</v>
      </c>
      <c r="AD791" s="1" t="s">
        <v>44</v>
      </c>
      <c r="AE791">
        <v>0</v>
      </c>
      <c r="AF791">
        <v>1</v>
      </c>
      <c r="AG791">
        <v>6.4473684210526319</v>
      </c>
    </row>
    <row r="792" spans="1:33">
      <c r="A792" s="1" t="s">
        <v>815</v>
      </c>
      <c r="B792" s="1" t="s">
        <v>1858</v>
      </c>
      <c r="C792" s="2">
        <v>46845</v>
      </c>
      <c r="D792" s="1" t="s">
        <v>34</v>
      </c>
      <c r="E792">
        <v>454</v>
      </c>
      <c r="F792" s="2">
        <v>46081</v>
      </c>
      <c r="G792" s="1" t="s">
        <v>816</v>
      </c>
      <c r="H792" s="1" t="s">
        <v>781</v>
      </c>
      <c r="I792" s="1" t="s">
        <v>37</v>
      </c>
      <c r="J792" s="1" t="s">
        <v>782</v>
      </c>
      <c r="K792" s="1" t="s">
        <v>39</v>
      </c>
      <c r="L792">
        <v>24</v>
      </c>
      <c r="M792">
        <v>59.8</v>
      </c>
      <c r="N792">
        <v>39</v>
      </c>
      <c r="O792">
        <v>25</v>
      </c>
      <c r="P792">
        <v>5.8299999999999998E-2</v>
      </c>
      <c r="Q792">
        <v>52.58</v>
      </c>
      <c r="R792">
        <v>1.74</v>
      </c>
      <c r="S792">
        <v>2</v>
      </c>
      <c r="T792">
        <v>4</v>
      </c>
      <c r="U792">
        <v>8</v>
      </c>
      <c r="V792">
        <v>115</v>
      </c>
      <c r="W792">
        <v>445.64</v>
      </c>
      <c r="X792">
        <v>0.46639999999999998</v>
      </c>
      <c r="Y792">
        <v>18.916666666666668</v>
      </c>
      <c r="Z792">
        <v>1.1028416666666667</v>
      </c>
      <c r="AA792">
        <v>2.3645833333333335</v>
      </c>
      <c r="AB792">
        <v>789.96</v>
      </c>
      <c r="AC792">
        <v>3</v>
      </c>
      <c r="AD792" s="1" t="s">
        <v>40</v>
      </c>
      <c r="AE792">
        <v>3</v>
      </c>
      <c r="AF792">
        <v>0</v>
      </c>
      <c r="AG792">
        <v>25.131578947368421</v>
      </c>
    </row>
    <row r="793" spans="1:33">
      <c r="A793" s="1" t="s">
        <v>815</v>
      </c>
      <c r="B793" s="1" t="s">
        <v>1859</v>
      </c>
      <c r="C793" s="2">
        <v>46597</v>
      </c>
      <c r="D793" s="1" t="s">
        <v>34</v>
      </c>
      <c r="E793">
        <v>25</v>
      </c>
      <c r="F793" s="2">
        <v>46081</v>
      </c>
      <c r="G793" s="1" t="s">
        <v>816</v>
      </c>
      <c r="H793" s="1" t="s">
        <v>781</v>
      </c>
      <c r="I793" s="1" t="s">
        <v>37</v>
      </c>
      <c r="J793" s="1" t="s">
        <v>782</v>
      </c>
      <c r="K793" s="1" t="s">
        <v>39</v>
      </c>
      <c r="L793">
        <v>24</v>
      </c>
      <c r="M793">
        <v>59.8</v>
      </c>
      <c r="N793">
        <v>39</v>
      </c>
      <c r="O793">
        <v>25</v>
      </c>
      <c r="P793">
        <v>5.8299999999999998E-2</v>
      </c>
      <c r="Q793">
        <v>52.58</v>
      </c>
      <c r="R793">
        <v>1.74</v>
      </c>
      <c r="S793">
        <v>2</v>
      </c>
      <c r="T793">
        <v>4</v>
      </c>
      <c r="U793">
        <v>8</v>
      </c>
      <c r="V793">
        <v>115</v>
      </c>
      <c r="W793">
        <v>445.64</v>
      </c>
      <c r="X793">
        <v>0.46639999999999998</v>
      </c>
      <c r="Y793">
        <v>1.0416666666666667</v>
      </c>
      <c r="Z793">
        <v>6.0729166666666667E-2</v>
      </c>
      <c r="AA793">
        <v>0.13020833333333334</v>
      </c>
      <c r="AB793">
        <v>43.5</v>
      </c>
      <c r="AC793">
        <v>1</v>
      </c>
      <c r="AD793" s="1" t="s">
        <v>44</v>
      </c>
      <c r="AE793">
        <v>0</v>
      </c>
      <c r="AF793">
        <v>1</v>
      </c>
      <c r="AG793">
        <v>16.973684210526315</v>
      </c>
    </row>
    <row r="794" spans="1:33">
      <c r="A794" s="1" t="s">
        <v>815</v>
      </c>
      <c r="B794" s="1" t="s">
        <v>1860</v>
      </c>
      <c r="C794" s="2">
        <v>46688</v>
      </c>
      <c r="D794" s="1" t="s">
        <v>49</v>
      </c>
      <c r="E794">
        <v>29</v>
      </c>
      <c r="F794" s="2">
        <v>46081</v>
      </c>
      <c r="G794" s="1" t="s">
        <v>816</v>
      </c>
      <c r="H794" s="1" t="s">
        <v>781</v>
      </c>
      <c r="I794" s="1" t="s">
        <v>37</v>
      </c>
      <c r="J794" s="1" t="s">
        <v>782</v>
      </c>
      <c r="K794" s="1" t="s">
        <v>39</v>
      </c>
      <c r="L794">
        <v>24</v>
      </c>
      <c r="M794">
        <v>59.8</v>
      </c>
      <c r="N794">
        <v>39</v>
      </c>
      <c r="O794">
        <v>25</v>
      </c>
      <c r="P794">
        <v>5.8299999999999998E-2</v>
      </c>
      <c r="Q794">
        <v>52.58</v>
      </c>
      <c r="R794">
        <v>1.74</v>
      </c>
      <c r="S794">
        <v>2</v>
      </c>
      <c r="T794">
        <v>4</v>
      </c>
      <c r="U794">
        <v>8</v>
      </c>
      <c r="V794">
        <v>115</v>
      </c>
      <c r="W794">
        <v>445.64</v>
      </c>
      <c r="X794">
        <v>0.46639999999999998</v>
      </c>
      <c r="Y794">
        <v>1.2083333333333333</v>
      </c>
      <c r="Z794">
        <v>7.0445833333333333E-2</v>
      </c>
      <c r="AA794">
        <v>0.15104166666666666</v>
      </c>
      <c r="AB794">
        <v>50.46</v>
      </c>
      <c r="AC794">
        <v>1</v>
      </c>
      <c r="AD794" s="1" t="s">
        <v>44</v>
      </c>
      <c r="AE794">
        <v>0</v>
      </c>
      <c r="AF794">
        <v>1</v>
      </c>
      <c r="AG794">
        <v>19.967105263157897</v>
      </c>
    </row>
    <row r="795" spans="1:33">
      <c r="A795" s="1" t="s">
        <v>815</v>
      </c>
      <c r="B795" s="1" t="s">
        <v>1861</v>
      </c>
      <c r="C795" s="2">
        <v>46401</v>
      </c>
      <c r="D795" s="1" t="s">
        <v>153</v>
      </c>
      <c r="E795">
        <v>17</v>
      </c>
      <c r="F795" s="2">
        <v>46081</v>
      </c>
      <c r="G795" s="1" t="s">
        <v>816</v>
      </c>
      <c r="H795" s="1" t="s">
        <v>781</v>
      </c>
      <c r="I795" s="1" t="s">
        <v>37</v>
      </c>
      <c r="J795" s="1" t="s">
        <v>782</v>
      </c>
      <c r="K795" s="1" t="s">
        <v>39</v>
      </c>
      <c r="L795">
        <v>24</v>
      </c>
      <c r="M795">
        <v>59.8</v>
      </c>
      <c r="N795">
        <v>39</v>
      </c>
      <c r="O795">
        <v>25</v>
      </c>
      <c r="P795">
        <v>5.8299999999999998E-2</v>
      </c>
      <c r="Q795">
        <v>52.58</v>
      </c>
      <c r="R795">
        <v>1.74</v>
      </c>
      <c r="S795">
        <v>2</v>
      </c>
      <c r="T795">
        <v>4</v>
      </c>
      <c r="U795">
        <v>8</v>
      </c>
      <c r="V795">
        <v>115</v>
      </c>
      <c r="W795">
        <v>445.64</v>
      </c>
      <c r="X795">
        <v>0.46639999999999998</v>
      </c>
      <c r="Y795">
        <v>0.70833333333333337</v>
      </c>
      <c r="Z795">
        <v>4.1295833333333337E-2</v>
      </c>
      <c r="AA795">
        <v>8.8541666666666671E-2</v>
      </c>
      <c r="AB795">
        <v>29.58</v>
      </c>
      <c r="AC795">
        <v>1</v>
      </c>
      <c r="AD795" s="1" t="s">
        <v>74</v>
      </c>
      <c r="AE795">
        <v>0</v>
      </c>
      <c r="AF795">
        <v>0</v>
      </c>
      <c r="AG795">
        <v>10.526315789473685</v>
      </c>
    </row>
    <row r="796" spans="1:33">
      <c r="A796" s="1" t="s">
        <v>817</v>
      </c>
      <c r="B796" s="1" t="s">
        <v>1862</v>
      </c>
      <c r="C796" s="2">
        <v>47040</v>
      </c>
      <c r="D796" s="1" t="s">
        <v>34</v>
      </c>
      <c r="E796">
        <v>2641</v>
      </c>
      <c r="F796" s="2">
        <v>46081</v>
      </c>
      <c r="G796" s="1" t="s">
        <v>818</v>
      </c>
      <c r="H796" s="1" t="s">
        <v>781</v>
      </c>
      <c r="I796" s="1" t="s">
        <v>37</v>
      </c>
      <c r="J796" s="1" t="s">
        <v>782</v>
      </c>
      <c r="K796" s="1" t="s">
        <v>39</v>
      </c>
      <c r="L796">
        <v>10</v>
      </c>
      <c r="M796">
        <v>42.8</v>
      </c>
      <c r="N796">
        <v>35.1</v>
      </c>
      <c r="O796">
        <v>24.4</v>
      </c>
      <c r="P796">
        <v>3.6659999999999998E-2</v>
      </c>
      <c r="Q796">
        <v>36.5</v>
      </c>
      <c r="R796">
        <v>1.99</v>
      </c>
      <c r="S796">
        <v>5</v>
      </c>
      <c r="T796">
        <v>3</v>
      </c>
      <c r="U796">
        <v>15</v>
      </c>
      <c r="V796">
        <v>88.199999999999989</v>
      </c>
      <c r="W796">
        <v>572.5</v>
      </c>
      <c r="X796">
        <v>0.54989999999999994</v>
      </c>
      <c r="Y796">
        <v>264.10000000000002</v>
      </c>
      <c r="Z796">
        <v>9.6819059999999997</v>
      </c>
      <c r="AA796">
        <v>17.606666666666669</v>
      </c>
      <c r="AB796">
        <v>5255.59</v>
      </c>
      <c r="AC796">
        <v>18</v>
      </c>
      <c r="AD796" s="1" t="s">
        <v>40</v>
      </c>
      <c r="AE796">
        <v>18</v>
      </c>
      <c r="AF796">
        <v>0</v>
      </c>
      <c r="AG796">
        <v>31.546052631578949</v>
      </c>
    </row>
    <row r="797" spans="1:33">
      <c r="A797" s="1" t="s">
        <v>817</v>
      </c>
      <c r="B797" s="1" t="s">
        <v>1863</v>
      </c>
      <c r="C797" s="2">
        <v>46743</v>
      </c>
      <c r="D797" s="1" t="s">
        <v>34</v>
      </c>
      <c r="E797">
        <v>834</v>
      </c>
      <c r="F797" s="2">
        <v>46081</v>
      </c>
      <c r="G797" s="1" t="s">
        <v>818</v>
      </c>
      <c r="H797" s="1" t="s">
        <v>781</v>
      </c>
      <c r="I797" s="1" t="s">
        <v>37</v>
      </c>
      <c r="J797" s="1" t="s">
        <v>782</v>
      </c>
      <c r="K797" s="1" t="s">
        <v>39</v>
      </c>
      <c r="L797">
        <v>10</v>
      </c>
      <c r="M797">
        <v>42.8</v>
      </c>
      <c r="N797">
        <v>35.1</v>
      </c>
      <c r="O797">
        <v>24.4</v>
      </c>
      <c r="P797">
        <v>3.6659999999999998E-2</v>
      </c>
      <c r="Q797">
        <v>36.5</v>
      </c>
      <c r="R797">
        <v>1.99</v>
      </c>
      <c r="S797">
        <v>5</v>
      </c>
      <c r="T797">
        <v>3</v>
      </c>
      <c r="U797">
        <v>15</v>
      </c>
      <c r="V797">
        <v>88.199999999999989</v>
      </c>
      <c r="W797">
        <v>572.5</v>
      </c>
      <c r="X797">
        <v>0.54989999999999994</v>
      </c>
      <c r="Y797">
        <v>83.4</v>
      </c>
      <c r="Z797">
        <v>3.0574440000000003</v>
      </c>
      <c r="AA797">
        <v>5.5600000000000005</v>
      </c>
      <c r="AB797">
        <v>1659.66</v>
      </c>
      <c r="AC797">
        <v>6</v>
      </c>
      <c r="AD797" s="1" t="s">
        <v>40</v>
      </c>
      <c r="AE797">
        <v>6</v>
      </c>
      <c r="AF797">
        <v>0</v>
      </c>
      <c r="AG797">
        <v>21.776315789473685</v>
      </c>
    </row>
    <row r="798" spans="1:33">
      <c r="A798" s="1" t="s">
        <v>817</v>
      </c>
      <c r="B798" s="1" t="s">
        <v>1864</v>
      </c>
      <c r="C798" s="2">
        <v>46479</v>
      </c>
      <c r="D798" s="1" t="s">
        <v>45</v>
      </c>
      <c r="E798">
        <v>69</v>
      </c>
      <c r="F798" s="2">
        <v>46081</v>
      </c>
      <c r="G798" s="1" t="s">
        <v>818</v>
      </c>
      <c r="H798" s="1" t="s">
        <v>781</v>
      </c>
      <c r="I798" s="1" t="s">
        <v>37</v>
      </c>
      <c r="J798" s="1" t="s">
        <v>782</v>
      </c>
      <c r="K798" s="1" t="s">
        <v>39</v>
      </c>
      <c r="L798">
        <v>10</v>
      </c>
      <c r="M798">
        <v>42.8</v>
      </c>
      <c r="N798">
        <v>35.1</v>
      </c>
      <c r="O798">
        <v>24.4</v>
      </c>
      <c r="P798">
        <v>3.6659999999999998E-2</v>
      </c>
      <c r="Q798">
        <v>36.5</v>
      </c>
      <c r="R798">
        <v>1.99</v>
      </c>
      <c r="S798">
        <v>5</v>
      </c>
      <c r="T798">
        <v>3</v>
      </c>
      <c r="U798">
        <v>15</v>
      </c>
      <c r="V798">
        <v>88.199999999999989</v>
      </c>
      <c r="W798">
        <v>572.5</v>
      </c>
      <c r="X798">
        <v>0.54989999999999994</v>
      </c>
      <c r="Y798">
        <v>6.9</v>
      </c>
      <c r="Z798">
        <v>0.25295400000000001</v>
      </c>
      <c r="AA798">
        <v>0.46</v>
      </c>
      <c r="AB798">
        <v>137.31</v>
      </c>
      <c r="AC798">
        <v>1</v>
      </c>
      <c r="AD798" s="1" t="s">
        <v>40</v>
      </c>
      <c r="AE798">
        <v>1</v>
      </c>
      <c r="AF798">
        <v>0</v>
      </c>
      <c r="AG798">
        <v>13.092105263157896</v>
      </c>
    </row>
    <row r="799" spans="1:33">
      <c r="A799" s="1" t="s">
        <v>819</v>
      </c>
      <c r="B799" s="1" t="s">
        <v>1865</v>
      </c>
      <c r="C799" s="2">
        <v>47092</v>
      </c>
      <c r="D799" s="1" t="s">
        <v>34</v>
      </c>
      <c r="E799">
        <v>7</v>
      </c>
      <c r="F799" s="2">
        <v>46081</v>
      </c>
      <c r="G799" s="1" t="s">
        <v>820</v>
      </c>
      <c r="H799" s="1" t="s">
        <v>781</v>
      </c>
      <c r="I799" s="1" t="s">
        <v>37</v>
      </c>
      <c r="J799" s="1" t="s">
        <v>782</v>
      </c>
      <c r="K799" s="1" t="s">
        <v>39</v>
      </c>
      <c r="L799">
        <v>12</v>
      </c>
      <c r="M799">
        <v>45.6</v>
      </c>
      <c r="N799">
        <v>38.4</v>
      </c>
      <c r="O799">
        <v>24.1</v>
      </c>
      <c r="P799">
        <v>4.2200000000000001E-2</v>
      </c>
      <c r="Q799">
        <v>41.51</v>
      </c>
      <c r="R799">
        <v>2.0299999999999998</v>
      </c>
      <c r="S799">
        <v>6</v>
      </c>
      <c r="T799">
        <v>2</v>
      </c>
      <c r="U799">
        <v>12</v>
      </c>
      <c r="V799">
        <v>63.2</v>
      </c>
      <c r="W799">
        <v>523.12</v>
      </c>
      <c r="X799">
        <v>0.50639999999999996</v>
      </c>
      <c r="Y799">
        <v>0.58333333333333337</v>
      </c>
      <c r="Z799">
        <v>2.4616666666666669E-2</v>
      </c>
      <c r="AA799">
        <v>4.8611111111111112E-2</v>
      </c>
      <c r="AB799">
        <v>14.209999999999999</v>
      </c>
      <c r="AC799">
        <v>1</v>
      </c>
      <c r="AD799" s="1" t="s">
        <v>44</v>
      </c>
      <c r="AE799">
        <v>0</v>
      </c>
      <c r="AF799">
        <v>1</v>
      </c>
      <c r="AG799">
        <v>33.256578947368425</v>
      </c>
    </row>
    <row r="800" spans="1:33">
      <c r="A800" s="1" t="s">
        <v>819</v>
      </c>
      <c r="B800" s="1" t="s">
        <v>1866</v>
      </c>
      <c r="C800" s="2">
        <v>46578</v>
      </c>
      <c r="D800" s="1" t="s">
        <v>34</v>
      </c>
      <c r="E800">
        <v>3</v>
      </c>
      <c r="F800" s="2">
        <v>46081</v>
      </c>
      <c r="G800" s="1" t="s">
        <v>820</v>
      </c>
      <c r="H800" s="1" t="s">
        <v>781</v>
      </c>
      <c r="I800" s="1" t="s">
        <v>37</v>
      </c>
      <c r="J800" s="1" t="s">
        <v>782</v>
      </c>
      <c r="K800" s="1" t="s">
        <v>39</v>
      </c>
      <c r="L800">
        <v>12</v>
      </c>
      <c r="M800">
        <v>45.6</v>
      </c>
      <c r="N800">
        <v>38.4</v>
      </c>
      <c r="O800">
        <v>24.1</v>
      </c>
      <c r="P800">
        <v>4.2200000000000001E-2</v>
      </c>
      <c r="Q800">
        <v>41.51</v>
      </c>
      <c r="R800">
        <v>2.0299999999999998</v>
      </c>
      <c r="S800">
        <v>6</v>
      </c>
      <c r="T800">
        <v>2</v>
      </c>
      <c r="U800">
        <v>12</v>
      </c>
      <c r="V800">
        <v>63.2</v>
      </c>
      <c r="W800">
        <v>523.12</v>
      </c>
      <c r="X800">
        <v>0.50639999999999996</v>
      </c>
      <c r="Y800">
        <v>0.25</v>
      </c>
      <c r="Z800">
        <v>1.055E-2</v>
      </c>
      <c r="AA800">
        <v>2.0833333333333332E-2</v>
      </c>
      <c r="AB800">
        <v>6.09</v>
      </c>
      <c r="AC800">
        <v>1</v>
      </c>
      <c r="AD800" s="1" t="s">
        <v>44</v>
      </c>
      <c r="AE800">
        <v>0</v>
      </c>
      <c r="AF800">
        <v>1</v>
      </c>
      <c r="AG800">
        <v>16.348684210526315</v>
      </c>
    </row>
    <row r="801" spans="1:33">
      <c r="A801" s="1" t="s">
        <v>819</v>
      </c>
      <c r="B801" s="1" t="s">
        <v>1867</v>
      </c>
      <c r="C801" s="2">
        <v>46247</v>
      </c>
      <c r="D801" s="1" t="s">
        <v>34</v>
      </c>
      <c r="E801">
        <v>10</v>
      </c>
      <c r="F801" s="2">
        <v>46081</v>
      </c>
      <c r="G801" s="1" t="s">
        <v>820</v>
      </c>
      <c r="H801" s="1" t="s">
        <v>781</v>
      </c>
      <c r="I801" s="1" t="s">
        <v>37</v>
      </c>
      <c r="J801" s="1" t="s">
        <v>782</v>
      </c>
      <c r="K801" s="1" t="s">
        <v>39</v>
      </c>
      <c r="L801">
        <v>12</v>
      </c>
      <c r="M801">
        <v>45.6</v>
      </c>
      <c r="N801">
        <v>38.4</v>
      </c>
      <c r="O801">
        <v>24.1</v>
      </c>
      <c r="P801">
        <v>4.2200000000000001E-2</v>
      </c>
      <c r="Q801">
        <v>41.51</v>
      </c>
      <c r="R801">
        <v>2.0299999999999998</v>
      </c>
      <c r="S801">
        <v>6</v>
      </c>
      <c r="T801">
        <v>2</v>
      </c>
      <c r="U801">
        <v>12</v>
      </c>
      <c r="V801">
        <v>63.2</v>
      </c>
      <c r="W801">
        <v>523.12</v>
      </c>
      <c r="X801">
        <v>0.50639999999999996</v>
      </c>
      <c r="Y801">
        <v>0.83333333333333337</v>
      </c>
      <c r="Z801">
        <v>3.5166666666666672E-2</v>
      </c>
      <c r="AA801">
        <v>6.9444444444444448E-2</v>
      </c>
      <c r="AB801">
        <v>20.299999999999997</v>
      </c>
      <c r="AC801">
        <v>1</v>
      </c>
      <c r="AD801" s="1" t="s">
        <v>44</v>
      </c>
      <c r="AE801">
        <v>0</v>
      </c>
      <c r="AF801">
        <v>1</v>
      </c>
      <c r="AG801">
        <v>5.4605263157894743</v>
      </c>
    </row>
    <row r="802" spans="1:33">
      <c r="A802" s="1" t="s">
        <v>819</v>
      </c>
      <c r="B802" s="1" t="s">
        <v>1868</v>
      </c>
      <c r="C802" s="2">
        <v>46313</v>
      </c>
      <c r="D802" s="1" t="s">
        <v>34</v>
      </c>
      <c r="E802">
        <v>3</v>
      </c>
      <c r="F802" s="2">
        <v>46081</v>
      </c>
      <c r="G802" s="1" t="s">
        <v>820</v>
      </c>
      <c r="H802" s="1" t="s">
        <v>781</v>
      </c>
      <c r="I802" s="1" t="s">
        <v>37</v>
      </c>
      <c r="J802" s="1" t="s">
        <v>782</v>
      </c>
      <c r="K802" s="1" t="s">
        <v>39</v>
      </c>
      <c r="L802">
        <v>12</v>
      </c>
      <c r="M802">
        <v>45.6</v>
      </c>
      <c r="N802">
        <v>38.4</v>
      </c>
      <c r="O802">
        <v>24.1</v>
      </c>
      <c r="P802">
        <v>4.2200000000000001E-2</v>
      </c>
      <c r="Q802">
        <v>41.51</v>
      </c>
      <c r="R802">
        <v>2.0299999999999998</v>
      </c>
      <c r="S802">
        <v>6</v>
      </c>
      <c r="T802">
        <v>2</v>
      </c>
      <c r="U802">
        <v>12</v>
      </c>
      <c r="V802">
        <v>63.2</v>
      </c>
      <c r="W802">
        <v>523.12</v>
      </c>
      <c r="X802">
        <v>0.50639999999999996</v>
      </c>
      <c r="Y802">
        <v>0.25</v>
      </c>
      <c r="Z802">
        <v>1.055E-2</v>
      </c>
      <c r="AA802">
        <v>2.0833333333333332E-2</v>
      </c>
      <c r="AB802">
        <v>6.09</v>
      </c>
      <c r="AC802">
        <v>1</v>
      </c>
      <c r="AD802" s="1" t="s">
        <v>44</v>
      </c>
      <c r="AE802">
        <v>0</v>
      </c>
      <c r="AF802">
        <v>1</v>
      </c>
      <c r="AG802">
        <v>7.6315789473684212</v>
      </c>
    </row>
    <row r="803" spans="1:33">
      <c r="A803" s="1" t="s">
        <v>821</v>
      </c>
      <c r="B803" s="1" t="s">
        <v>1869</v>
      </c>
      <c r="C803" s="2">
        <v>46379</v>
      </c>
      <c r="D803" s="1" t="s">
        <v>34</v>
      </c>
      <c r="E803">
        <v>684</v>
      </c>
      <c r="F803" s="2">
        <v>46081</v>
      </c>
      <c r="G803" s="1" t="s">
        <v>822</v>
      </c>
      <c r="H803" s="1" t="s">
        <v>781</v>
      </c>
      <c r="I803" s="1" t="s">
        <v>37</v>
      </c>
      <c r="J803" s="1" t="s">
        <v>782</v>
      </c>
      <c r="K803" s="1" t="s">
        <v>39</v>
      </c>
      <c r="L803">
        <v>24</v>
      </c>
      <c r="M803">
        <v>58.6</v>
      </c>
      <c r="N803">
        <v>33.799999999999997</v>
      </c>
      <c r="O803">
        <v>28.2</v>
      </c>
      <c r="P803">
        <v>5.586E-2</v>
      </c>
      <c r="Q803">
        <v>50.39</v>
      </c>
      <c r="R803">
        <v>3.7</v>
      </c>
      <c r="S803">
        <v>4</v>
      </c>
      <c r="T803">
        <v>3</v>
      </c>
      <c r="U803">
        <v>12</v>
      </c>
      <c r="V803">
        <v>99.6</v>
      </c>
      <c r="W803">
        <v>629.68000000000006</v>
      </c>
      <c r="X803">
        <v>0.67032000000000003</v>
      </c>
      <c r="Y803">
        <v>28.5</v>
      </c>
      <c r="Z803">
        <v>1.5920099999999999</v>
      </c>
      <c r="AA803">
        <v>2.375</v>
      </c>
      <c r="AB803">
        <v>2530.8000000000002</v>
      </c>
      <c r="AC803">
        <v>3</v>
      </c>
      <c r="AD803" s="1" t="s">
        <v>40</v>
      </c>
      <c r="AE803">
        <v>3</v>
      </c>
      <c r="AF803">
        <v>0</v>
      </c>
      <c r="AG803">
        <v>9.8026315789473681</v>
      </c>
    </row>
    <row r="804" spans="1:33">
      <c r="A804" s="1" t="s">
        <v>821</v>
      </c>
      <c r="B804" s="1" t="s">
        <v>1870</v>
      </c>
      <c r="C804" s="2">
        <v>47018</v>
      </c>
      <c r="D804" s="1" t="s">
        <v>34</v>
      </c>
      <c r="E804">
        <v>1250</v>
      </c>
      <c r="F804" s="2">
        <v>46081</v>
      </c>
      <c r="G804" s="1" t="s">
        <v>822</v>
      </c>
      <c r="H804" s="1" t="s">
        <v>781</v>
      </c>
      <c r="I804" s="1" t="s">
        <v>37</v>
      </c>
      <c r="J804" s="1" t="s">
        <v>782</v>
      </c>
      <c r="K804" s="1" t="s">
        <v>39</v>
      </c>
      <c r="L804">
        <v>24</v>
      </c>
      <c r="M804">
        <v>58.6</v>
      </c>
      <c r="N804">
        <v>33.799999999999997</v>
      </c>
      <c r="O804">
        <v>28.2</v>
      </c>
      <c r="P804">
        <v>5.586E-2</v>
      </c>
      <c r="Q804">
        <v>50.39</v>
      </c>
      <c r="R804">
        <v>3.7</v>
      </c>
      <c r="S804">
        <v>4</v>
      </c>
      <c r="T804">
        <v>3</v>
      </c>
      <c r="U804">
        <v>12</v>
      </c>
      <c r="V804">
        <v>99.6</v>
      </c>
      <c r="W804">
        <v>629.68000000000006</v>
      </c>
      <c r="X804">
        <v>0.67032000000000003</v>
      </c>
      <c r="Y804">
        <v>52.083333333333336</v>
      </c>
      <c r="Z804">
        <v>2.9093750000000003</v>
      </c>
      <c r="AA804">
        <v>4.3402777777777777</v>
      </c>
      <c r="AB804">
        <v>4625</v>
      </c>
      <c r="AC804">
        <v>5</v>
      </c>
      <c r="AD804" s="1" t="s">
        <v>40</v>
      </c>
      <c r="AE804">
        <v>5</v>
      </c>
      <c r="AF804">
        <v>0</v>
      </c>
      <c r="AG804">
        <v>30.822368421052634</v>
      </c>
    </row>
    <row r="805" spans="1:33">
      <c r="A805" s="1" t="s">
        <v>823</v>
      </c>
      <c r="B805" s="1" t="s">
        <v>1871</v>
      </c>
      <c r="C805" s="2">
        <v>46895</v>
      </c>
      <c r="D805" s="1" t="s">
        <v>34</v>
      </c>
      <c r="E805">
        <v>278</v>
      </c>
      <c r="F805" s="2">
        <v>46081</v>
      </c>
      <c r="G805" s="1" t="s">
        <v>824</v>
      </c>
      <c r="H805" s="1" t="s">
        <v>781</v>
      </c>
      <c r="I805" s="1" t="s">
        <v>37</v>
      </c>
      <c r="J805" s="1" t="s">
        <v>782</v>
      </c>
      <c r="K805" s="1" t="s">
        <v>39</v>
      </c>
      <c r="L805">
        <v>12</v>
      </c>
      <c r="M805">
        <v>45.2</v>
      </c>
      <c r="N805">
        <v>32.9</v>
      </c>
      <c r="O805">
        <v>20.6</v>
      </c>
      <c r="P805">
        <v>3.0630000000000001E-2</v>
      </c>
      <c r="Q805">
        <v>28.09</v>
      </c>
      <c r="R805">
        <v>2.72</v>
      </c>
      <c r="S805">
        <v>5</v>
      </c>
      <c r="T805">
        <v>4</v>
      </c>
      <c r="U805">
        <v>20</v>
      </c>
      <c r="V805">
        <v>97.4</v>
      </c>
      <c r="W805">
        <v>586.79999999999995</v>
      </c>
      <c r="X805">
        <v>0.61260000000000003</v>
      </c>
      <c r="Y805">
        <v>23.166666666666668</v>
      </c>
      <c r="Z805">
        <v>0.70959500000000009</v>
      </c>
      <c r="AA805">
        <v>1.1583333333333334</v>
      </c>
      <c r="AB805">
        <v>756.16000000000008</v>
      </c>
      <c r="AC805">
        <v>2</v>
      </c>
      <c r="AD805" s="1" t="s">
        <v>40</v>
      </c>
      <c r="AE805">
        <v>2</v>
      </c>
      <c r="AF805">
        <v>0</v>
      </c>
      <c r="AG805">
        <v>26.776315789473685</v>
      </c>
    </row>
    <row r="806" spans="1:33">
      <c r="A806" s="1" t="s">
        <v>823</v>
      </c>
      <c r="B806" s="1" t="s">
        <v>1872</v>
      </c>
      <c r="C806" s="2">
        <v>46469</v>
      </c>
      <c r="D806" s="1" t="s">
        <v>34</v>
      </c>
      <c r="E806">
        <v>545</v>
      </c>
      <c r="F806" s="2">
        <v>46081</v>
      </c>
      <c r="G806" s="1" t="s">
        <v>824</v>
      </c>
      <c r="H806" s="1" t="s">
        <v>781</v>
      </c>
      <c r="I806" s="1" t="s">
        <v>37</v>
      </c>
      <c r="J806" s="1" t="s">
        <v>782</v>
      </c>
      <c r="K806" s="1" t="s">
        <v>39</v>
      </c>
      <c r="L806">
        <v>12</v>
      </c>
      <c r="M806">
        <v>45.2</v>
      </c>
      <c r="N806">
        <v>32.9</v>
      </c>
      <c r="O806">
        <v>20.6</v>
      </c>
      <c r="P806">
        <v>3.0630000000000001E-2</v>
      </c>
      <c r="Q806">
        <v>28.09</v>
      </c>
      <c r="R806">
        <v>2.72</v>
      </c>
      <c r="S806">
        <v>5</v>
      </c>
      <c r="T806">
        <v>4</v>
      </c>
      <c r="U806">
        <v>20</v>
      </c>
      <c r="V806">
        <v>97.4</v>
      </c>
      <c r="W806">
        <v>586.79999999999995</v>
      </c>
      <c r="X806">
        <v>0.61260000000000003</v>
      </c>
      <c r="Y806">
        <v>45.416666666666664</v>
      </c>
      <c r="Z806">
        <v>1.3911125</v>
      </c>
      <c r="AA806">
        <v>2.270833333333333</v>
      </c>
      <c r="AB806">
        <v>1482.4</v>
      </c>
      <c r="AC806">
        <v>3</v>
      </c>
      <c r="AD806" s="1" t="s">
        <v>40</v>
      </c>
      <c r="AE806">
        <v>3</v>
      </c>
      <c r="AF806">
        <v>0</v>
      </c>
      <c r="AG806">
        <v>12.763157894736842</v>
      </c>
    </row>
    <row r="807" spans="1:33">
      <c r="A807" s="1" t="s">
        <v>825</v>
      </c>
      <c r="B807" s="1" t="s">
        <v>1873</v>
      </c>
      <c r="C807" s="2">
        <v>46301</v>
      </c>
      <c r="D807" s="1" t="s">
        <v>34</v>
      </c>
      <c r="E807">
        <v>62</v>
      </c>
      <c r="F807" s="2">
        <v>46081</v>
      </c>
      <c r="G807" s="1" t="s">
        <v>826</v>
      </c>
      <c r="H807" s="1" t="s">
        <v>781</v>
      </c>
      <c r="I807" s="1" t="s">
        <v>37</v>
      </c>
      <c r="J807" s="1" t="s">
        <v>782</v>
      </c>
      <c r="K807" s="1" t="s">
        <v>39</v>
      </c>
      <c r="L807">
        <v>12</v>
      </c>
      <c r="M807">
        <v>41.6</v>
      </c>
      <c r="N807">
        <v>35.5</v>
      </c>
      <c r="O807">
        <v>26.9</v>
      </c>
      <c r="P807">
        <v>3.9730000000000001E-2</v>
      </c>
      <c r="Q807">
        <v>37.6</v>
      </c>
      <c r="R807">
        <v>2.15</v>
      </c>
      <c r="S807">
        <v>6</v>
      </c>
      <c r="T807">
        <v>3</v>
      </c>
      <c r="U807">
        <v>18</v>
      </c>
      <c r="V807">
        <v>95.7</v>
      </c>
      <c r="W807">
        <v>701.80000000000007</v>
      </c>
      <c r="X807">
        <v>0.71514</v>
      </c>
      <c r="Y807">
        <v>5.166666666666667</v>
      </c>
      <c r="Z807">
        <v>0.20527166666666669</v>
      </c>
      <c r="AA807">
        <v>0.28703703703703703</v>
      </c>
      <c r="AB807">
        <v>133.29999999999998</v>
      </c>
      <c r="AC807">
        <v>1</v>
      </c>
      <c r="AD807" s="1" t="s">
        <v>44</v>
      </c>
      <c r="AE807">
        <v>0</v>
      </c>
      <c r="AF807">
        <v>1</v>
      </c>
      <c r="AG807">
        <v>7.2368421052631584</v>
      </c>
    </row>
    <row r="808" spans="1:33">
      <c r="A808" s="1" t="s">
        <v>825</v>
      </c>
      <c r="B808" s="1" t="s">
        <v>1874</v>
      </c>
      <c r="C808" s="2">
        <v>47017</v>
      </c>
      <c r="D808" s="1" t="s">
        <v>34</v>
      </c>
      <c r="E808">
        <v>424</v>
      </c>
      <c r="F808" s="2">
        <v>46081</v>
      </c>
      <c r="G808" s="1" t="s">
        <v>826</v>
      </c>
      <c r="H808" s="1" t="s">
        <v>781</v>
      </c>
      <c r="I808" s="1" t="s">
        <v>37</v>
      </c>
      <c r="J808" s="1" t="s">
        <v>782</v>
      </c>
      <c r="K808" s="1" t="s">
        <v>39</v>
      </c>
      <c r="L808">
        <v>12</v>
      </c>
      <c r="M808">
        <v>41.6</v>
      </c>
      <c r="N808">
        <v>35.5</v>
      </c>
      <c r="O808">
        <v>26.9</v>
      </c>
      <c r="P808">
        <v>3.9730000000000001E-2</v>
      </c>
      <c r="Q808">
        <v>37.6</v>
      </c>
      <c r="R808">
        <v>2.15</v>
      </c>
      <c r="S808">
        <v>6</v>
      </c>
      <c r="T808">
        <v>3</v>
      </c>
      <c r="U808">
        <v>18</v>
      </c>
      <c r="V808">
        <v>95.7</v>
      </c>
      <c r="W808">
        <v>701.80000000000007</v>
      </c>
      <c r="X808">
        <v>0.71514</v>
      </c>
      <c r="Y808">
        <v>35.333333333333336</v>
      </c>
      <c r="Z808">
        <v>1.4037933333333334</v>
      </c>
      <c r="AA808">
        <v>1.962962962962963</v>
      </c>
      <c r="AB808">
        <v>911.59999999999991</v>
      </c>
      <c r="AC808">
        <v>2</v>
      </c>
      <c r="AD808" s="1" t="s">
        <v>40</v>
      </c>
      <c r="AE808">
        <v>2</v>
      </c>
      <c r="AF808">
        <v>0</v>
      </c>
      <c r="AG808">
        <v>30.789473684210527</v>
      </c>
    </row>
    <row r="809" spans="1:33">
      <c r="A809" s="1" t="s">
        <v>825</v>
      </c>
      <c r="B809" s="1" t="s">
        <v>1875</v>
      </c>
      <c r="C809" s="2">
        <v>47008</v>
      </c>
      <c r="D809" s="1" t="s">
        <v>34</v>
      </c>
      <c r="E809">
        <v>159</v>
      </c>
      <c r="F809" s="2">
        <v>46081</v>
      </c>
      <c r="G809" s="1" t="s">
        <v>826</v>
      </c>
      <c r="H809" s="1" t="s">
        <v>781</v>
      </c>
      <c r="I809" s="1" t="s">
        <v>37</v>
      </c>
      <c r="J809" s="1" t="s">
        <v>782</v>
      </c>
      <c r="K809" s="1" t="s">
        <v>39</v>
      </c>
      <c r="L809">
        <v>12</v>
      </c>
      <c r="M809">
        <v>41.6</v>
      </c>
      <c r="N809">
        <v>35.5</v>
      </c>
      <c r="O809">
        <v>26.9</v>
      </c>
      <c r="P809">
        <v>3.9730000000000001E-2</v>
      </c>
      <c r="Q809">
        <v>37.6</v>
      </c>
      <c r="R809">
        <v>2.15</v>
      </c>
      <c r="S809">
        <v>6</v>
      </c>
      <c r="T809">
        <v>3</v>
      </c>
      <c r="U809">
        <v>18</v>
      </c>
      <c r="V809">
        <v>95.7</v>
      </c>
      <c r="W809">
        <v>701.80000000000007</v>
      </c>
      <c r="X809">
        <v>0.71514</v>
      </c>
      <c r="Y809">
        <v>13.25</v>
      </c>
      <c r="Z809">
        <v>0.52642250000000002</v>
      </c>
      <c r="AA809">
        <v>0.73611111111111116</v>
      </c>
      <c r="AB809">
        <v>341.84999999999997</v>
      </c>
      <c r="AC809">
        <v>1</v>
      </c>
      <c r="AD809" s="1" t="s">
        <v>40</v>
      </c>
      <c r="AE809">
        <v>1</v>
      </c>
      <c r="AF809">
        <v>0</v>
      </c>
      <c r="AG809">
        <v>30.493421052631579</v>
      </c>
    </row>
    <row r="810" spans="1:33">
      <c r="A810" s="1" t="s">
        <v>825</v>
      </c>
      <c r="B810" s="1" t="s">
        <v>1876</v>
      </c>
      <c r="C810" s="2">
        <v>46346</v>
      </c>
      <c r="D810" s="1" t="s">
        <v>34</v>
      </c>
      <c r="E810">
        <v>102</v>
      </c>
      <c r="F810" s="2">
        <v>46081</v>
      </c>
      <c r="G810" s="1" t="s">
        <v>826</v>
      </c>
      <c r="H810" s="1" t="s">
        <v>781</v>
      </c>
      <c r="I810" s="1" t="s">
        <v>37</v>
      </c>
      <c r="J810" s="1" t="s">
        <v>782</v>
      </c>
      <c r="K810" s="1" t="s">
        <v>39</v>
      </c>
      <c r="L810">
        <v>12</v>
      </c>
      <c r="M810">
        <v>41.6</v>
      </c>
      <c r="N810">
        <v>35.5</v>
      </c>
      <c r="O810">
        <v>26.9</v>
      </c>
      <c r="P810">
        <v>3.9730000000000001E-2</v>
      </c>
      <c r="Q810">
        <v>37.6</v>
      </c>
      <c r="R810">
        <v>2.15</v>
      </c>
      <c r="S810">
        <v>6</v>
      </c>
      <c r="T810">
        <v>3</v>
      </c>
      <c r="U810">
        <v>18</v>
      </c>
      <c r="V810">
        <v>95.7</v>
      </c>
      <c r="W810">
        <v>701.80000000000007</v>
      </c>
      <c r="X810">
        <v>0.71514</v>
      </c>
      <c r="Y810">
        <v>8.5</v>
      </c>
      <c r="Z810">
        <v>0.33770500000000003</v>
      </c>
      <c r="AA810">
        <v>0.47222222222222221</v>
      </c>
      <c r="AB810">
        <v>219.29999999999998</v>
      </c>
      <c r="AC810">
        <v>1</v>
      </c>
      <c r="AD810" s="1" t="s">
        <v>40</v>
      </c>
      <c r="AE810">
        <v>1</v>
      </c>
      <c r="AF810">
        <v>0</v>
      </c>
      <c r="AG810">
        <v>8.7171052631578956</v>
      </c>
    </row>
    <row r="811" spans="1:33">
      <c r="A811" s="1" t="s">
        <v>827</v>
      </c>
      <c r="B811" s="1" t="s">
        <v>1877</v>
      </c>
      <c r="C811" s="2">
        <v>46834</v>
      </c>
      <c r="D811" s="1" t="s">
        <v>34</v>
      </c>
      <c r="E811">
        <v>5276</v>
      </c>
      <c r="F811" s="2">
        <v>46081</v>
      </c>
      <c r="G811" s="1" t="s">
        <v>828</v>
      </c>
      <c r="H811" s="1" t="s">
        <v>781</v>
      </c>
      <c r="I811" s="1" t="s">
        <v>37</v>
      </c>
      <c r="J811" s="1" t="s">
        <v>782</v>
      </c>
      <c r="K811" s="1" t="s">
        <v>39</v>
      </c>
      <c r="L811">
        <v>20</v>
      </c>
      <c r="M811">
        <v>49.2</v>
      </c>
      <c r="N811">
        <v>35.200000000000003</v>
      </c>
      <c r="O811">
        <v>24.1</v>
      </c>
      <c r="P811">
        <v>4.1739999999999999E-2</v>
      </c>
      <c r="Q811">
        <v>38.83</v>
      </c>
      <c r="R811">
        <v>4.03</v>
      </c>
      <c r="S811">
        <v>6</v>
      </c>
      <c r="T811">
        <v>3</v>
      </c>
      <c r="U811">
        <v>18</v>
      </c>
      <c r="V811">
        <v>87.300000000000011</v>
      </c>
      <c r="W811">
        <v>723.93999999999994</v>
      </c>
      <c r="X811">
        <v>0.75131999999999999</v>
      </c>
      <c r="Y811">
        <v>263.8</v>
      </c>
      <c r="Z811">
        <v>11.011012000000001</v>
      </c>
      <c r="AA811">
        <v>14.655555555555557</v>
      </c>
      <c r="AB811">
        <v>21262.280000000002</v>
      </c>
      <c r="AC811">
        <v>15</v>
      </c>
      <c r="AD811" s="1" t="s">
        <v>40</v>
      </c>
      <c r="AE811">
        <v>15</v>
      </c>
      <c r="AF811">
        <v>0</v>
      </c>
      <c r="AG811">
        <v>24.769736842105264</v>
      </c>
    </row>
    <row r="812" spans="1:33">
      <c r="A812" s="1" t="s">
        <v>829</v>
      </c>
      <c r="B812" s="1" t="s">
        <v>1878</v>
      </c>
      <c r="C812" s="2">
        <v>46490</v>
      </c>
      <c r="D812" s="1" t="s">
        <v>34</v>
      </c>
      <c r="E812">
        <v>3079</v>
      </c>
      <c r="F812" s="2">
        <v>46081</v>
      </c>
      <c r="G812" s="1" t="s">
        <v>830</v>
      </c>
      <c r="H812" s="1" t="s">
        <v>781</v>
      </c>
      <c r="I812" s="1" t="s">
        <v>37</v>
      </c>
      <c r="J812" s="1" t="s">
        <v>782</v>
      </c>
      <c r="K812" s="1" t="s">
        <v>39</v>
      </c>
      <c r="L812">
        <v>12</v>
      </c>
      <c r="M812">
        <v>58.1</v>
      </c>
      <c r="N812">
        <v>32.5</v>
      </c>
      <c r="O812">
        <v>28.3</v>
      </c>
      <c r="P812">
        <v>5.3440000000000001E-2</v>
      </c>
      <c r="Q812">
        <v>52.24</v>
      </c>
      <c r="R812">
        <v>4.18</v>
      </c>
      <c r="S812">
        <v>6</v>
      </c>
      <c r="T812">
        <v>2</v>
      </c>
      <c r="U812">
        <v>12</v>
      </c>
      <c r="V812">
        <v>71.599999999999994</v>
      </c>
      <c r="W812">
        <v>651.88</v>
      </c>
      <c r="X812">
        <v>0.64128000000000007</v>
      </c>
      <c r="Y812">
        <v>256.58333333333331</v>
      </c>
      <c r="Z812">
        <v>13.711813333333332</v>
      </c>
      <c r="AA812">
        <v>21.381944444444443</v>
      </c>
      <c r="AB812">
        <v>12870.22</v>
      </c>
      <c r="AC812">
        <v>22</v>
      </c>
      <c r="AD812" s="1" t="s">
        <v>40</v>
      </c>
      <c r="AE812">
        <v>22</v>
      </c>
      <c r="AF812">
        <v>0</v>
      </c>
      <c r="AG812">
        <v>13.453947368421053</v>
      </c>
    </row>
    <row r="813" spans="1:33">
      <c r="A813" s="1" t="s">
        <v>829</v>
      </c>
      <c r="B813" s="1" t="s">
        <v>1879</v>
      </c>
      <c r="C813" s="2">
        <v>46221</v>
      </c>
      <c r="D813" s="1" t="s">
        <v>45</v>
      </c>
      <c r="E813">
        <v>61</v>
      </c>
      <c r="F813" s="2">
        <v>46081</v>
      </c>
      <c r="G813" s="1" t="s">
        <v>830</v>
      </c>
      <c r="H813" s="1" t="s">
        <v>781</v>
      </c>
      <c r="I813" s="1" t="s">
        <v>37</v>
      </c>
      <c r="J813" s="1" t="s">
        <v>782</v>
      </c>
      <c r="K813" s="1" t="s">
        <v>39</v>
      </c>
      <c r="L813">
        <v>12</v>
      </c>
      <c r="M813">
        <v>58.1</v>
      </c>
      <c r="N813">
        <v>32.5</v>
      </c>
      <c r="O813">
        <v>28.3</v>
      </c>
      <c r="P813">
        <v>5.3440000000000001E-2</v>
      </c>
      <c r="Q813">
        <v>52.24</v>
      </c>
      <c r="R813">
        <v>4.18</v>
      </c>
      <c r="S813">
        <v>6</v>
      </c>
      <c r="T813">
        <v>2</v>
      </c>
      <c r="U813">
        <v>12</v>
      </c>
      <c r="V813">
        <v>71.599999999999994</v>
      </c>
      <c r="W813">
        <v>651.88</v>
      </c>
      <c r="X813">
        <v>0.64128000000000007</v>
      </c>
      <c r="Y813">
        <v>5.083333333333333</v>
      </c>
      <c r="Z813">
        <v>0.2716533333333333</v>
      </c>
      <c r="AA813">
        <v>0.4236111111111111</v>
      </c>
      <c r="AB813">
        <v>254.98</v>
      </c>
      <c r="AC813">
        <v>1</v>
      </c>
      <c r="AD813" s="1" t="s">
        <v>40</v>
      </c>
      <c r="AE813">
        <v>1</v>
      </c>
      <c r="AF813">
        <v>0</v>
      </c>
      <c r="AG813">
        <v>4.6052631578947372</v>
      </c>
    </row>
    <row r="814" spans="1:33">
      <c r="A814" s="1" t="s">
        <v>831</v>
      </c>
      <c r="B814" s="1" t="s">
        <v>1880</v>
      </c>
      <c r="C814" s="2">
        <v>46604</v>
      </c>
      <c r="D814" s="1" t="s">
        <v>34</v>
      </c>
      <c r="E814">
        <v>281</v>
      </c>
      <c r="F814" s="2">
        <v>46081</v>
      </c>
      <c r="G814" s="1" t="s">
        <v>832</v>
      </c>
      <c r="H814" s="1" t="s">
        <v>67</v>
      </c>
      <c r="I814" s="1" t="s">
        <v>37</v>
      </c>
      <c r="J814" s="1" t="s">
        <v>833</v>
      </c>
      <c r="K814" s="1" t="s">
        <v>834</v>
      </c>
      <c r="L814">
        <v>50</v>
      </c>
      <c r="M814">
        <v>40.700000000000003</v>
      </c>
      <c r="N814">
        <v>34.299999999999997</v>
      </c>
      <c r="O814">
        <v>24.3</v>
      </c>
      <c r="P814">
        <v>3.3919999999999999E-2</v>
      </c>
      <c r="Q814">
        <v>4.96</v>
      </c>
      <c r="R814">
        <v>22.3</v>
      </c>
      <c r="S814">
        <v>6</v>
      </c>
      <c r="T814">
        <v>6</v>
      </c>
      <c r="U814">
        <v>36</v>
      </c>
      <c r="V814">
        <v>160.80000000000001</v>
      </c>
      <c r="W814">
        <v>203.56</v>
      </c>
      <c r="X814">
        <v>1.22112</v>
      </c>
      <c r="Y814">
        <v>5.62</v>
      </c>
      <c r="Z814">
        <v>0.19063040000000001</v>
      </c>
      <c r="AA814">
        <v>0.15611111111111112</v>
      </c>
      <c r="AB814">
        <v>6266.3</v>
      </c>
      <c r="AC814">
        <v>1</v>
      </c>
      <c r="AD814" s="1" t="s">
        <v>44</v>
      </c>
      <c r="AE814">
        <v>0</v>
      </c>
      <c r="AF814">
        <v>1</v>
      </c>
      <c r="AG814">
        <v>17.203947368421055</v>
      </c>
    </row>
    <row r="815" spans="1:33">
      <c r="A815" s="1" t="s">
        <v>831</v>
      </c>
      <c r="B815" s="1" t="s">
        <v>1881</v>
      </c>
      <c r="C815" s="2">
        <v>46970</v>
      </c>
      <c r="D815" s="1" t="s">
        <v>34</v>
      </c>
      <c r="E815">
        <v>1626</v>
      </c>
      <c r="F815" s="2">
        <v>46081</v>
      </c>
      <c r="G815" s="1" t="s">
        <v>832</v>
      </c>
      <c r="H815" s="1" t="s">
        <v>67</v>
      </c>
      <c r="I815" s="1" t="s">
        <v>37</v>
      </c>
      <c r="J815" s="1" t="s">
        <v>833</v>
      </c>
      <c r="K815" s="1" t="s">
        <v>834</v>
      </c>
      <c r="L815">
        <v>50</v>
      </c>
      <c r="M815">
        <v>40.700000000000003</v>
      </c>
      <c r="N815">
        <v>34.299999999999997</v>
      </c>
      <c r="O815">
        <v>24.3</v>
      </c>
      <c r="P815">
        <v>3.3919999999999999E-2</v>
      </c>
      <c r="Q815">
        <v>4.96</v>
      </c>
      <c r="R815">
        <v>22.3</v>
      </c>
      <c r="S815">
        <v>6</v>
      </c>
      <c r="T815">
        <v>6</v>
      </c>
      <c r="U815">
        <v>36</v>
      </c>
      <c r="V815">
        <v>160.80000000000001</v>
      </c>
      <c r="W815">
        <v>203.56</v>
      </c>
      <c r="X815">
        <v>1.22112</v>
      </c>
      <c r="Y815">
        <v>32.520000000000003</v>
      </c>
      <c r="Z815">
        <v>1.1030784</v>
      </c>
      <c r="AA815">
        <v>0.90333333333333343</v>
      </c>
      <c r="AB815">
        <v>36259.800000000003</v>
      </c>
      <c r="AC815">
        <v>1</v>
      </c>
      <c r="AD815" s="1" t="s">
        <v>40</v>
      </c>
      <c r="AE815">
        <v>1</v>
      </c>
      <c r="AF815">
        <v>0</v>
      </c>
      <c r="AG815">
        <v>29.243421052631579</v>
      </c>
    </row>
    <row r="816" spans="1:33">
      <c r="A816" s="1" t="s">
        <v>831</v>
      </c>
      <c r="B816" s="1" t="s">
        <v>1882</v>
      </c>
      <c r="C816" s="2">
        <v>47022</v>
      </c>
      <c r="D816" s="1" t="s">
        <v>34</v>
      </c>
      <c r="E816">
        <v>4406</v>
      </c>
      <c r="F816" s="2">
        <v>46081</v>
      </c>
      <c r="G816" s="1" t="s">
        <v>832</v>
      </c>
      <c r="H816" s="1" t="s">
        <v>67</v>
      </c>
      <c r="I816" s="1" t="s">
        <v>37</v>
      </c>
      <c r="J816" s="1" t="s">
        <v>833</v>
      </c>
      <c r="K816" s="1" t="s">
        <v>834</v>
      </c>
      <c r="L816">
        <v>50</v>
      </c>
      <c r="M816">
        <v>40.700000000000003</v>
      </c>
      <c r="N816">
        <v>34.299999999999997</v>
      </c>
      <c r="O816">
        <v>24.3</v>
      </c>
      <c r="P816">
        <v>3.3919999999999999E-2</v>
      </c>
      <c r="Q816">
        <v>4.96</v>
      </c>
      <c r="R816">
        <v>22.3</v>
      </c>
      <c r="S816">
        <v>6</v>
      </c>
      <c r="T816">
        <v>6</v>
      </c>
      <c r="U816">
        <v>36</v>
      </c>
      <c r="V816">
        <v>160.80000000000001</v>
      </c>
      <c r="W816">
        <v>203.56</v>
      </c>
      <c r="X816">
        <v>1.22112</v>
      </c>
      <c r="Y816">
        <v>88.12</v>
      </c>
      <c r="Z816">
        <v>2.9890303999999999</v>
      </c>
      <c r="AA816">
        <v>2.4477777777777781</v>
      </c>
      <c r="AB816">
        <v>98253.8</v>
      </c>
      <c r="AC816">
        <v>3</v>
      </c>
      <c r="AD816" s="1" t="s">
        <v>40</v>
      </c>
      <c r="AE816">
        <v>3</v>
      </c>
      <c r="AF816">
        <v>0</v>
      </c>
      <c r="AG816">
        <v>30.953947368421055</v>
      </c>
    </row>
    <row r="817" spans="1:33">
      <c r="A817" s="1" t="s">
        <v>835</v>
      </c>
      <c r="B817" s="1" t="s">
        <v>1883</v>
      </c>
      <c r="C817" s="2">
        <v>46241</v>
      </c>
      <c r="D817" s="1" t="s">
        <v>34</v>
      </c>
      <c r="E817">
        <v>6</v>
      </c>
      <c r="F817" s="2">
        <v>46081</v>
      </c>
      <c r="G817" s="1" t="s">
        <v>836</v>
      </c>
      <c r="H817" s="1" t="s">
        <v>837</v>
      </c>
      <c r="I817" s="1" t="s">
        <v>37</v>
      </c>
      <c r="J817" s="1" t="s">
        <v>833</v>
      </c>
      <c r="K817" s="1" t="s">
        <v>39</v>
      </c>
      <c r="L817">
        <v>100</v>
      </c>
      <c r="M817">
        <v>30.2</v>
      </c>
      <c r="N817">
        <v>22.1</v>
      </c>
      <c r="O817">
        <v>21.9</v>
      </c>
      <c r="P817">
        <v>1.4619999999999999E-2</v>
      </c>
      <c r="Q817">
        <v>2.91</v>
      </c>
      <c r="R817">
        <v>11.05</v>
      </c>
      <c r="S817">
        <v>14</v>
      </c>
      <c r="T817">
        <v>3</v>
      </c>
      <c r="U817">
        <v>42</v>
      </c>
      <c r="V817">
        <v>80.699999999999989</v>
      </c>
      <c r="W817">
        <v>147.22</v>
      </c>
      <c r="X817">
        <v>0.61403999999999992</v>
      </c>
      <c r="Y817">
        <v>0.06</v>
      </c>
      <c r="Z817">
        <v>8.7719999999999996E-4</v>
      </c>
      <c r="AA817">
        <v>1.4285714285714286E-3</v>
      </c>
      <c r="AB817">
        <v>66.300000000000011</v>
      </c>
      <c r="AC817">
        <v>1</v>
      </c>
      <c r="AD817" s="1" t="s">
        <v>44</v>
      </c>
      <c r="AE817">
        <v>0</v>
      </c>
      <c r="AF817">
        <v>1</v>
      </c>
      <c r="AG817">
        <v>5.2631578947368425</v>
      </c>
    </row>
    <row r="818" spans="1:33">
      <c r="A818" s="1" t="s">
        <v>835</v>
      </c>
      <c r="B818" s="1" t="s">
        <v>1884</v>
      </c>
      <c r="C818" s="2">
        <v>47107</v>
      </c>
      <c r="D818" s="1" t="s">
        <v>34</v>
      </c>
      <c r="E818">
        <v>695</v>
      </c>
      <c r="F818" s="2">
        <v>46081</v>
      </c>
      <c r="G818" s="1" t="s">
        <v>836</v>
      </c>
      <c r="H818" s="1" t="s">
        <v>837</v>
      </c>
      <c r="I818" s="1" t="s">
        <v>37</v>
      </c>
      <c r="J818" s="1" t="s">
        <v>833</v>
      </c>
      <c r="K818" s="1" t="s">
        <v>39</v>
      </c>
      <c r="L818">
        <v>100</v>
      </c>
      <c r="M818">
        <v>30.2</v>
      </c>
      <c r="N818">
        <v>22.1</v>
      </c>
      <c r="O818">
        <v>21.9</v>
      </c>
      <c r="P818">
        <v>1.4619999999999999E-2</v>
      </c>
      <c r="Q818">
        <v>2.91</v>
      </c>
      <c r="R818">
        <v>11.05</v>
      </c>
      <c r="S818">
        <v>14</v>
      </c>
      <c r="T818">
        <v>3</v>
      </c>
      <c r="U818">
        <v>42</v>
      </c>
      <c r="V818">
        <v>80.699999999999989</v>
      </c>
      <c r="W818">
        <v>147.22</v>
      </c>
      <c r="X818">
        <v>0.61403999999999992</v>
      </c>
      <c r="Y818">
        <v>6.95</v>
      </c>
      <c r="Z818">
        <v>0.10160899999999999</v>
      </c>
      <c r="AA818">
        <v>0.16547619047619047</v>
      </c>
      <c r="AB818">
        <v>7679.7500000000009</v>
      </c>
      <c r="AC818">
        <v>1</v>
      </c>
      <c r="AD818" s="1" t="s">
        <v>44</v>
      </c>
      <c r="AE818">
        <v>0</v>
      </c>
      <c r="AF818">
        <v>1</v>
      </c>
      <c r="AG818">
        <v>33.75</v>
      </c>
    </row>
    <row r="819" spans="1:33">
      <c r="A819" s="1" t="s">
        <v>835</v>
      </c>
      <c r="B819" s="1" t="s">
        <v>1885</v>
      </c>
      <c r="C819" s="2">
        <v>46237</v>
      </c>
      <c r="D819" s="1" t="s">
        <v>49</v>
      </c>
      <c r="E819">
        <v>35</v>
      </c>
      <c r="F819" s="2">
        <v>46081</v>
      </c>
      <c r="G819" s="1" t="s">
        <v>836</v>
      </c>
      <c r="H819" s="1" t="s">
        <v>837</v>
      </c>
      <c r="I819" s="1" t="s">
        <v>37</v>
      </c>
      <c r="J819" s="1" t="s">
        <v>833</v>
      </c>
      <c r="K819" s="1" t="s">
        <v>39</v>
      </c>
      <c r="L819">
        <v>100</v>
      </c>
      <c r="M819">
        <v>30.2</v>
      </c>
      <c r="N819">
        <v>22.1</v>
      </c>
      <c r="O819">
        <v>21.9</v>
      </c>
      <c r="P819">
        <v>1.4619999999999999E-2</v>
      </c>
      <c r="Q819">
        <v>2.91</v>
      </c>
      <c r="R819">
        <v>11.05</v>
      </c>
      <c r="S819">
        <v>14</v>
      </c>
      <c r="T819">
        <v>3</v>
      </c>
      <c r="U819">
        <v>42</v>
      </c>
      <c r="V819">
        <v>80.699999999999989</v>
      </c>
      <c r="W819">
        <v>147.22</v>
      </c>
      <c r="X819">
        <v>0.61403999999999992</v>
      </c>
      <c r="Y819">
        <v>0.35</v>
      </c>
      <c r="Z819">
        <v>5.1169999999999992E-3</v>
      </c>
      <c r="AA819">
        <v>8.3333333333333332E-3</v>
      </c>
      <c r="AB819">
        <v>386.75</v>
      </c>
      <c r="AC819">
        <v>1</v>
      </c>
      <c r="AD819" s="1" t="s">
        <v>44</v>
      </c>
      <c r="AE819">
        <v>0</v>
      </c>
      <c r="AF819">
        <v>1</v>
      </c>
      <c r="AG819">
        <v>5.1315789473684212</v>
      </c>
    </row>
    <row r="820" spans="1:33">
      <c r="A820" s="1" t="s">
        <v>838</v>
      </c>
      <c r="B820" s="1" t="s">
        <v>1886</v>
      </c>
      <c r="C820" s="2">
        <v>46190</v>
      </c>
      <c r="D820" s="1" t="s">
        <v>34</v>
      </c>
      <c r="E820">
        <v>2240</v>
      </c>
      <c r="F820" s="2">
        <v>46081</v>
      </c>
      <c r="G820" s="1" t="s">
        <v>839</v>
      </c>
      <c r="H820" s="1" t="s">
        <v>837</v>
      </c>
      <c r="I820" s="1" t="s">
        <v>37</v>
      </c>
      <c r="J820" s="1" t="s">
        <v>833</v>
      </c>
      <c r="K820" s="1" t="s">
        <v>834</v>
      </c>
      <c r="L820">
        <v>200</v>
      </c>
      <c r="M820">
        <v>35.6</v>
      </c>
      <c r="N820">
        <v>25.2</v>
      </c>
      <c r="O820">
        <v>13.2</v>
      </c>
      <c r="P820">
        <v>1.184E-2</v>
      </c>
      <c r="Q820">
        <v>1.85</v>
      </c>
      <c r="R820">
        <v>6.26</v>
      </c>
      <c r="S820">
        <v>7</v>
      </c>
      <c r="T820">
        <v>9</v>
      </c>
      <c r="U820">
        <v>63</v>
      </c>
      <c r="V820">
        <v>133.80000000000001</v>
      </c>
      <c r="W820">
        <v>141.55000000000001</v>
      </c>
      <c r="X820">
        <v>0.74592000000000003</v>
      </c>
      <c r="Y820">
        <v>11.2</v>
      </c>
      <c r="Z820">
        <v>0.13260799999999998</v>
      </c>
      <c r="AA820">
        <v>0.17777777777777776</v>
      </c>
      <c r="AB820">
        <v>14022.4</v>
      </c>
      <c r="AC820">
        <v>1</v>
      </c>
      <c r="AD820" s="1" t="s">
        <v>44</v>
      </c>
      <c r="AE820">
        <v>0</v>
      </c>
      <c r="AF820">
        <v>1</v>
      </c>
      <c r="AG820">
        <v>3.5855263157894739</v>
      </c>
    </row>
    <row r="821" spans="1:33">
      <c r="A821" s="1" t="s">
        <v>838</v>
      </c>
      <c r="B821" s="1" t="s">
        <v>1887</v>
      </c>
      <c r="C821" s="2">
        <v>46403</v>
      </c>
      <c r="D821" s="1" t="s">
        <v>34</v>
      </c>
      <c r="E821">
        <v>1597</v>
      </c>
      <c r="F821" s="2">
        <v>46081</v>
      </c>
      <c r="G821" s="1" t="s">
        <v>839</v>
      </c>
      <c r="H821" s="1" t="s">
        <v>837</v>
      </c>
      <c r="I821" s="1" t="s">
        <v>37</v>
      </c>
      <c r="J821" s="1" t="s">
        <v>833</v>
      </c>
      <c r="K821" s="1" t="s">
        <v>834</v>
      </c>
      <c r="L821">
        <v>200</v>
      </c>
      <c r="M821">
        <v>35.6</v>
      </c>
      <c r="N821">
        <v>25.2</v>
      </c>
      <c r="O821">
        <v>13.2</v>
      </c>
      <c r="P821">
        <v>1.184E-2</v>
      </c>
      <c r="Q821">
        <v>1.85</v>
      </c>
      <c r="R821">
        <v>6.26</v>
      </c>
      <c r="S821">
        <v>7</v>
      </c>
      <c r="T821">
        <v>9</v>
      </c>
      <c r="U821">
        <v>63</v>
      </c>
      <c r="V821">
        <v>133.80000000000001</v>
      </c>
      <c r="W821">
        <v>141.55000000000001</v>
      </c>
      <c r="X821">
        <v>0.74592000000000003</v>
      </c>
      <c r="Y821">
        <v>7.9850000000000003</v>
      </c>
      <c r="Z821">
        <v>9.4542399999999999E-2</v>
      </c>
      <c r="AA821">
        <v>0.12674603174603175</v>
      </c>
      <c r="AB821">
        <v>9997.2199999999993</v>
      </c>
      <c r="AC821">
        <v>1</v>
      </c>
      <c r="AD821" s="1" t="s">
        <v>44</v>
      </c>
      <c r="AE821">
        <v>0</v>
      </c>
      <c r="AF821">
        <v>1</v>
      </c>
      <c r="AG821">
        <v>10.592105263157896</v>
      </c>
    </row>
    <row r="822" spans="1:33">
      <c r="A822" s="1" t="s">
        <v>838</v>
      </c>
      <c r="B822" s="1" t="s">
        <v>1888</v>
      </c>
      <c r="C822" s="2">
        <v>46284</v>
      </c>
      <c r="D822" s="1" t="s">
        <v>34</v>
      </c>
      <c r="E822">
        <v>2266</v>
      </c>
      <c r="F822" s="2">
        <v>46081</v>
      </c>
      <c r="G822" s="1" t="s">
        <v>839</v>
      </c>
      <c r="H822" s="1" t="s">
        <v>837</v>
      </c>
      <c r="I822" s="1" t="s">
        <v>37</v>
      </c>
      <c r="J822" s="1" t="s">
        <v>833</v>
      </c>
      <c r="K822" s="1" t="s">
        <v>834</v>
      </c>
      <c r="L822">
        <v>200</v>
      </c>
      <c r="M822">
        <v>35.6</v>
      </c>
      <c r="N822">
        <v>25.2</v>
      </c>
      <c r="O822">
        <v>13.2</v>
      </c>
      <c r="P822">
        <v>1.184E-2</v>
      </c>
      <c r="Q822">
        <v>1.85</v>
      </c>
      <c r="R822">
        <v>6.26</v>
      </c>
      <c r="S822">
        <v>7</v>
      </c>
      <c r="T822">
        <v>9</v>
      </c>
      <c r="U822">
        <v>63</v>
      </c>
      <c r="V822">
        <v>133.80000000000001</v>
      </c>
      <c r="W822">
        <v>141.55000000000001</v>
      </c>
      <c r="X822">
        <v>0.74592000000000003</v>
      </c>
      <c r="Y822">
        <v>11.33</v>
      </c>
      <c r="Z822">
        <v>0.13414719999999999</v>
      </c>
      <c r="AA822">
        <v>0.17984126984126983</v>
      </c>
      <c r="AB822">
        <v>14185.16</v>
      </c>
      <c r="AC822">
        <v>1</v>
      </c>
      <c r="AD822" s="1" t="s">
        <v>44</v>
      </c>
      <c r="AE822">
        <v>0</v>
      </c>
      <c r="AF822">
        <v>1</v>
      </c>
      <c r="AG822">
        <v>6.677631578947369</v>
      </c>
    </row>
    <row r="823" spans="1:33">
      <c r="A823" s="1" t="s">
        <v>838</v>
      </c>
      <c r="B823" s="1" t="s">
        <v>1889</v>
      </c>
      <c r="C823" s="2">
        <v>46558</v>
      </c>
      <c r="D823" s="1" t="s">
        <v>34</v>
      </c>
      <c r="E823">
        <v>9110</v>
      </c>
      <c r="F823" s="2">
        <v>46081</v>
      </c>
      <c r="G823" s="1" t="s">
        <v>839</v>
      </c>
      <c r="H823" s="1" t="s">
        <v>837</v>
      </c>
      <c r="I823" s="1" t="s">
        <v>37</v>
      </c>
      <c r="J823" s="1" t="s">
        <v>833</v>
      </c>
      <c r="K823" s="1" t="s">
        <v>834</v>
      </c>
      <c r="L823">
        <v>200</v>
      </c>
      <c r="M823">
        <v>35.6</v>
      </c>
      <c r="N823">
        <v>25.2</v>
      </c>
      <c r="O823">
        <v>13.2</v>
      </c>
      <c r="P823">
        <v>1.184E-2</v>
      </c>
      <c r="Q823">
        <v>1.85</v>
      </c>
      <c r="R823">
        <v>6.26</v>
      </c>
      <c r="S823">
        <v>7</v>
      </c>
      <c r="T823">
        <v>9</v>
      </c>
      <c r="U823">
        <v>63</v>
      </c>
      <c r="V823">
        <v>133.80000000000001</v>
      </c>
      <c r="W823">
        <v>141.55000000000001</v>
      </c>
      <c r="X823">
        <v>0.74592000000000003</v>
      </c>
      <c r="Y823">
        <v>45.55</v>
      </c>
      <c r="Z823">
        <v>0.53931200000000001</v>
      </c>
      <c r="AA823">
        <v>0.723015873015873</v>
      </c>
      <c r="AB823">
        <v>57028.6</v>
      </c>
      <c r="AC823">
        <v>1</v>
      </c>
      <c r="AD823" s="1" t="s">
        <v>40</v>
      </c>
      <c r="AE823">
        <v>1</v>
      </c>
      <c r="AF823">
        <v>0</v>
      </c>
      <c r="AG823">
        <v>15.690789473684211</v>
      </c>
    </row>
    <row r="824" spans="1:33">
      <c r="A824" s="1" t="s">
        <v>838</v>
      </c>
      <c r="B824" s="1" t="s">
        <v>1890</v>
      </c>
      <c r="C824" s="2">
        <v>46337</v>
      </c>
      <c r="D824" s="1" t="s">
        <v>49</v>
      </c>
      <c r="E824">
        <v>760</v>
      </c>
      <c r="F824" s="2">
        <v>46081</v>
      </c>
      <c r="G824" s="1" t="s">
        <v>839</v>
      </c>
      <c r="H824" s="1" t="s">
        <v>837</v>
      </c>
      <c r="I824" s="1" t="s">
        <v>37</v>
      </c>
      <c r="J824" s="1" t="s">
        <v>833</v>
      </c>
      <c r="K824" s="1" t="s">
        <v>834</v>
      </c>
      <c r="L824">
        <v>200</v>
      </c>
      <c r="M824">
        <v>35.6</v>
      </c>
      <c r="N824">
        <v>25.2</v>
      </c>
      <c r="O824">
        <v>13.2</v>
      </c>
      <c r="P824">
        <v>1.184E-2</v>
      </c>
      <c r="Q824">
        <v>1.85</v>
      </c>
      <c r="R824">
        <v>6.26</v>
      </c>
      <c r="S824">
        <v>7</v>
      </c>
      <c r="T824">
        <v>9</v>
      </c>
      <c r="U824">
        <v>63</v>
      </c>
      <c r="V824">
        <v>133.80000000000001</v>
      </c>
      <c r="W824">
        <v>141.55000000000001</v>
      </c>
      <c r="X824">
        <v>0.74592000000000003</v>
      </c>
      <c r="Y824">
        <v>3.8</v>
      </c>
      <c r="Z824">
        <v>4.4991999999999997E-2</v>
      </c>
      <c r="AA824">
        <v>6.0317460317460311E-2</v>
      </c>
      <c r="AB824">
        <v>4757.5999999999985</v>
      </c>
      <c r="AC824">
        <v>1</v>
      </c>
      <c r="AD824" s="1" t="s">
        <v>44</v>
      </c>
      <c r="AE824">
        <v>0</v>
      </c>
      <c r="AF824">
        <v>1</v>
      </c>
      <c r="AG824">
        <v>8.4210526315789469</v>
      </c>
    </row>
    <row r="825" spans="1:33">
      <c r="A825" s="1" t="s">
        <v>840</v>
      </c>
      <c r="B825" s="1" t="s">
        <v>1891</v>
      </c>
      <c r="C825" s="2">
        <v>46419</v>
      </c>
      <c r="D825" s="1" t="s">
        <v>34</v>
      </c>
      <c r="E825">
        <v>1535</v>
      </c>
      <c r="F825" s="2">
        <v>46081</v>
      </c>
      <c r="G825" s="1" t="s">
        <v>841</v>
      </c>
      <c r="H825" s="1" t="s">
        <v>781</v>
      </c>
      <c r="I825" s="1" t="s">
        <v>37</v>
      </c>
      <c r="J825" s="1" t="s">
        <v>833</v>
      </c>
      <c r="K825" s="1" t="s">
        <v>39</v>
      </c>
      <c r="L825">
        <v>100</v>
      </c>
      <c r="M825">
        <v>34.799999999999997</v>
      </c>
      <c r="N825">
        <v>31.2</v>
      </c>
      <c r="O825">
        <v>15.4</v>
      </c>
      <c r="P825">
        <v>1.6719999999999999E-2</v>
      </c>
      <c r="Q825">
        <v>4.03</v>
      </c>
      <c r="R825">
        <v>37.090000000000003</v>
      </c>
      <c r="S825">
        <v>9</v>
      </c>
      <c r="T825">
        <v>8</v>
      </c>
      <c r="U825">
        <v>72</v>
      </c>
      <c r="V825">
        <v>138.19999999999999</v>
      </c>
      <c r="W825">
        <v>315.16000000000003</v>
      </c>
      <c r="X825">
        <v>1.20384</v>
      </c>
      <c r="Y825">
        <v>15.35</v>
      </c>
      <c r="Z825">
        <v>0.25665199999999999</v>
      </c>
      <c r="AA825">
        <v>0.21319444444444444</v>
      </c>
      <c r="AB825">
        <v>56933.150000000009</v>
      </c>
      <c r="AC825">
        <v>1</v>
      </c>
      <c r="AD825" s="1" t="s">
        <v>40</v>
      </c>
      <c r="AE825">
        <v>1</v>
      </c>
      <c r="AF825">
        <v>0</v>
      </c>
      <c r="AG825">
        <v>11.118421052631579</v>
      </c>
    </row>
    <row r="826" spans="1:33">
      <c r="A826" s="1" t="s">
        <v>840</v>
      </c>
      <c r="B826" s="1" t="s">
        <v>1892</v>
      </c>
      <c r="C826" s="2">
        <v>46552</v>
      </c>
      <c r="D826" s="1" t="s">
        <v>34</v>
      </c>
      <c r="E826">
        <v>1501</v>
      </c>
      <c r="F826" s="2">
        <v>46081</v>
      </c>
      <c r="G826" s="1" t="s">
        <v>841</v>
      </c>
      <c r="H826" s="1" t="s">
        <v>781</v>
      </c>
      <c r="I826" s="1" t="s">
        <v>37</v>
      </c>
      <c r="J826" s="1" t="s">
        <v>833</v>
      </c>
      <c r="K826" s="1" t="s">
        <v>39</v>
      </c>
      <c r="L826">
        <v>100</v>
      </c>
      <c r="M826">
        <v>34.799999999999997</v>
      </c>
      <c r="N826">
        <v>31.2</v>
      </c>
      <c r="O826">
        <v>15.4</v>
      </c>
      <c r="P826">
        <v>1.6719999999999999E-2</v>
      </c>
      <c r="Q826">
        <v>4.03</v>
      </c>
      <c r="R826">
        <v>37.090000000000003</v>
      </c>
      <c r="S826">
        <v>9</v>
      </c>
      <c r="T826">
        <v>8</v>
      </c>
      <c r="U826">
        <v>72</v>
      </c>
      <c r="V826">
        <v>138.19999999999999</v>
      </c>
      <c r="W826">
        <v>315.16000000000003</v>
      </c>
      <c r="X826">
        <v>1.20384</v>
      </c>
      <c r="Y826">
        <v>15.01</v>
      </c>
      <c r="Z826">
        <v>0.2509672</v>
      </c>
      <c r="AA826">
        <v>0.20847222222222223</v>
      </c>
      <c r="AB826">
        <v>55672.090000000004</v>
      </c>
      <c r="AC826">
        <v>1</v>
      </c>
      <c r="AD826" s="1" t="s">
        <v>40</v>
      </c>
      <c r="AE826">
        <v>1</v>
      </c>
      <c r="AF826">
        <v>0</v>
      </c>
      <c r="AG826">
        <v>15.493421052631581</v>
      </c>
    </row>
    <row r="827" spans="1:33">
      <c r="A827" s="1" t="s">
        <v>840</v>
      </c>
      <c r="B827" s="1" t="s">
        <v>1893</v>
      </c>
      <c r="C827" s="2">
        <v>46712</v>
      </c>
      <c r="D827" s="1" t="s">
        <v>34</v>
      </c>
      <c r="E827">
        <v>554</v>
      </c>
      <c r="F827" s="2">
        <v>46081</v>
      </c>
      <c r="G827" s="1" t="s">
        <v>841</v>
      </c>
      <c r="H827" s="1" t="s">
        <v>781</v>
      </c>
      <c r="I827" s="1" t="s">
        <v>37</v>
      </c>
      <c r="J827" s="1" t="s">
        <v>833</v>
      </c>
      <c r="K827" s="1" t="s">
        <v>39</v>
      </c>
      <c r="L827">
        <v>100</v>
      </c>
      <c r="M827">
        <v>34.799999999999997</v>
      </c>
      <c r="N827">
        <v>31.2</v>
      </c>
      <c r="O827">
        <v>15.4</v>
      </c>
      <c r="P827">
        <v>1.6719999999999999E-2</v>
      </c>
      <c r="Q827">
        <v>4.03</v>
      </c>
      <c r="R827">
        <v>37.090000000000003</v>
      </c>
      <c r="S827">
        <v>9</v>
      </c>
      <c r="T827">
        <v>8</v>
      </c>
      <c r="U827">
        <v>72</v>
      </c>
      <c r="V827">
        <v>138.19999999999999</v>
      </c>
      <c r="W827">
        <v>315.16000000000003</v>
      </c>
      <c r="X827">
        <v>1.20384</v>
      </c>
      <c r="Y827">
        <v>5.54</v>
      </c>
      <c r="Z827">
        <v>9.2628799999999997E-2</v>
      </c>
      <c r="AA827">
        <v>7.694444444444444E-2</v>
      </c>
      <c r="AB827">
        <v>20547.86</v>
      </c>
      <c r="AC827">
        <v>1</v>
      </c>
      <c r="AD827" s="1" t="s">
        <v>44</v>
      </c>
      <c r="AE827">
        <v>0</v>
      </c>
      <c r="AF827">
        <v>1</v>
      </c>
      <c r="AG827">
        <v>20.756578947368421</v>
      </c>
    </row>
    <row r="828" spans="1:33">
      <c r="A828" s="1" t="s">
        <v>842</v>
      </c>
      <c r="B828" s="1" t="s">
        <v>1894</v>
      </c>
      <c r="C828" s="2">
        <v>46222</v>
      </c>
      <c r="D828" s="1" t="s">
        <v>34</v>
      </c>
      <c r="E828">
        <v>31737</v>
      </c>
      <c r="F828" s="2">
        <v>46081</v>
      </c>
      <c r="G828" s="1" t="s">
        <v>843</v>
      </c>
      <c r="H828" s="1" t="s">
        <v>67</v>
      </c>
      <c r="I828" s="1" t="s">
        <v>37</v>
      </c>
      <c r="J828" s="1" t="s">
        <v>833</v>
      </c>
      <c r="K828" s="1" t="s">
        <v>39</v>
      </c>
      <c r="L828">
        <v>200</v>
      </c>
      <c r="M828">
        <v>38.200000000000003</v>
      </c>
      <c r="N828">
        <v>23.4</v>
      </c>
      <c r="O828">
        <v>20.399999999999999</v>
      </c>
      <c r="P828">
        <v>1.8239999999999999E-2</v>
      </c>
      <c r="Q828">
        <v>2.23</v>
      </c>
      <c r="R828">
        <v>17.600000000000001</v>
      </c>
      <c r="S828">
        <v>12</v>
      </c>
      <c r="T828">
        <v>6</v>
      </c>
      <c r="U828">
        <v>72</v>
      </c>
      <c r="V828">
        <v>137.39999999999998</v>
      </c>
      <c r="W828">
        <v>185.56</v>
      </c>
      <c r="X828">
        <v>1.31328</v>
      </c>
      <c r="Y828">
        <v>158.685</v>
      </c>
      <c r="Z828">
        <v>2.8944144000000001</v>
      </c>
      <c r="AA828">
        <v>2.2039583333333335</v>
      </c>
      <c r="AB828">
        <v>558571.20000000007</v>
      </c>
      <c r="AC828">
        <v>3</v>
      </c>
      <c r="AD828" s="1" t="s">
        <v>40</v>
      </c>
      <c r="AE828">
        <v>3</v>
      </c>
      <c r="AF828">
        <v>0</v>
      </c>
      <c r="AG828">
        <v>4.6381578947368425</v>
      </c>
    </row>
    <row r="829" spans="1:33">
      <c r="A829" s="1" t="s">
        <v>842</v>
      </c>
      <c r="B829" s="1" t="s">
        <v>1895</v>
      </c>
      <c r="C829" s="2">
        <v>46723</v>
      </c>
      <c r="D829" s="1" t="s">
        <v>49</v>
      </c>
      <c r="E829">
        <v>1586</v>
      </c>
      <c r="F829" s="2">
        <v>46081</v>
      </c>
      <c r="G829" s="1" t="s">
        <v>843</v>
      </c>
      <c r="H829" s="1" t="s">
        <v>67</v>
      </c>
      <c r="I829" s="1" t="s">
        <v>37</v>
      </c>
      <c r="J829" s="1" t="s">
        <v>833</v>
      </c>
      <c r="K829" s="1" t="s">
        <v>39</v>
      </c>
      <c r="L829">
        <v>200</v>
      </c>
      <c r="M829">
        <v>38.200000000000003</v>
      </c>
      <c r="N829">
        <v>23.4</v>
      </c>
      <c r="O829">
        <v>20.399999999999999</v>
      </c>
      <c r="P829">
        <v>1.8239999999999999E-2</v>
      </c>
      <c r="Q829">
        <v>2.23</v>
      </c>
      <c r="R829">
        <v>17.600000000000001</v>
      </c>
      <c r="S829">
        <v>12</v>
      </c>
      <c r="T829">
        <v>6</v>
      </c>
      <c r="U829">
        <v>72</v>
      </c>
      <c r="V829">
        <v>137.39999999999998</v>
      </c>
      <c r="W829">
        <v>185.56</v>
      </c>
      <c r="X829">
        <v>1.31328</v>
      </c>
      <c r="Y829">
        <v>7.93</v>
      </c>
      <c r="Z829">
        <v>0.1446432</v>
      </c>
      <c r="AA829">
        <v>0.11013888888888888</v>
      </c>
      <c r="AB829">
        <v>27913.600000000002</v>
      </c>
      <c r="AC829">
        <v>1</v>
      </c>
      <c r="AD829" s="1" t="s">
        <v>44</v>
      </c>
      <c r="AE829">
        <v>0</v>
      </c>
      <c r="AF829">
        <v>1</v>
      </c>
      <c r="AG829">
        <v>21.118421052631579</v>
      </c>
    </row>
    <row r="830" spans="1:33">
      <c r="A830" s="1" t="s">
        <v>844</v>
      </c>
      <c r="B830" s="1" t="s">
        <v>1896</v>
      </c>
      <c r="C830" s="2">
        <v>46389</v>
      </c>
      <c r="D830" s="1" t="s">
        <v>34</v>
      </c>
      <c r="E830">
        <v>1783</v>
      </c>
      <c r="F830" s="2">
        <v>46081</v>
      </c>
      <c r="G830" s="1" t="s">
        <v>845</v>
      </c>
      <c r="H830" s="1" t="s">
        <v>67</v>
      </c>
      <c r="I830" s="1" t="s">
        <v>37</v>
      </c>
      <c r="J830" s="1" t="s">
        <v>833</v>
      </c>
      <c r="K830" s="1" t="s">
        <v>39</v>
      </c>
      <c r="L830">
        <v>100</v>
      </c>
      <c r="M830">
        <v>26.4</v>
      </c>
      <c r="N830">
        <v>33.9</v>
      </c>
      <c r="O830">
        <v>15.5</v>
      </c>
      <c r="P830">
        <v>1.387E-2</v>
      </c>
      <c r="Q830">
        <v>2.97</v>
      </c>
      <c r="R830">
        <v>38.26</v>
      </c>
      <c r="S830">
        <v>8</v>
      </c>
      <c r="T830">
        <v>5</v>
      </c>
      <c r="U830">
        <v>40</v>
      </c>
      <c r="V830">
        <v>92.5</v>
      </c>
      <c r="W830">
        <v>143.80000000000001</v>
      </c>
      <c r="X830">
        <v>0.55479999999999996</v>
      </c>
      <c r="Y830">
        <v>17.829999999999998</v>
      </c>
      <c r="Z830">
        <v>0.2473021</v>
      </c>
      <c r="AA830">
        <v>0.44574999999999998</v>
      </c>
      <c r="AB830">
        <v>68217.58</v>
      </c>
      <c r="AC830">
        <v>1</v>
      </c>
      <c r="AD830" s="1" t="s">
        <v>44</v>
      </c>
      <c r="AE830">
        <v>0</v>
      </c>
      <c r="AF830">
        <v>1</v>
      </c>
      <c r="AG830">
        <v>10.131578947368421</v>
      </c>
    </row>
    <row r="831" spans="1:33">
      <c r="A831" s="1" t="s">
        <v>844</v>
      </c>
      <c r="B831" s="1" t="s">
        <v>1897</v>
      </c>
      <c r="C831" s="2">
        <v>46333</v>
      </c>
      <c r="D831" s="1" t="s">
        <v>34</v>
      </c>
      <c r="E831">
        <v>2103</v>
      </c>
      <c r="F831" s="2">
        <v>46081</v>
      </c>
      <c r="G831" s="1" t="s">
        <v>845</v>
      </c>
      <c r="H831" s="1" t="s">
        <v>67</v>
      </c>
      <c r="I831" s="1" t="s">
        <v>37</v>
      </c>
      <c r="J831" s="1" t="s">
        <v>833</v>
      </c>
      <c r="K831" s="1" t="s">
        <v>39</v>
      </c>
      <c r="L831">
        <v>100</v>
      </c>
      <c r="M831">
        <v>26.4</v>
      </c>
      <c r="N831">
        <v>33.9</v>
      </c>
      <c r="O831">
        <v>15.5</v>
      </c>
      <c r="P831">
        <v>1.387E-2</v>
      </c>
      <c r="Q831">
        <v>2.97</v>
      </c>
      <c r="R831">
        <v>38.26</v>
      </c>
      <c r="S831">
        <v>8</v>
      </c>
      <c r="T831">
        <v>5</v>
      </c>
      <c r="U831">
        <v>40</v>
      </c>
      <c r="V831">
        <v>92.5</v>
      </c>
      <c r="W831">
        <v>143.80000000000001</v>
      </c>
      <c r="X831">
        <v>0.55479999999999996</v>
      </c>
      <c r="Y831">
        <v>21.03</v>
      </c>
      <c r="Z831">
        <v>0.2916861</v>
      </c>
      <c r="AA831">
        <v>0.52575000000000005</v>
      </c>
      <c r="AB831">
        <v>80460.78</v>
      </c>
      <c r="AC831">
        <v>1</v>
      </c>
      <c r="AD831" s="1" t="s">
        <v>40</v>
      </c>
      <c r="AE831">
        <v>1</v>
      </c>
      <c r="AF831">
        <v>0</v>
      </c>
      <c r="AG831">
        <v>8.2894736842105274</v>
      </c>
    </row>
    <row r="832" spans="1:33">
      <c r="A832" s="1" t="s">
        <v>844</v>
      </c>
      <c r="B832" s="1" t="s">
        <v>1898</v>
      </c>
      <c r="C832" s="2">
        <v>46620</v>
      </c>
      <c r="D832" s="1" t="s">
        <v>34</v>
      </c>
      <c r="E832">
        <v>354</v>
      </c>
      <c r="F832" s="2">
        <v>46081</v>
      </c>
      <c r="G832" s="1" t="s">
        <v>845</v>
      </c>
      <c r="H832" s="1" t="s">
        <v>67</v>
      </c>
      <c r="I832" s="1" t="s">
        <v>37</v>
      </c>
      <c r="J832" s="1" t="s">
        <v>833</v>
      </c>
      <c r="K832" s="1" t="s">
        <v>39</v>
      </c>
      <c r="L832">
        <v>100</v>
      </c>
      <c r="M832">
        <v>26.4</v>
      </c>
      <c r="N832">
        <v>33.9</v>
      </c>
      <c r="O832">
        <v>15.5</v>
      </c>
      <c r="P832">
        <v>1.387E-2</v>
      </c>
      <c r="Q832">
        <v>2.97</v>
      </c>
      <c r="R832">
        <v>38.26</v>
      </c>
      <c r="S832">
        <v>8</v>
      </c>
      <c r="T832">
        <v>5</v>
      </c>
      <c r="U832">
        <v>40</v>
      </c>
      <c r="V832">
        <v>92.5</v>
      </c>
      <c r="W832">
        <v>143.80000000000001</v>
      </c>
      <c r="X832">
        <v>0.55479999999999996</v>
      </c>
      <c r="Y832">
        <v>3.54</v>
      </c>
      <c r="Z832">
        <v>4.9099799999999999E-2</v>
      </c>
      <c r="AA832">
        <v>8.8499999999999995E-2</v>
      </c>
      <c r="AB832">
        <v>13544.039999999999</v>
      </c>
      <c r="AC832">
        <v>1</v>
      </c>
      <c r="AD832" s="1" t="s">
        <v>44</v>
      </c>
      <c r="AE832">
        <v>0</v>
      </c>
      <c r="AF832">
        <v>1</v>
      </c>
      <c r="AG832">
        <v>17.730263157894736</v>
      </c>
    </row>
    <row r="833" spans="1:33">
      <c r="A833" s="1" t="s">
        <v>846</v>
      </c>
      <c r="B833" s="1" t="s">
        <v>1899</v>
      </c>
      <c r="C833" s="2">
        <v>46333</v>
      </c>
      <c r="D833" s="1" t="s">
        <v>34</v>
      </c>
      <c r="E833">
        <v>743</v>
      </c>
      <c r="F833" s="2">
        <v>46081</v>
      </c>
      <c r="G833" s="1" t="s">
        <v>847</v>
      </c>
      <c r="H833" s="1" t="s">
        <v>781</v>
      </c>
      <c r="I833" s="1" t="s">
        <v>37</v>
      </c>
      <c r="J833" s="1" t="s">
        <v>833</v>
      </c>
      <c r="K833" s="1" t="s">
        <v>39</v>
      </c>
      <c r="L833">
        <v>200</v>
      </c>
      <c r="M833">
        <v>33.1</v>
      </c>
      <c r="N833">
        <v>25.5</v>
      </c>
      <c r="O833">
        <v>13.1</v>
      </c>
      <c r="P833">
        <v>1.106E-2</v>
      </c>
      <c r="Q833">
        <v>1.35</v>
      </c>
      <c r="R833">
        <v>28.33</v>
      </c>
      <c r="S833">
        <v>12</v>
      </c>
      <c r="T833">
        <v>6</v>
      </c>
      <c r="U833">
        <v>72</v>
      </c>
      <c r="V833">
        <v>93.6</v>
      </c>
      <c r="W833">
        <v>122.2</v>
      </c>
      <c r="X833">
        <v>0.79632000000000003</v>
      </c>
      <c r="Y833">
        <v>3.7149999999999999</v>
      </c>
      <c r="Z833">
        <v>4.1087899999999997E-2</v>
      </c>
      <c r="AA833">
        <v>5.1597222222222218E-2</v>
      </c>
      <c r="AB833">
        <v>21049.19</v>
      </c>
      <c r="AC833">
        <v>1</v>
      </c>
      <c r="AD833" s="1" t="s">
        <v>44</v>
      </c>
      <c r="AE833">
        <v>0</v>
      </c>
      <c r="AF833">
        <v>1</v>
      </c>
      <c r="AG833">
        <v>8.2894736842105274</v>
      </c>
    </row>
    <row r="834" spans="1:33">
      <c r="A834" s="1" t="s">
        <v>848</v>
      </c>
      <c r="B834" s="1" t="s">
        <v>1900</v>
      </c>
      <c r="C834" s="2">
        <v>46602</v>
      </c>
      <c r="D834" s="1" t="s">
        <v>34</v>
      </c>
      <c r="E834">
        <v>1439</v>
      </c>
      <c r="F834" s="2">
        <v>46081</v>
      </c>
      <c r="G834" s="1" t="s">
        <v>849</v>
      </c>
      <c r="H834" s="1" t="s">
        <v>837</v>
      </c>
      <c r="I834" s="1" t="s">
        <v>37</v>
      </c>
      <c r="J834" s="1" t="s">
        <v>833</v>
      </c>
      <c r="K834" s="1" t="s">
        <v>39</v>
      </c>
      <c r="L834">
        <v>50</v>
      </c>
      <c r="M834">
        <v>30.4</v>
      </c>
      <c r="N834">
        <v>32.700000000000003</v>
      </c>
      <c r="O834">
        <v>21.8</v>
      </c>
      <c r="P834">
        <v>2.1669999999999998E-2</v>
      </c>
      <c r="Q834">
        <v>4.5199999999999996</v>
      </c>
      <c r="R834">
        <v>38.799999999999997</v>
      </c>
      <c r="S834">
        <v>9</v>
      </c>
      <c r="T834">
        <v>5</v>
      </c>
      <c r="U834">
        <v>45</v>
      </c>
      <c r="V834">
        <v>124</v>
      </c>
      <c r="W834">
        <v>228.4</v>
      </c>
      <c r="X834">
        <v>0.97514999999999996</v>
      </c>
      <c r="Y834">
        <v>28.78</v>
      </c>
      <c r="Z834">
        <v>0.62366259999999996</v>
      </c>
      <c r="AA834">
        <v>0.63955555555555554</v>
      </c>
      <c r="AB834">
        <v>55833.2</v>
      </c>
      <c r="AC834">
        <v>1</v>
      </c>
      <c r="AD834" s="1" t="s">
        <v>40</v>
      </c>
      <c r="AE834">
        <v>1</v>
      </c>
      <c r="AF834">
        <v>0</v>
      </c>
      <c r="AG834">
        <v>17.138157894736842</v>
      </c>
    </row>
    <row r="835" spans="1:33">
      <c r="A835" s="1" t="s">
        <v>848</v>
      </c>
      <c r="B835" s="1" t="s">
        <v>1901</v>
      </c>
      <c r="C835" s="2">
        <v>46330</v>
      </c>
      <c r="D835" s="1" t="s">
        <v>34</v>
      </c>
      <c r="E835">
        <v>344</v>
      </c>
      <c r="F835" s="2">
        <v>46081</v>
      </c>
      <c r="G835" s="1" t="s">
        <v>849</v>
      </c>
      <c r="H835" s="1" t="s">
        <v>837</v>
      </c>
      <c r="I835" s="1" t="s">
        <v>37</v>
      </c>
      <c r="J835" s="1" t="s">
        <v>833</v>
      </c>
      <c r="K835" s="1" t="s">
        <v>39</v>
      </c>
      <c r="L835">
        <v>50</v>
      </c>
      <c r="M835">
        <v>30.4</v>
      </c>
      <c r="N835">
        <v>32.700000000000003</v>
      </c>
      <c r="O835">
        <v>21.8</v>
      </c>
      <c r="P835">
        <v>2.1669999999999998E-2</v>
      </c>
      <c r="Q835">
        <v>4.5199999999999996</v>
      </c>
      <c r="R835">
        <v>38.799999999999997</v>
      </c>
      <c r="S835">
        <v>9</v>
      </c>
      <c r="T835">
        <v>5</v>
      </c>
      <c r="U835">
        <v>45</v>
      </c>
      <c r="V835">
        <v>124</v>
      </c>
      <c r="W835">
        <v>228.4</v>
      </c>
      <c r="X835">
        <v>0.97514999999999996</v>
      </c>
      <c r="Y835">
        <v>6.88</v>
      </c>
      <c r="Z835">
        <v>0.14908959999999999</v>
      </c>
      <c r="AA835">
        <v>0.15288888888888888</v>
      </c>
      <c r="AB835">
        <v>13347.199999999999</v>
      </c>
      <c r="AC835">
        <v>1</v>
      </c>
      <c r="AD835" s="1" t="s">
        <v>44</v>
      </c>
      <c r="AE835">
        <v>0</v>
      </c>
      <c r="AF835">
        <v>1</v>
      </c>
      <c r="AG835">
        <v>8.1907894736842106</v>
      </c>
    </row>
    <row r="836" spans="1:33">
      <c r="A836" s="1" t="s">
        <v>848</v>
      </c>
      <c r="B836" s="1" t="s">
        <v>1902</v>
      </c>
      <c r="C836" s="2">
        <v>46539</v>
      </c>
      <c r="D836" s="1" t="s">
        <v>34</v>
      </c>
      <c r="E836">
        <v>1802</v>
      </c>
      <c r="F836" s="2">
        <v>46081</v>
      </c>
      <c r="G836" s="1" t="s">
        <v>849</v>
      </c>
      <c r="H836" s="1" t="s">
        <v>837</v>
      </c>
      <c r="I836" s="1" t="s">
        <v>37</v>
      </c>
      <c r="J836" s="1" t="s">
        <v>833</v>
      </c>
      <c r="K836" s="1" t="s">
        <v>39</v>
      </c>
      <c r="L836">
        <v>50</v>
      </c>
      <c r="M836">
        <v>30.4</v>
      </c>
      <c r="N836">
        <v>32.700000000000003</v>
      </c>
      <c r="O836">
        <v>21.8</v>
      </c>
      <c r="P836">
        <v>2.1669999999999998E-2</v>
      </c>
      <c r="Q836">
        <v>4.5199999999999996</v>
      </c>
      <c r="R836">
        <v>38.799999999999997</v>
      </c>
      <c r="S836">
        <v>9</v>
      </c>
      <c r="T836">
        <v>5</v>
      </c>
      <c r="U836">
        <v>45</v>
      </c>
      <c r="V836">
        <v>124</v>
      </c>
      <c r="W836">
        <v>228.4</v>
      </c>
      <c r="X836">
        <v>0.97514999999999996</v>
      </c>
      <c r="Y836">
        <v>36.04</v>
      </c>
      <c r="Z836">
        <v>0.78098679999999987</v>
      </c>
      <c r="AA836">
        <v>0.80088888888888887</v>
      </c>
      <c r="AB836">
        <v>69917.599999999991</v>
      </c>
      <c r="AC836">
        <v>1</v>
      </c>
      <c r="AD836" s="1" t="s">
        <v>40</v>
      </c>
      <c r="AE836">
        <v>1</v>
      </c>
      <c r="AF836">
        <v>0</v>
      </c>
      <c r="AG836">
        <v>15.065789473684211</v>
      </c>
    </row>
    <row r="837" spans="1:33">
      <c r="A837" s="1" t="s">
        <v>848</v>
      </c>
      <c r="B837" s="1" t="s">
        <v>1903</v>
      </c>
      <c r="C837" s="2">
        <v>46310</v>
      </c>
      <c r="D837" s="1" t="s">
        <v>49</v>
      </c>
      <c r="E837">
        <v>179</v>
      </c>
      <c r="F837" s="2">
        <v>46081</v>
      </c>
      <c r="G837" s="1" t="s">
        <v>849</v>
      </c>
      <c r="H837" s="1" t="s">
        <v>837</v>
      </c>
      <c r="I837" s="1" t="s">
        <v>37</v>
      </c>
      <c r="J837" s="1" t="s">
        <v>833</v>
      </c>
      <c r="K837" s="1" t="s">
        <v>39</v>
      </c>
      <c r="L837">
        <v>50</v>
      </c>
      <c r="M837">
        <v>30.4</v>
      </c>
      <c r="N837">
        <v>32.700000000000003</v>
      </c>
      <c r="O837">
        <v>21.8</v>
      </c>
      <c r="P837">
        <v>2.1669999999999998E-2</v>
      </c>
      <c r="Q837">
        <v>4.5199999999999996</v>
      </c>
      <c r="R837">
        <v>38.799999999999997</v>
      </c>
      <c r="S837">
        <v>9</v>
      </c>
      <c r="T837">
        <v>5</v>
      </c>
      <c r="U837">
        <v>45</v>
      </c>
      <c r="V837">
        <v>124</v>
      </c>
      <c r="W837">
        <v>228.4</v>
      </c>
      <c r="X837">
        <v>0.97514999999999996</v>
      </c>
      <c r="Y837">
        <v>3.58</v>
      </c>
      <c r="Z837">
        <v>7.7578599999999998E-2</v>
      </c>
      <c r="AA837">
        <v>7.955555555555556E-2</v>
      </c>
      <c r="AB837">
        <v>6945.2</v>
      </c>
      <c r="AC837">
        <v>1</v>
      </c>
      <c r="AD837" s="1" t="s">
        <v>44</v>
      </c>
      <c r="AE837">
        <v>0</v>
      </c>
      <c r="AF837">
        <v>1</v>
      </c>
      <c r="AG837">
        <v>7.5328947368421053</v>
      </c>
    </row>
    <row r="838" spans="1:33">
      <c r="A838" s="1" t="s">
        <v>850</v>
      </c>
      <c r="B838" s="1" t="s">
        <v>1904</v>
      </c>
      <c r="C838" s="2">
        <v>46252</v>
      </c>
      <c r="D838" s="1" t="s">
        <v>34</v>
      </c>
      <c r="E838">
        <v>197</v>
      </c>
      <c r="F838" s="2">
        <v>46081</v>
      </c>
      <c r="G838" s="1" t="s">
        <v>851</v>
      </c>
      <c r="H838" s="1" t="s">
        <v>67</v>
      </c>
      <c r="I838" s="1" t="s">
        <v>37</v>
      </c>
      <c r="J838" s="1" t="s">
        <v>833</v>
      </c>
      <c r="K838" s="1" t="s">
        <v>39</v>
      </c>
      <c r="L838">
        <v>50</v>
      </c>
      <c r="M838">
        <v>41.8</v>
      </c>
      <c r="N838">
        <v>23</v>
      </c>
      <c r="O838">
        <v>12.8</v>
      </c>
      <c r="P838">
        <v>1.231E-2</v>
      </c>
      <c r="Q838">
        <v>1.75</v>
      </c>
      <c r="R838">
        <v>16.940000000000001</v>
      </c>
      <c r="S838">
        <v>10</v>
      </c>
      <c r="T838">
        <v>11</v>
      </c>
      <c r="U838">
        <v>110</v>
      </c>
      <c r="V838">
        <v>155.80000000000001</v>
      </c>
      <c r="W838">
        <v>217.5</v>
      </c>
      <c r="X838">
        <v>1.3541000000000001</v>
      </c>
      <c r="Y838">
        <v>3.94</v>
      </c>
      <c r="Z838">
        <v>4.85014E-2</v>
      </c>
      <c r="AA838">
        <v>3.5818181818181818E-2</v>
      </c>
      <c r="AB838">
        <v>3337.1800000000003</v>
      </c>
      <c r="AC838">
        <v>1</v>
      </c>
      <c r="AD838" s="1" t="s">
        <v>44</v>
      </c>
      <c r="AE838">
        <v>0</v>
      </c>
      <c r="AF838">
        <v>1</v>
      </c>
      <c r="AG838">
        <v>5.625</v>
      </c>
    </row>
    <row r="839" spans="1:33">
      <c r="A839" s="1" t="s">
        <v>850</v>
      </c>
      <c r="B839" s="1" t="s">
        <v>1905</v>
      </c>
      <c r="C839" s="2">
        <v>46772</v>
      </c>
      <c r="D839" s="1" t="s">
        <v>34</v>
      </c>
      <c r="E839">
        <v>496</v>
      </c>
      <c r="F839" s="2">
        <v>46081</v>
      </c>
      <c r="G839" s="1" t="s">
        <v>851</v>
      </c>
      <c r="H839" s="1" t="s">
        <v>67</v>
      </c>
      <c r="I839" s="1" t="s">
        <v>37</v>
      </c>
      <c r="J839" s="1" t="s">
        <v>833</v>
      </c>
      <c r="K839" s="1" t="s">
        <v>39</v>
      </c>
      <c r="L839">
        <v>50</v>
      </c>
      <c r="M839">
        <v>41.8</v>
      </c>
      <c r="N839">
        <v>23</v>
      </c>
      <c r="O839">
        <v>12.8</v>
      </c>
      <c r="P839">
        <v>1.231E-2</v>
      </c>
      <c r="Q839">
        <v>1.75</v>
      </c>
      <c r="R839">
        <v>16.940000000000001</v>
      </c>
      <c r="S839">
        <v>10</v>
      </c>
      <c r="T839">
        <v>11</v>
      </c>
      <c r="U839">
        <v>110</v>
      </c>
      <c r="V839">
        <v>155.80000000000001</v>
      </c>
      <c r="W839">
        <v>217.5</v>
      </c>
      <c r="X839">
        <v>1.3541000000000001</v>
      </c>
      <c r="Y839">
        <v>9.92</v>
      </c>
      <c r="Z839">
        <v>0.12211519999999999</v>
      </c>
      <c r="AA839">
        <v>9.0181818181818182E-2</v>
      </c>
      <c r="AB839">
        <v>8402.24</v>
      </c>
      <c r="AC839">
        <v>1</v>
      </c>
      <c r="AD839" s="1" t="s">
        <v>44</v>
      </c>
      <c r="AE839">
        <v>0</v>
      </c>
      <c r="AF839">
        <v>1</v>
      </c>
      <c r="AG839">
        <v>22.730263157894736</v>
      </c>
    </row>
    <row r="840" spans="1:33">
      <c r="A840" s="1" t="s">
        <v>850</v>
      </c>
      <c r="B840" s="1" t="s">
        <v>1906</v>
      </c>
      <c r="C840" s="2">
        <v>47080</v>
      </c>
      <c r="D840" s="1" t="s">
        <v>34</v>
      </c>
      <c r="E840">
        <v>4093</v>
      </c>
      <c r="F840" s="2">
        <v>46081</v>
      </c>
      <c r="G840" s="1" t="s">
        <v>851</v>
      </c>
      <c r="H840" s="1" t="s">
        <v>67</v>
      </c>
      <c r="I840" s="1" t="s">
        <v>37</v>
      </c>
      <c r="J840" s="1" t="s">
        <v>833</v>
      </c>
      <c r="K840" s="1" t="s">
        <v>39</v>
      </c>
      <c r="L840">
        <v>50</v>
      </c>
      <c r="M840">
        <v>41.8</v>
      </c>
      <c r="N840">
        <v>23</v>
      </c>
      <c r="O840">
        <v>12.8</v>
      </c>
      <c r="P840">
        <v>1.231E-2</v>
      </c>
      <c r="Q840">
        <v>1.75</v>
      </c>
      <c r="R840">
        <v>16.940000000000001</v>
      </c>
      <c r="S840">
        <v>10</v>
      </c>
      <c r="T840">
        <v>11</v>
      </c>
      <c r="U840">
        <v>110</v>
      </c>
      <c r="V840">
        <v>155.80000000000001</v>
      </c>
      <c r="W840">
        <v>217.5</v>
      </c>
      <c r="X840">
        <v>1.3541000000000001</v>
      </c>
      <c r="Y840">
        <v>81.86</v>
      </c>
      <c r="Z840">
        <v>1.0076966000000001</v>
      </c>
      <c r="AA840">
        <v>0.74418181818181817</v>
      </c>
      <c r="AB840">
        <v>69335.42</v>
      </c>
      <c r="AC840">
        <v>1</v>
      </c>
      <c r="AD840" s="1" t="s">
        <v>40</v>
      </c>
      <c r="AE840">
        <v>1</v>
      </c>
      <c r="AF840">
        <v>0</v>
      </c>
      <c r="AG840">
        <v>32.861842105263158</v>
      </c>
    </row>
    <row r="841" spans="1:33">
      <c r="A841" s="1" t="s">
        <v>852</v>
      </c>
      <c r="B841" s="1" t="s">
        <v>1907</v>
      </c>
      <c r="C841" s="2">
        <v>46999</v>
      </c>
      <c r="D841" s="1" t="s">
        <v>34</v>
      </c>
      <c r="E841">
        <v>1478</v>
      </c>
      <c r="F841" s="2">
        <v>46081</v>
      </c>
      <c r="G841" s="1" t="s">
        <v>853</v>
      </c>
      <c r="H841" s="1" t="s">
        <v>67</v>
      </c>
      <c r="I841" s="1" t="s">
        <v>37</v>
      </c>
      <c r="J841" s="1" t="s">
        <v>833</v>
      </c>
      <c r="K841" s="1" t="s">
        <v>834</v>
      </c>
      <c r="L841">
        <v>50</v>
      </c>
      <c r="M841">
        <v>38.4</v>
      </c>
      <c r="N841">
        <v>22.5</v>
      </c>
      <c r="O841">
        <v>14.8</v>
      </c>
      <c r="P841">
        <v>1.2789999999999999E-2</v>
      </c>
      <c r="Q841">
        <v>1.88</v>
      </c>
      <c r="R841">
        <v>7.28</v>
      </c>
      <c r="S841">
        <v>11</v>
      </c>
      <c r="T841">
        <v>4</v>
      </c>
      <c r="U841">
        <v>44</v>
      </c>
      <c r="V841">
        <v>74.2</v>
      </c>
      <c r="W841">
        <v>107.72</v>
      </c>
      <c r="X841">
        <v>0.56275999999999993</v>
      </c>
      <c r="Y841">
        <v>29.56</v>
      </c>
      <c r="Z841">
        <v>0.37807239999999998</v>
      </c>
      <c r="AA841">
        <v>0.67181818181818176</v>
      </c>
      <c r="AB841">
        <v>10759.84</v>
      </c>
      <c r="AC841">
        <v>1</v>
      </c>
      <c r="AD841" s="1" t="s">
        <v>40</v>
      </c>
      <c r="AE841">
        <v>1</v>
      </c>
      <c r="AF841">
        <v>0</v>
      </c>
      <c r="AG841">
        <v>30.197368421052634</v>
      </c>
    </row>
    <row r="842" spans="1:33">
      <c r="A842" s="1" t="s">
        <v>852</v>
      </c>
      <c r="B842" s="1" t="s">
        <v>1908</v>
      </c>
      <c r="C842" s="2">
        <v>46921</v>
      </c>
      <c r="D842" s="1" t="s">
        <v>34</v>
      </c>
      <c r="E842">
        <v>41</v>
      </c>
      <c r="F842" s="2">
        <v>46081</v>
      </c>
      <c r="G842" s="1" t="s">
        <v>853</v>
      </c>
      <c r="H842" s="1" t="s">
        <v>67</v>
      </c>
      <c r="I842" s="1" t="s">
        <v>37</v>
      </c>
      <c r="J842" s="1" t="s">
        <v>833</v>
      </c>
      <c r="K842" s="1" t="s">
        <v>834</v>
      </c>
      <c r="L842">
        <v>50</v>
      </c>
      <c r="M842">
        <v>38.4</v>
      </c>
      <c r="N842">
        <v>22.5</v>
      </c>
      <c r="O842">
        <v>14.8</v>
      </c>
      <c r="P842">
        <v>1.2789999999999999E-2</v>
      </c>
      <c r="Q842">
        <v>1.88</v>
      </c>
      <c r="R842">
        <v>7.28</v>
      </c>
      <c r="S842">
        <v>11</v>
      </c>
      <c r="T842">
        <v>4</v>
      </c>
      <c r="U842">
        <v>44</v>
      </c>
      <c r="V842">
        <v>74.2</v>
      </c>
      <c r="W842">
        <v>107.72</v>
      </c>
      <c r="X842">
        <v>0.56275999999999993</v>
      </c>
      <c r="Y842">
        <v>0.82</v>
      </c>
      <c r="Z842">
        <v>1.0487799999999999E-2</v>
      </c>
      <c r="AA842">
        <v>1.8636363636363635E-2</v>
      </c>
      <c r="AB842">
        <v>298.48</v>
      </c>
      <c r="AC842">
        <v>1</v>
      </c>
      <c r="AD842" s="1" t="s">
        <v>44</v>
      </c>
      <c r="AE842">
        <v>0</v>
      </c>
      <c r="AF842">
        <v>1</v>
      </c>
      <c r="AG842">
        <v>27.631578947368421</v>
      </c>
    </row>
    <row r="843" spans="1:33">
      <c r="A843" s="1" t="s">
        <v>852</v>
      </c>
      <c r="B843" s="1" t="s">
        <v>1909</v>
      </c>
      <c r="C843" s="2">
        <v>47103</v>
      </c>
      <c r="D843" s="1" t="s">
        <v>34</v>
      </c>
      <c r="E843">
        <v>2564</v>
      </c>
      <c r="F843" s="2">
        <v>46081</v>
      </c>
      <c r="G843" s="1" t="s">
        <v>853</v>
      </c>
      <c r="H843" s="1" t="s">
        <v>67</v>
      </c>
      <c r="I843" s="1" t="s">
        <v>37</v>
      </c>
      <c r="J843" s="1" t="s">
        <v>833</v>
      </c>
      <c r="K843" s="1" t="s">
        <v>834</v>
      </c>
      <c r="L843">
        <v>50</v>
      </c>
      <c r="M843">
        <v>38.4</v>
      </c>
      <c r="N843">
        <v>22.5</v>
      </c>
      <c r="O843">
        <v>14.8</v>
      </c>
      <c r="P843">
        <v>1.2789999999999999E-2</v>
      </c>
      <c r="Q843">
        <v>1.88</v>
      </c>
      <c r="R843">
        <v>7.28</v>
      </c>
      <c r="S843">
        <v>11</v>
      </c>
      <c r="T843">
        <v>4</v>
      </c>
      <c r="U843">
        <v>44</v>
      </c>
      <c r="V843">
        <v>74.2</v>
      </c>
      <c r="W843">
        <v>107.72</v>
      </c>
      <c r="X843">
        <v>0.56275999999999993</v>
      </c>
      <c r="Y843">
        <v>51.28</v>
      </c>
      <c r="Z843">
        <v>0.65587119999999999</v>
      </c>
      <c r="AA843">
        <v>1.1654545454545455</v>
      </c>
      <c r="AB843">
        <v>18665.920000000002</v>
      </c>
      <c r="AC843">
        <v>2</v>
      </c>
      <c r="AD843" s="1" t="s">
        <v>40</v>
      </c>
      <c r="AE843">
        <v>2</v>
      </c>
      <c r="AF843">
        <v>0</v>
      </c>
      <c r="AG843">
        <v>33.618421052631582</v>
      </c>
    </row>
    <row r="844" spans="1:33">
      <c r="A844" s="1" t="s">
        <v>854</v>
      </c>
      <c r="B844" s="1" t="s">
        <v>1910</v>
      </c>
      <c r="C844" s="2">
        <v>46731</v>
      </c>
      <c r="D844" s="1" t="s">
        <v>34</v>
      </c>
      <c r="E844">
        <v>2787</v>
      </c>
      <c r="F844" s="2">
        <v>46081</v>
      </c>
      <c r="G844" s="1" t="s">
        <v>855</v>
      </c>
      <c r="H844" s="1" t="s">
        <v>67</v>
      </c>
      <c r="I844" s="1" t="s">
        <v>37</v>
      </c>
      <c r="J844" s="1" t="s">
        <v>833</v>
      </c>
      <c r="K844" s="1" t="s">
        <v>834</v>
      </c>
      <c r="L844">
        <v>50</v>
      </c>
      <c r="M844">
        <v>41.9</v>
      </c>
      <c r="N844">
        <v>30.6</v>
      </c>
      <c r="O844">
        <v>13.8</v>
      </c>
      <c r="P844">
        <v>1.7690000000000001E-2</v>
      </c>
      <c r="Q844">
        <v>3.98</v>
      </c>
      <c r="R844">
        <v>21.27</v>
      </c>
      <c r="S844">
        <v>6</v>
      </c>
      <c r="T844">
        <v>6</v>
      </c>
      <c r="U844">
        <v>36</v>
      </c>
      <c r="V844">
        <v>97.8</v>
      </c>
      <c r="W844">
        <v>168.28</v>
      </c>
      <c r="X844">
        <v>0.63684000000000007</v>
      </c>
      <c r="Y844">
        <v>55.74</v>
      </c>
      <c r="Z844">
        <v>0.98604060000000004</v>
      </c>
      <c r="AA844">
        <v>1.5483333333333333</v>
      </c>
      <c r="AB844">
        <v>59279.49</v>
      </c>
      <c r="AC844">
        <v>2</v>
      </c>
      <c r="AD844" s="1" t="s">
        <v>40</v>
      </c>
      <c r="AE844">
        <v>2</v>
      </c>
      <c r="AF844">
        <v>0</v>
      </c>
      <c r="AG844">
        <v>21.381578947368421</v>
      </c>
    </row>
    <row r="845" spans="1:33">
      <c r="A845" s="1" t="s">
        <v>854</v>
      </c>
      <c r="B845" s="1" t="s">
        <v>1911</v>
      </c>
      <c r="C845" s="2">
        <v>46635</v>
      </c>
      <c r="D845" s="1" t="s">
        <v>34</v>
      </c>
      <c r="E845">
        <v>3196</v>
      </c>
      <c r="F845" s="2">
        <v>46081</v>
      </c>
      <c r="G845" s="1" t="s">
        <v>855</v>
      </c>
      <c r="H845" s="1" t="s">
        <v>67</v>
      </c>
      <c r="I845" s="1" t="s">
        <v>37</v>
      </c>
      <c r="J845" s="1" t="s">
        <v>833</v>
      </c>
      <c r="K845" s="1" t="s">
        <v>834</v>
      </c>
      <c r="L845">
        <v>50</v>
      </c>
      <c r="M845">
        <v>41.9</v>
      </c>
      <c r="N845">
        <v>30.6</v>
      </c>
      <c r="O845">
        <v>13.8</v>
      </c>
      <c r="P845">
        <v>1.7690000000000001E-2</v>
      </c>
      <c r="Q845">
        <v>3.98</v>
      </c>
      <c r="R845">
        <v>21.27</v>
      </c>
      <c r="S845">
        <v>6</v>
      </c>
      <c r="T845">
        <v>6</v>
      </c>
      <c r="U845">
        <v>36</v>
      </c>
      <c r="V845">
        <v>97.8</v>
      </c>
      <c r="W845">
        <v>168.28</v>
      </c>
      <c r="X845">
        <v>0.63684000000000007</v>
      </c>
      <c r="Y845">
        <v>63.92</v>
      </c>
      <c r="Z845">
        <v>1.1307448</v>
      </c>
      <c r="AA845">
        <v>1.7755555555555556</v>
      </c>
      <c r="AB845">
        <v>67978.92</v>
      </c>
      <c r="AC845">
        <v>2</v>
      </c>
      <c r="AD845" s="1" t="s">
        <v>40</v>
      </c>
      <c r="AE845">
        <v>2</v>
      </c>
      <c r="AF845">
        <v>0</v>
      </c>
      <c r="AG845">
        <v>18.223684210526315</v>
      </c>
    </row>
    <row r="846" spans="1:33">
      <c r="A846" s="1" t="s">
        <v>854</v>
      </c>
      <c r="B846" s="1" t="s">
        <v>1912</v>
      </c>
      <c r="C846" s="2">
        <v>46541</v>
      </c>
      <c r="D846" s="1" t="s">
        <v>49</v>
      </c>
      <c r="E846">
        <v>299</v>
      </c>
      <c r="F846" s="2">
        <v>46081</v>
      </c>
      <c r="G846" s="1" t="s">
        <v>855</v>
      </c>
      <c r="H846" s="1" t="s">
        <v>67</v>
      </c>
      <c r="I846" s="1" t="s">
        <v>37</v>
      </c>
      <c r="J846" s="1" t="s">
        <v>833</v>
      </c>
      <c r="K846" s="1" t="s">
        <v>834</v>
      </c>
      <c r="L846">
        <v>50</v>
      </c>
      <c r="M846">
        <v>41.9</v>
      </c>
      <c r="N846">
        <v>30.6</v>
      </c>
      <c r="O846">
        <v>13.8</v>
      </c>
      <c r="P846">
        <v>1.7690000000000001E-2</v>
      </c>
      <c r="Q846">
        <v>3.98</v>
      </c>
      <c r="R846">
        <v>21.27</v>
      </c>
      <c r="S846">
        <v>6</v>
      </c>
      <c r="T846">
        <v>6</v>
      </c>
      <c r="U846">
        <v>36</v>
      </c>
      <c r="V846">
        <v>97.8</v>
      </c>
      <c r="W846">
        <v>168.28</v>
      </c>
      <c r="X846">
        <v>0.63684000000000007</v>
      </c>
      <c r="Y846">
        <v>5.98</v>
      </c>
      <c r="Z846">
        <v>0.10578620000000001</v>
      </c>
      <c r="AA846">
        <v>0.16611111111111113</v>
      </c>
      <c r="AB846">
        <v>6359.73</v>
      </c>
      <c r="AC846">
        <v>1</v>
      </c>
      <c r="AD846" s="1" t="s">
        <v>44</v>
      </c>
      <c r="AE846">
        <v>0</v>
      </c>
      <c r="AF846">
        <v>1</v>
      </c>
      <c r="AG846">
        <v>15.131578947368421</v>
      </c>
    </row>
    <row r="847" spans="1:33">
      <c r="A847" s="1" t="s">
        <v>854</v>
      </c>
      <c r="B847" s="1" t="s">
        <v>1913</v>
      </c>
      <c r="C847" s="2">
        <v>46522</v>
      </c>
      <c r="D847" s="1" t="s">
        <v>153</v>
      </c>
      <c r="E847">
        <v>179</v>
      </c>
      <c r="F847" s="2">
        <v>46081</v>
      </c>
      <c r="G847" s="1" t="s">
        <v>855</v>
      </c>
      <c r="H847" s="1" t="s">
        <v>67</v>
      </c>
      <c r="I847" s="1" t="s">
        <v>37</v>
      </c>
      <c r="J847" s="1" t="s">
        <v>833</v>
      </c>
      <c r="K847" s="1" t="s">
        <v>834</v>
      </c>
      <c r="L847">
        <v>50</v>
      </c>
      <c r="M847">
        <v>41.9</v>
      </c>
      <c r="N847">
        <v>30.6</v>
      </c>
      <c r="O847">
        <v>13.8</v>
      </c>
      <c r="P847">
        <v>1.7690000000000001E-2</v>
      </c>
      <c r="Q847">
        <v>3.98</v>
      </c>
      <c r="R847">
        <v>21.27</v>
      </c>
      <c r="S847">
        <v>6</v>
      </c>
      <c r="T847">
        <v>6</v>
      </c>
      <c r="U847">
        <v>36</v>
      </c>
      <c r="V847">
        <v>97.8</v>
      </c>
      <c r="W847">
        <v>168.28</v>
      </c>
      <c r="X847">
        <v>0.63684000000000007</v>
      </c>
      <c r="Y847">
        <v>3.58</v>
      </c>
      <c r="Z847">
        <v>6.3330200000000003E-2</v>
      </c>
      <c r="AA847">
        <v>9.9444444444444446E-2</v>
      </c>
      <c r="AB847">
        <v>3807.33</v>
      </c>
      <c r="AC847">
        <v>1</v>
      </c>
      <c r="AD847" s="1" t="s">
        <v>74</v>
      </c>
      <c r="AE847">
        <v>0</v>
      </c>
      <c r="AF847">
        <v>0</v>
      </c>
      <c r="AG847">
        <v>14.506578947368421</v>
      </c>
    </row>
    <row r="848" spans="1:33">
      <c r="A848" s="1" t="s">
        <v>856</v>
      </c>
      <c r="B848" s="1" t="s">
        <v>1914</v>
      </c>
      <c r="C848" s="2">
        <v>47107</v>
      </c>
      <c r="D848" s="1" t="s">
        <v>34</v>
      </c>
      <c r="E848">
        <v>3064</v>
      </c>
      <c r="F848" s="2">
        <v>46081</v>
      </c>
      <c r="G848" s="1" t="s">
        <v>857</v>
      </c>
      <c r="H848" s="1" t="s">
        <v>67</v>
      </c>
      <c r="I848" s="1" t="s">
        <v>37</v>
      </c>
      <c r="J848" s="1" t="s">
        <v>833</v>
      </c>
      <c r="K848" s="1" t="s">
        <v>39</v>
      </c>
      <c r="L848">
        <v>50</v>
      </c>
      <c r="M848">
        <v>40.6</v>
      </c>
      <c r="N848">
        <v>24.7</v>
      </c>
      <c r="O848">
        <v>17.2</v>
      </c>
      <c r="P848">
        <v>1.7250000000000001E-2</v>
      </c>
      <c r="Q848">
        <v>4.22</v>
      </c>
      <c r="R848">
        <v>16.3</v>
      </c>
      <c r="S848">
        <v>8</v>
      </c>
      <c r="T848">
        <v>4</v>
      </c>
      <c r="U848">
        <v>32</v>
      </c>
      <c r="V848">
        <v>83.8</v>
      </c>
      <c r="W848">
        <v>160.04</v>
      </c>
      <c r="X848">
        <v>0.55200000000000005</v>
      </c>
      <c r="Y848">
        <v>61.28</v>
      </c>
      <c r="Z848">
        <v>1.05708</v>
      </c>
      <c r="AA848">
        <v>1.915</v>
      </c>
      <c r="AB848">
        <v>49943.200000000004</v>
      </c>
      <c r="AC848">
        <v>2</v>
      </c>
      <c r="AD848" s="1" t="s">
        <v>40</v>
      </c>
      <c r="AE848">
        <v>2</v>
      </c>
      <c r="AF848">
        <v>0</v>
      </c>
      <c r="AG848">
        <v>33.75</v>
      </c>
    </row>
    <row r="849" spans="1:33">
      <c r="A849" s="1" t="s">
        <v>858</v>
      </c>
      <c r="B849" s="1" t="s">
        <v>1915</v>
      </c>
      <c r="C849" s="2">
        <v>46669</v>
      </c>
      <c r="D849" s="1" t="s">
        <v>34</v>
      </c>
      <c r="E849">
        <v>176</v>
      </c>
      <c r="F849" s="2">
        <v>46081</v>
      </c>
      <c r="G849" s="1" t="s">
        <v>859</v>
      </c>
      <c r="H849" s="1" t="s">
        <v>837</v>
      </c>
      <c r="I849" s="1" t="s">
        <v>37</v>
      </c>
      <c r="J849" s="1" t="s">
        <v>833</v>
      </c>
      <c r="K849" s="1" t="s">
        <v>39</v>
      </c>
      <c r="L849">
        <v>100</v>
      </c>
      <c r="M849">
        <v>32.6</v>
      </c>
      <c r="N849">
        <v>31.1</v>
      </c>
      <c r="O849">
        <v>20.7</v>
      </c>
      <c r="P849">
        <v>2.0990000000000002E-2</v>
      </c>
      <c r="Q849">
        <v>5.01</v>
      </c>
      <c r="R849">
        <v>28.12</v>
      </c>
      <c r="S849">
        <v>9</v>
      </c>
      <c r="T849">
        <v>4</v>
      </c>
      <c r="U849">
        <v>36</v>
      </c>
      <c r="V849">
        <v>97.8</v>
      </c>
      <c r="W849">
        <v>205.36</v>
      </c>
      <c r="X849">
        <v>0.75564000000000009</v>
      </c>
      <c r="Y849">
        <v>1.76</v>
      </c>
      <c r="Z849">
        <v>3.69424E-2</v>
      </c>
      <c r="AA849">
        <v>4.8888888888888891E-2</v>
      </c>
      <c r="AB849">
        <v>4949.12</v>
      </c>
      <c r="AC849">
        <v>1</v>
      </c>
      <c r="AD849" s="1" t="s">
        <v>44</v>
      </c>
      <c r="AE849">
        <v>0</v>
      </c>
      <c r="AF849">
        <v>1</v>
      </c>
      <c r="AG849">
        <v>19.342105263157897</v>
      </c>
    </row>
    <row r="850" spans="1:33">
      <c r="A850" s="1" t="s">
        <v>858</v>
      </c>
      <c r="B850" s="1" t="s">
        <v>1916</v>
      </c>
      <c r="C850" s="2">
        <v>46998</v>
      </c>
      <c r="D850" s="1" t="s">
        <v>34</v>
      </c>
      <c r="E850">
        <v>1619</v>
      </c>
      <c r="F850" s="2">
        <v>46081</v>
      </c>
      <c r="G850" s="1" t="s">
        <v>859</v>
      </c>
      <c r="H850" s="1" t="s">
        <v>837</v>
      </c>
      <c r="I850" s="1" t="s">
        <v>37</v>
      </c>
      <c r="J850" s="1" t="s">
        <v>833</v>
      </c>
      <c r="K850" s="1" t="s">
        <v>39</v>
      </c>
      <c r="L850">
        <v>100</v>
      </c>
      <c r="M850">
        <v>32.6</v>
      </c>
      <c r="N850">
        <v>31.1</v>
      </c>
      <c r="O850">
        <v>20.7</v>
      </c>
      <c r="P850">
        <v>2.0990000000000002E-2</v>
      </c>
      <c r="Q850">
        <v>5.01</v>
      </c>
      <c r="R850">
        <v>28.12</v>
      </c>
      <c r="S850">
        <v>9</v>
      </c>
      <c r="T850">
        <v>4</v>
      </c>
      <c r="U850">
        <v>36</v>
      </c>
      <c r="V850">
        <v>97.8</v>
      </c>
      <c r="W850">
        <v>205.36</v>
      </c>
      <c r="X850">
        <v>0.75564000000000009</v>
      </c>
      <c r="Y850">
        <v>16.190000000000001</v>
      </c>
      <c r="Z850">
        <v>0.33982810000000008</v>
      </c>
      <c r="AA850">
        <v>0.44972222222222225</v>
      </c>
      <c r="AB850">
        <v>45526.28</v>
      </c>
      <c r="AC850">
        <v>1</v>
      </c>
      <c r="AD850" s="1" t="s">
        <v>40</v>
      </c>
      <c r="AE850">
        <v>1</v>
      </c>
      <c r="AF850">
        <v>0</v>
      </c>
      <c r="AG850">
        <v>30.164473684210527</v>
      </c>
    </row>
    <row r="851" spans="1:33">
      <c r="A851" s="1" t="s">
        <v>858</v>
      </c>
      <c r="B851" s="1" t="s">
        <v>1917</v>
      </c>
      <c r="C851" s="2">
        <v>45888</v>
      </c>
      <c r="D851" s="1" t="s">
        <v>73</v>
      </c>
      <c r="E851">
        <v>143</v>
      </c>
      <c r="F851" s="2">
        <v>46081</v>
      </c>
      <c r="G851" s="1" t="s">
        <v>859</v>
      </c>
      <c r="H851" s="1" t="s">
        <v>837</v>
      </c>
      <c r="I851" s="1" t="s">
        <v>37</v>
      </c>
      <c r="J851" s="1" t="s">
        <v>833</v>
      </c>
      <c r="K851" s="1" t="s">
        <v>39</v>
      </c>
      <c r="L851">
        <v>100</v>
      </c>
      <c r="M851">
        <v>32.6</v>
      </c>
      <c r="N851">
        <v>31.1</v>
      </c>
      <c r="O851">
        <v>20.7</v>
      </c>
      <c r="P851">
        <v>2.0990000000000002E-2</v>
      </c>
      <c r="Q851">
        <v>5.01</v>
      </c>
      <c r="R851">
        <v>28.12</v>
      </c>
      <c r="S851">
        <v>9</v>
      </c>
      <c r="T851">
        <v>4</v>
      </c>
      <c r="U851">
        <v>36</v>
      </c>
      <c r="V851">
        <v>97.8</v>
      </c>
      <c r="W851">
        <v>205.36</v>
      </c>
      <c r="X851">
        <v>0.75564000000000009</v>
      </c>
      <c r="Y851">
        <v>1.43</v>
      </c>
      <c r="Z851">
        <v>3.0015700000000003E-2</v>
      </c>
      <c r="AA851">
        <v>3.9722222222222221E-2</v>
      </c>
      <c r="AB851">
        <v>4021.1600000000003</v>
      </c>
      <c r="AC851">
        <v>1</v>
      </c>
      <c r="AD851" s="1" t="s">
        <v>74</v>
      </c>
      <c r="AE851">
        <v>0</v>
      </c>
      <c r="AF851">
        <v>0</v>
      </c>
      <c r="AG851">
        <v>-6.3486842105263159</v>
      </c>
    </row>
    <row r="852" spans="1:33">
      <c r="A852" s="1" t="s">
        <v>860</v>
      </c>
      <c r="B852" s="1" t="s">
        <v>1918</v>
      </c>
      <c r="C852" s="2">
        <v>46663</v>
      </c>
      <c r="D852" s="1" t="s">
        <v>34</v>
      </c>
      <c r="E852">
        <v>505</v>
      </c>
      <c r="F852" s="2">
        <v>46081</v>
      </c>
      <c r="G852" s="1" t="s">
        <v>861</v>
      </c>
      <c r="H852" s="1" t="s">
        <v>781</v>
      </c>
      <c r="I852" s="1" t="s">
        <v>37</v>
      </c>
      <c r="J852" s="1" t="s">
        <v>833</v>
      </c>
      <c r="K852" s="1" t="s">
        <v>39</v>
      </c>
      <c r="L852">
        <v>200</v>
      </c>
      <c r="M852">
        <v>25.7</v>
      </c>
      <c r="N852">
        <v>28.6</v>
      </c>
      <c r="O852">
        <v>18.100000000000001</v>
      </c>
      <c r="P852">
        <v>1.3299999999999999E-2</v>
      </c>
      <c r="Q852">
        <v>2.4</v>
      </c>
      <c r="R852">
        <v>20.51</v>
      </c>
      <c r="S852">
        <v>12</v>
      </c>
      <c r="T852">
        <v>4</v>
      </c>
      <c r="U852">
        <v>48</v>
      </c>
      <c r="V852">
        <v>87.4</v>
      </c>
      <c r="W852">
        <v>140.19999999999999</v>
      </c>
      <c r="X852">
        <v>0.63839999999999997</v>
      </c>
      <c r="Y852">
        <v>2.5249999999999999</v>
      </c>
      <c r="Z852">
        <v>3.3582499999999994E-2</v>
      </c>
      <c r="AA852">
        <v>5.2604166666666667E-2</v>
      </c>
      <c r="AB852">
        <v>10357.550000000001</v>
      </c>
      <c r="AC852">
        <v>1</v>
      </c>
      <c r="AD852" s="1" t="s">
        <v>44</v>
      </c>
      <c r="AE852">
        <v>0</v>
      </c>
      <c r="AF852">
        <v>1</v>
      </c>
      <c r="AG852">
        <v>19.144736842105264</v>
      </c>
    </row>
    <row r="853" spans="1:33">
      <c r="A853" s="1" t="s">
        <v>860</v>
      </c>
      <c r="B853" s="1" t="s">
        <v>1919</v>
      </c>
      <c r="C853" s="2">
        <v>46517</v>
      </c>
      <c r="D853" s="1" t="s">
        <v>34</v>
      </c>
      <c r="E853">
        <v>2145</v>
      </c>
      <c r="F853" s="2">
        <v>46081</v>
      </c>
      <c r="G853" s="1" t="s">
        <v>861</v>
      </c>
      <c r="H853" s="1" t="s">
        <v>781</v>
      </c>
      <c r="I853" s="1" t="s">
        <v>37</v>
      </c>
      <c r="J853" s="1" t="s">
        <v>833</v>
      </c>
      <c r="K853" s="1" t="s">
        <v>39</v>
      </c>
      <c r="L853">
        <v>200</v>
      </c>
      <c r="M853">
        <v>25.7</v>
      </c>
      <c r="N853">
        <v>28.6</v>
      </c>
      <c r="O853">
        <v>18.100000000000001</v>
      </c>
      <c r="P853">
        <v>1.3299999999999999E-2</v>
      </c>
      <c r="Q853">
        <v>2.4</v>
      </c>
      <c r="R853">
        <v>20.51</v>
      </c>
      <c r="S853">
        <v>12</v>
      </c>
      <c r="T853">
        <v>4</v>
      </c>
      <c r="U853">
        <v>48</v>
      </c>
      <c r="V853">
        <v>87.4</v>
      </c>
      <c r="W853">
        <v>140.19999999999999</v>
      </c>
      <c r="X853">
        <v>0.63839999999999997</v>
      </c>
      <c r="Y853">
        <v>10.725</v>
      </c>
      <c r="Z853">
        <v>0.14264249999999998</v>
      </c>
      <c r="AA853">
        <v>0.22343749999999998</v>
      </c>
      <c r="AB853">
        <v>43993.950000000004</v>
      </c>
      <c r="AC853">
        <v>1</v>
      </c>
      <c r="AD853" s="1" t="s">
        <v>44</v>
      </c>
      <c r="AE853">
        <v>0</v>
      </c>
      <c r="AF853">
        <v>1</v>
      </c>
      <c r="AG853">
        <v>14.342105263157896</v>
      </c>
    </row>
    <row r="854" spans="1:33">
      <c r="A854" s="1" t="s">
        <v>862</v>
      </c>
      <c r="B854" s="1" t="s">
        <v>1920</v>
      </c>
      <c r="C854" s="2">
        <v>46671</v>
      </c>
      <c r="D854" s="1" t="s">
        <v>34</v>
      </c>
      <c r="E854">
        <v>328</v>
      </c>
      <c r="F854" s="2">
        <v>46081</v>
      </c>
      <c r="G854" s="1" t="s">
        <v>863</v>
      </c>
      <c r="H854" s="1" t="s">
        <v>837</v>
      </c>
      <c r="I854" s="1" t="s">
        <v>37</v>
      </c>
      <c r="J854" s="1" t="s">
        <v>833</v>
      </c>
      <c r="K854" s="1" t="s">
        <v>39</v>
      </c>
      <c r="L854">
        <v>100</v>
      </c>
      <c r="M854">
        <v>30.5</v>
      </c>
      <c r="N854">
        <v>34.5</v>
      </c>
      <c r="O854">
        <v>20.6</v>
      </c>
      <c r="P854">
        <v>2.1680000000000001E-2</v>
      </c>
      <c r="Q854">
        <v>4.54</v>
      </c>
      <c r="R854">
        <v>10.58</v>
      </c>
      <c r="S854">
        <v>9</v>
      </c>
      <c r="T854">
        <v>6</v>
      </c>
      <c r="U854">
        <v>54</v>
      </c>
      <c r="V854">
        <v>138.60000000000002</v>
      </c>
      <c r="W854">
        <v>270.16000000000003</v>
      </c>
      <c r="X854">
        <v>1.17072</v>
      </c>
      <c r="Y854">
        <v>3.28</v>
      </c>
      <c r="Z854">
        <v>7.1110400000000004E-2</v>
      </c>
      <c r="AA854">
        <v>6.0740740740740734E-2</v>
      </c>
      <c r="AB854">
        <v>3470.2400000000002</v>
      </c>
      <c r="AC854">
        <v>1</v>
      </c>
      <c r="AD854" s="1" t="s">
        <v>44</v>
      </c>
      <c r="AE854">
        <v>0</v>
      </c>
      <c r="AF854">
        <v>1</v>
      </c>
      <c r="AG854">
        <v>19.407894736842106</v>
      </c>
    </row>
    <row r="855" spans="1:33">
      <c r="A855" s="1" t="s">
        <v>864</v>
      </c>
      <c r="B855" s="1" t="s">
        <v>1921</v>
      </c>
      <c r="C855" s="2">
        <v>46575</v>
      </c>
      <c r="D855" s="1" t="s">
        <v>34</v>
      </c>
      <c r="E855">
        <v>288</v>
      </c>
      <c r="F855" s="2">
        <v>46081</v>
      </c>
      <c r="G855" s="1" t="s">
        <v>865</v>
      </c>
      <c r="H855" s="1" t="s">
        <v>67</v>
      </c>
      <c r="I855" s="1" t="s">
        <v>37</v>
      </c>
      <c r="J855" s="1" t="s">
        <v>833</v>
      </c>
      <c r="K855" s="1" t="s">
        <v>834</v>
      </c>
      <c r="L855">
        <v>50</v>
      </c>
      <c r="M855">
        <v>27.8</v>
      </c>
      <c r="N855">
        <v>26.7</v>
      </c>
      <c r="O855">
        <v>18.7</v>
      </c>
      <c r="P855">
        <v>1.388E-2</v>
      </c>
      <c r="Q855">
        <v>2.2999999999999998</v>
      </c>
      <c r="R855">
        <v>29.77</v>
      </c>
      <c r="S855">
        <v>11</v>
      </c>
      <c r="T855">
        <v>5</v>
      </c>
      <c r="U855">
        <v>55</v>
      </c>
      <c r="V855">
        <v>108.5</v>
      </c>
      <c r="W855">
        <v>151.5</v>
      </c>
      <c r="X855">
        <v>0.76339999999999997</v>
      </c>
      <c r="Y855">
        <v>5.76</v>
      </c>
      <c r="Z855">
        <v>7.99488E-2</v>
      </c>
      <c r="AA855">
        <v>0.10472727272727272</v>
      </c>
      <c r="AB855">
        <v>8573.76</v>
      </c>
      <c r="AC855">
        <v>1</v>
      </c>
      <c r="AD855" s="1" t="s">
        <v>44</v>
      </c>
      <c r="AE855">
        <v>0</v>
      </c>
      <c r="AF855">
        <v>1</v>
      </c>
      <c r="AG855">
        <v>16.25</v>
      </c>
    </row>
    <row r="856" spans="1:33">
      <c r="A856" s="1" t="s">
        <v>864</v>
      </c>
      <c r="B856" s="1" t="s">
        <v>1922</v>
      </c>
      <c r="C856" s="2">
        <v>46271</v>
      </c>
      <c r="D856" s="1" t="s">
        <v>153</v>
      </c>
      <c r="E856">
        <v>8</v>
      </c>
      <c r="F856" s="2">
        <v>46081</v>
      </c>
      <c r="G856" s="1" t="s">
        <v>865</v>
      </c>
      <c r="H856" s="1" t="s">
        <v>67</v>
      </c>
      <c r="I856" s="1" t="s">
        <v>37</v>
      </c>
      <c r="J856" s="1" t="s">
        <v>833</v>
      </c>
      <c r="K856" s="1" t="s">
        <v>834</v>
      </c>
      <c r="L856">
        <v>50</v>
      </c>
      <c r="M856">
        <v>27.8</v>
      </c>
      <c r="N856">
        <v>26.7</v>
      </c>
      <c r="O856">
        <v>18.7</v>
      </c>
      <c r="P856">
        <v>1.388E-2</v>
      </c>
      <c r="Q856">
        <v>2.2999999999999998</v>
      </c>
      <c r="R856">
        <v>29.77</v>
      </c>
      <c r="S856">
        <v>11</v>
      </c>
      <c r="T856">
        <v>5</v>
      </c>
      <c r="U856">
        <v>55</v>
      </c>
      <c r="V856">
        <v>108.5</v>
      </c>
      <c r="W856">
        <v>151.5</v>
      </c>
      <c r="X856">
        <v>0.76339999999999997</v>
      </c>
      <c r="Y856">
        <v>0.16</v>
      </c>
      <c r="Z856">
        <v>2.2208000000000002E-3</v>
      </c>
      <c r="AA856">
        <v>2.9090909090909093E-3</v>
      </c>
      <c r="AB856">
        <v>238.16</v>
      </c>
      <c r="AC856">
        <v>1</v>
      </c>
      <c r="AD856" s="1" t="s">
        <v>74</v>
      </c>
      <c r="AE856">
        <v>0</v>
      </c>
      <c r="AF856">
        <v>0</v>
      </c>
      <c r="AG856">
        <v>6.25</v>
      </c>
    </row>
    <row r="857" spans="1:33">
      <c r="A857" s="1" t="s">
        <v>866</v>
      </c>
      <c r="B857" s="1" t="s">
        <v>1923</v>
      </c>
      <c r="C857" s="2">
        <v>46579</v>
      </c>
      <c r="D857" s="1" t="s">
        <v>34</v>
      </c>
      <c r="E857">
        <v>400</v>
      </c>
      <c r="F857" s="2">
        <v>46081</v>
      </c>
      <c r="G857" s="1" t="s">
        <v>867</v>
      </c>
      <c r="H857" s="1" t="s">
        <v>67</v>
      </c>
      <c r="I857" s="1" t="s">
        <v>37</v>
      </c>
      <c r="J857" s="1" t="s">
        <v>833</v>
      </c>
      <c r="K857" s="1" t="s">
        <v>39</v>
      </c>
      <c r="L857">
        <v>200</v>
      </c>
      <c r="M857">
        <v>31.3</v>
      </c>
      <c r="N857">
        <v>31.8</v>
      </c>
      <c r="O857">
        <v>20.3</v>
      </c>
      <c r="P857">
        <v>2.0209999999999999E-2</v>
      </c>
      <c r="Q857">
        <v>3.9</v>
      </c>
      <c r="R857">
        <v>33.68</v>
      </c>
      <c r="S857">
        <v>9</v>
      </c>
      <c r="T857">
        <v>5</v>
      </c>
      <c r="U857">
        <v>45</v>
      </c>
      <c r="V857">
        <v>116.5</v>
      </c>
      <c r="W857">
        <v>200.5</v>
      </c>
      <c r="X857">
        <v>0.90944999999999998</v>
      </c>
      <c r="Y857">
        <v>2</v>
      </c>
      <c r="Z857">
        <v>4.0419999999999998E-2</v>
      </c>
      <c r="AA857">
        <v>4.4444444444444446E-2</v>
      </c>
      <c r="AB857">
        <v>13472</v>
      </c>
      <c r="AC857">
        <v>1</v>
      </c>
      <c r="AD857" s="1" t="s">
        <v>44</v>
      </c>
      <c r="AE857">
        <v>0</v>
      </c>
      <c r="AF857">
        <v>1</v>
      </c>
      <c r="AG857">
        <v>16.381578947368421</v>
      </c>
    </row>
    <row r="858" spans="1:33">
      <c r="A858" s="1" t="s">
        <v>868</v>
      </c>
      <c r="B858" s="1" t="s">
        <v>1924</v>
      </c>
      <c r="C858" s="2">
        <v>46258</v>
      </c>
      <c r="D858" s="1" t="s">
        <v>34</v>
      </c>
      <c r="E858">
        <v>484</v>
      </c>
      <c r="F858" s="2">
        <v>46081</v>
      </c>
      <c r="G858" s="1" t="s">
        <v>869</v>
      </c>
      <c r="H858" s="1" t="s">
        <v>67</v>
      </c>
      <c r="I858" s="1" t="s">
        <v>37</v>
      </c>
      <c r="J858" s="1" t="s">
        <v>833</v>
      </c>
      <c r="K858" s="1" t="s">
        <v>39</v>
      </c>
      <c r="L858">
        <v>100</v>
      </c>
      <c r="M858">
        <v>29.4</v>
      </c>
      <c r="N858">
        <v>24.7</v>
      </c>
      <c r="O858">
        <v>21.5</v>
      </c>
      <c r="P858">
        <v>1.5610000000000001E-2</v>
      </c>
      <c r="Q858">
        <v>3.87</v>
      </c>
      <c r="R858">
        <v>22.14</v>
      </c>
      <c r="S858">
        <v>16</v>
      </c>
      <c r="T858">
        <v>4</v>
      </c>
      <c r="U858">
        <v>64</v>
      </c>
      <c r="V858">
        <v>101</v>
      </c>
      <c r="W858">
        <v>272.68</v>
      </c>
      <c r="X858">
        <v>0.99904000000000004</v>
      </c>
      <c r="Y858">
        <v>4.84</v>
      </c>
      <c r="Z858">
        <v>7.5552400000000006E-2</v>
      </c>
      <c r="AA858">
        <v>7.5624999999999998E-2</v>
      </c>
      <c r="AB858">
        <v>10715.76</v>
      </c>
      <c r="AC858">
        <v>1</v>
      </c>
      <c r="AD858" s="1" t="s">
        <v>44</v>
      </c>
      <c r="AE858">
        <v>0</v>
      </c>
      <c r="AF858">
        <v>1</v>
      </c>
      <c r="AG858">
        <v>5.8223684210526319</v>
      </c>
    </row>
    <row r="859" spans="1:33">
      <c r="A859" s="1" t="s">
        <v>870</v>
      </c>
      <c r="B859" s="1" t="s">
        <v>1925</v>
      </c>
      <c r="C859" s="2">
        <v>46633</v>
      </c>
      <c r="D859" s="1" t="s">
        <v>34</v>
      </c>
      <c r="E859">
        <v>4692</v>
      </c>
      <c r="F859" s="2">
        <v>46081</v>
      </c>
      <c r="G859" s="1" t="s">
        <v>871</v>
      </c>
      <c r="H859" s="1" t="s">
        <v>837</v>
      </c>
      <c r="I859" s="1" t="s">
        <v>37</v>
      </c>
      <c r="J859" s="1" t="s">
        <v>833</v>
      </c>
      <c r="K859" s="1" t="s">
        <v>39</v>
      </c>
      <c r="L859">
        <v>100</v>
      </c>
      <c r="M859">
        <v>42.1</v>
      </c>
      <c r="N859">
        <v>20.3</v>
      </c>
      <c r="O859">
        <v>20.5</v>
      </c>
      <c r="P859">
        <v>1.7520000000000001E-2</v>
      </c>
      <c r="Q859">
        <v>2.67</v>
      </c>
      <c r="R859">
        <v>25.08</v>
      </c>
      <c r="S859">
        <v>10</v>
      </c>
      <c r="T859">
        <v>4</v>
      </c>
      <c r="U859">
        <v>40</v>
      </c>
      <c r="V859">
        <v>97</v>
      </c>
      <c r="W859">
        <v>131.80000000000001</v>
      </c>
      <c r="X859">
        <v>0.70080000000000009</v>
      </c>
      <c r="Y859">
        <v>46.92</v>
      </c>
      <c r="Z859">
        <v>0.82203840000000006</v>
      </c>
      <c r="AA859">
        <v>1.173</v>
      </c>
      <c r="AB859">
        <v>117675.35999999999</v>
      </c>
      <c r="AC859">
        <v>2</v>
      </c>
      <c r="AD859" s="1" t="s">
        <v>40</v>
      </c>
      <c r="AE859">
        <v>2</v>
      </c>
      <c r="AF859">
        <v>0</v>
      </c>
      <c r="AG859">
        <v>18.157894736842106</v>
      </c>
    </row>
    <row r="860" spans="1:33">
      <c r="A860" s="1" t="s">
        <v>872</v>
      </c>
      <c r="B860" s="1" t="s">
        <v>1926</v>
      </c>
      <c r="C860" s="2">
        <v>46687</v>
      </c>
      <c r="D860" s="1" t="s">
        <v>34</v>
      </c>
      <c r="E860">
        <v>1197</v>
      </c>
      <c r="F860" s="2">
        <v>46081</v>
      </c>
      <c r="G860" s="1" t="s">
        <v>873</v>
      </c>
      <c r="H860" s="1" t="s">
        <v>781</v>
      </c>
      <c r="I860" s="1" t="s">
        <v>37</v>
      </c>
      <c r="J860" s="1" t="s">
        <v>833</v>
      </c>
      <c r="K860" s="1" t="s">
        <v>834</v>
      </c>
      <c r="L860">
        <v>50</v>
      </c>
      <c r="M860">
        <v>25.7</v>
      </c>
      <c r="N860">
        <v>27.7</v>
      </c>
      <c r="O860">
        <v>19.2</v>
      </c>
      <c r="P860">
        <v>1.367E-2</v>
      </c>
      <c r="Q860">
        <v>2.68</v>
      </c>
      <c r="R860">
        <v>36.67</v>
      </c>
      <c r="S860">
        <v>12</v>
      </c>
      <c r="T860">
        <v>5</v>
      </c>
      <c r="U860">
        <v>60</v>
      </c>
      <c r="V860">
        <v>111</v>
      </c>
      <c r="W860">
        <v>185.8</v>
      </c>
      <c r="X860">
        <v>0.82020000000000004</v>
      </c>
      <c r="Y860">
        <v>23.94</v>
      </c>
      <c r="Z860">
        <v>0.32725979999999999</v>
      </c>
      <c r="AA860">
        <v>0.39900000000000002</v>
      </c>
      <c r="AB860">
        <v>43893.990000000005</v>
      </c>
      <c r="AC860">
        <v>1</v>
      </c>
      <c r="AD860" s="1" t="s">
        <v>40</v>
      </c>
      <c r="AE860">
        <v>1</v>
      </c>
      <c r="AF860">
        <v>0</v>
      </c>
      <c r="AG860">
        <v>19.934210526315791</v>
      </c>
    </row>
    <row r="861" spans="1:33">
      <c r="A861" s="1" t="s">
        <v>872</v>
      </c>
      <c r="B861" s="1" t="s">
        <v>1927</v>
      </c>
      <c r="C861" s="2">
        <v>47069</v>
      </c>
      <c r="D861" s="1" t="s">
        <v>34</v>
      </c>
      <c r="E861">
        <v>134</v>
      </c>
      <c r="F861" s="2">
        <v>46081</v>
      </c>
      <c r="G861" s="1" t="s">
        <v>873</v>
      </c>
      <c r="H861" s="1" t="s">
        <v>781</v>
      </c>
      <c r="I861" s="1" t="s">
        <v>37</v>
      </c>
      <c r="J861" s="1" t="s">
        <v>833</v>
      </c>
      <c r="K861" s="1" t="s">
        <v>834</v>
      </c>
      <c r="L861">
        <v>50</v>
      </c>
      <c r="M861">
        <v>25.7</v>
      </c>
      <c r="N861">
        <v>27.7</v>
      </c>
      <c r="O861">
        <v>19.2</v>
      </c>
      <c r="P861">
        <v>1.367E-2</v>
      </c>
      <c r="Q861">
        <v>2.68</v>
      </c>
      <c r="R861">
        <v>36.67</v>
      </c>
      <c r="S861">
        <v>12</v>
      </c>
      <c r="T861">
        <v>5</v>
      </c>
      <c r="U861">
        <v>60</v>
      </c>
      <c r="V861">
        <v>111</v>
      </c>
      <c r="W861">
        <v>185.8</v>
      </c>
      <c r="X861">
        <v>0.82020000000000004</v>
      </c>
      <c r="Y861">
        <v>2.68</v>
      </c>
      <c r="Z861">
        <v>3.6635600000000004E-2</v>
      </c>
      <c r="AA861">
        <v>4.4666666666666667E-2</v>
      </c>
      <c r="AB861">
        <v>4913.7800000000007</v>
      </c>
      <c r="AC861">
        <v>1</v>
      </c>
      <c r="AD861" s="1" t="s">
        <v>44</v>
      </c>
      <c r="AE861">
        <v>0</v>
      </c>
      <c r="AF861">
        <v>1</v>
      </c>
      <c r="AG861">
        <v>32.5</v>
      </c>
    </row>
    <row r="862" spans="1:33">
      <c r="A862" s="1" t="s">
        <v>874</v>
      </c>
      <c r="B862" s="1" t="s">
        <v>1928</v>
      </c>
      <c r="C862" s="2">
        <v>46705</v>
      </c>
      <c r="D862" s="1" t="s">
        <v>34</v>
      </c>
      <c r="E862">
        <v>1259</v>
      </c>
      <c r="F862" s="2">
        <v>46081</v>
      </c>
      <c r="G862" s="1" t="s">
        <v>875</v>
      </c>
      <c r="H862" s="1" t="s">
        <v>837</v>
      </c>
      <c r="I862" s="1" t="s">
        <v>37</v>
      </c>
      <c r="J862" s="1" t="s">
        <v>833</v>
      </c>
      <c r="K862" s="1" t="s">
        <v>39</v>
      </c>
      <c r="L862">
        <v>200</v>
      </c>
      <c r="M862">
        <v>37.299999999999997</v>
      </c>
      <c r="N862">
        <v>28.5</v>
      </c>
      <c r="O862">
        <v>17</v>
      </c>
      <c r="P862">
        <v>1.8069999999999999E-2</v>
      </c>
      <c r="Q862">
        <v>3.7</v>
      </c>
      <c r="R862">
        <v>30.57</v>
      </c>
      <c r="S862">
        <v>9</v>
      </c>
      <c r="T862">
        <v>5</v>
      </c>
      <c r="U862">
        <v>45</v>
      </c>
      <c r="V862">
        <v>100</v>
      </c>
      <c r="W862">
        <v>191.5</v>
      </c>
      <c r="X862">
        <v>0.81314999999999993</v>
      </c>
      <c r="Y862">
        <v>6.2949999999999999</v>
      </c>
      <c r="Z862">
        <v>0.11375064999999999</v>
      </c>
      <c r="AA862">
        <v>0.1398888888888889</v>
      </c>
      <c r="AB862">
        <v>38487.629999999997</v>
      </c>
      <c r="AC862">
        <v>1</v>
      </c>
      <c r="AD862" s="1" t="s">
        <v>44</v>
      </c>
      <c r="AE862">
        <v>0</v>
      </c>
      <c r="AF862">
        <v>1</v>
      </c>
      <c r="AG862">
        <v>20.526315789473685</v>
      </c>
    </row>
    <row r="863" spans="1:33">
      <c r="A863" s="1" t="s">
        <v>874</v>
      </c>
      <c r="B863" s="1" t="s">
        <v>1929</v>
      </c>
      <c r="C863" s="2">
        <v>46424</v>
      </c>
      <c r="D863" s="1" t="s">
        <v>34</v>
      </c>
      <c r="E863">
        <v>363</v>
      </c>
      <c r="F863" s="2">
        <v>46081</v>
      </c>
      <c r="G863" s="1" t="s">
        <v>875</v>
      </c>
      <c r="H863" s="1" t="s">
        <v>837</v>
      </c>
      <c r="I863" s="1" t="s">
        <v>37</v>
      </c>
      <c r="J863" s="1" t="s">
        <v>833</v>
      </c>
      <c r="K863" s="1" t="s">
        <v>39</v>
      </c>
      <c r="L863">
        <v>200</v>
      </c>
      <c r="M863">
        <v>37.299999999999997</v>
      </c>
      <c r="N863">
        <v>28.5</v>
      </c>
      <c r="O863">
        <v>17</v>
      </c>
      <c r="P863">
        <v>1.8069999999999999E-2</v>
      </c>
      <c r="Q863">
        <v>3.7</v>
      </c>
      <c r="R863">
        <v>30.57</v>
      </c>
      <c r="S863">
        <v>9</v>
      </c>
      <c r="T863">
        <v>5</v>
      </c>
      <c r="U863">
        <v>45</v>
      </c>
      <c r="V863">
        <v>100</v>
      </c>
      <c r="W863">
        <v>191.5</v>
      </c>
      <c r="X863">
        <v>0.81314999999999993</v>
      </c>
      <c r="Y863">
        <v>1.8149999999999999</v>
      </c>
      <c r="Z863">
        <v>3.2797049999999994E-2</v>
      </c>
      <c r="AA863">
        <v>4.0333333333333332E-2</v>
      </c>
      <c r="AB863">
        <v>11096.91</v>
      </c>
      <c r="AC863">
        <v>1</v>
      </c>
      <c r="AD863" s="1" t="s">
        <v>44</v>
      </c>
      <c r="AE863">
        <v>0</v>
      </c>
      <c r="AF863">
        <v>1</v>
      </c>
      <c r="AG863">
        <v>11.282894736842106</v>
      </c>
    </row>
    <row r="864" spans="1:33">
      <c r="A864" s="1" t="s">
        <v>876</v>
      </c>
      <c r="B864" s="1" t="s">
        <v>1930</v>
      </c>
      <c r="C864" s="2">
        <v>46884</v>
      </c>
      <c r="D864" s="1" t="s">
        <v>34</v>
      </c>
      <c r="E864">
        <v>351</v>
      </c>
      <c r="F864" s="2">
        <v>46081</v>
      </c>
      <c r="G864" s="1" t="s">
        <v>877</v>
      </c>
      <c r="H864" s="1" t="s">
        <v>67</v>
      </c>
      <c r="I864" s="1" t="s">
        <v>37</v>
      </c>
      <c r="J864" s="1" t="s">
        <v>833</v>
      </c>
      <c r="K864" s="1" t="s">
        <v>834</v>
      </c>
      <c r="L864">
        <v>50</v>
      </c>
      <c r="M864">
        <v>26.7</v>
      </c>
      <c r="N864">
        <v>34.9</v>
      </c>
      <c r="O864">
        <v>22.3</v>
      </c>
      <c r="P864">
        <v>2.078E-2</v>
      </c>
      <c r="Q864">
        <v>2.92</v>
      </c>
      <c r="R864">
        <v>31.92</v>
      </c>
      <c r="S864">
        <v>9</v>
      </c>
      <c r="T864">
        <v>4</v>
      </c>
      <c r="U864">
        <v>36</v>
      </c>
      <c r="V864">
        <v>104.2</v>
      </c>
      <c r="W864">
        <v>130.12</v>
      </c>
      <c r="X864">
        <v>0.74807999999999997</v>
      </c>
      <c r="Y864">
        <v>7.02</v>
      </c>
      <c r="Z864">
        <v>0.14587559999999999</v>
      </c>
      <c r="AA864">
        <v>0.19499999999999998</v>
      </c>
      <c r="AB864">
        <v>11203.92</v>
      </c>
      <c r="AC864">
        <v>1</v>
      </c>
      <c r="AD864" s="1" t="s">
        <v>44</v>
      </c>
      <c r="AE864">
        <v>0</v>
      </c>
      <c r="AF864">
        <v>1</v>
      </c>
      <c r="AG864">
        <v>26.414473684210527</v>
      </c>
    </row>
    <row r="865" spans="1:33">
      <c r="A865" s="1" t="s">
        <v>876</v>
      </c>
      <c r="B865" s="1" t="s">
        <v>1931</v>
      </c>
      <c r="C865" s="2">
        <v>46579</v>
      </c>
      <c r="D865" s="1" t="s">
        <v>34</v>
      </c>
      <c r="E865">
        <v>401</v>
      </c>
      <c r="F865" s="2">
        <v>46081</v>
      </c>
      <c r="G865" s="1" t="s">
        <v>877</v>
      </c>
      <c r="H865" s="1" t="s">
        <v>67</v>
      </c>
      <c r="I865" s="1" t="s">
        <v>37</v>
      </c>
      <c r="J865" s="1" t="s">
        <v>833</v>
      </c>
      <c r="K865" s="1" t="s">
        <v>834</v>
      </c>
      <c r="L865">
        <v>50</v>
      </c>
      <c r="M865">
        <v>26.7</v>
      </c>
      <c r="N865">
        <v>34.9</v>
      </c>
      <c r="O865">
        <v>22.3</v>
      </c>
      <c r="P865">
        <v>2.078E-2</v>
      </c>
      <c r="Q865">
        <v>2.92</v>
      </c>
      <c r="R865">
        <v>31.92</v>
      </c>
      <c r="S865">
        <v>9</v>
      </c>
      <c r="T865">
        <v>4</v>
      </c>
      <c r="U865">
        <v>36</v>
      </c>
      <c r="V865">
        <v>104.2</v>
      </c>
      <c r="W865">
        <v>130.12</v>
      </c>
      <c r="X865">
        <v>0.74807999999999997</v>
      </c>
      <c r="Y865">
        <v>8.02</v>
      </c>
      <c r="Z865">
        <v>0.16665559999999999</v>
      </c>
      <c r="AA865">
        <v>0.22277777777777777</v>
      </c>
      <c r="AB865">
        <v>12799.92</v>
      </c>
      <c r="AC865">
        <v>1</v>
      </c>
      <c r="AD865" s="1" t="s">
        <v>44</v>
      </c>
      <c r="AE865">
        <v>0</v>
      </c>
      <c r="AF865">
        <v>1</v>
      </c>
      <c r="AG865">
        <v>16.381578947368421</v>
      </c>
    </row>
    <row r="866" spans="1:33">
      <c r="A866" s="1" t="s">
        <v>876</v>
      </c>
      <c r="B866" s="1" t="s">
        <v>1932</v>
      </c>
      <c r="C866" s="2">
        <v>46538</v>
      </c>
      <c r="D866" s="1" t="s">
        <v>34</v>
      </c>
      <c r="E866">
        <v>625</v>
      </c>
      <c r="F866" s="2">
        <v>46081</v>
      </c>
      <c r="G866" s="1" t="s">
        <v>877</v>
      </c>
      <c r="H866" s="1" t="s">
        <v>67</v>
      </c>
      <c r="I866" s="1" t="s">
        <v>37</v>
      </c>
      <c r="J866" s="1" t="s">
        <v>833</v>
      </c>
      <c r="K866" s="1" t="s">
        <v>834</v>
      </c>
      <c r="L866">
        <v>50</v>
      </c>
      <c r="M866">
        <v>26.7</v>
      </c>
      <c r="N866">
        <v>34.9</v>
      </c>
      <c r="O866">
        <v>22.3</v>
      </c>
      <c r="P866">
        <v>2.078E-2</v>
      </c>
      <c r="Q866">
        <v>2.92</v>
      </c>
      <c r="R866">
        <v>31.92</v>
      </c>
      <c r="S866">
        <v>9</v>
      </c>
      <c r="T866">
        <v>4</v>
      </c>
      <c r="U866">
        <v>36</v>
      </c>
      <c r="V866">
        <v>104.2</v>
      </c>
      <c r="W866">
        <v>130.12</v>
      </c>
      <c r="X866">
        <v>0.74807999999999997</v>
      </c>
      <c r="Y866">
        <v>12.5</v>
      </c>
      <c r="Z866">
        <v>0.25974999999999998</v>
      </c>
      <c r="AA866">
        <v>0.34722222222222221</v>
      </c>
      <c r="AB866">
        <v>19950</v>
      </c>
      <c r="AC866">
        <v>1</v>
      </c>
      <c r="AD866" s="1" t="s">
        <v>40</v>
      </c>
      <c r="AE866">
        <v>1</v>
      </c>
      <c r="AF866">
        <v>0</v>
      </c>
      <c r="AG866">
        <v>15.032894736842106</v>
      </c>
    </row>
    <row r="867" spans="1:33">
      <c r="A867" s="1" t="s">
        <v>878</v>
      </c>
      <c r="B867" s="1" t="s">
        <v>1933</v>
      </c>
      <c r="C867" s="2">
        <v>47091</v>
      </c>
      <c r="D867" s="1" t="s">
        <v>34</v>
      </c>
      <c r="E867">
        <v>400</v>
      </c>
      <c r="F867" s="2">
        <v>46081</v>
      </c>
      <c r="G867" s="1" t="s">
        <v>879</v>
      </c>
      <c r="H867" s="1" t="s">
        <v>837</v>
      </c>
      <c r="I867" s="1" t="s">
        <v>37</v>
      </c>
      <c r="J867" s="1" t="s">
        <v>833</v>
      </c>
      <c r="K867" s="1" t="s">
        <v>39</v>
      </c>
      <c r="L867">
        <v>200</v>
      </c>
      <c r="M867">
        <v>30.9</v>
      </c>
      <c r="N867">
        <v>23</v>
      </c>
      <c r="O867">
        <v>16.899999999999999</v>
      </c>
      <c r="P867">
        <v>1.201E-2</v>
      </c>
      <c r="Q867">
        <v>2.6</v>
      </c>
      <c r="R867">
        <v>20.65</v>
      </c>
      <c r="S867">
        <v>15</v>
      </c>
      <c r="T867">
        <v>6</v>
      </c>
      <c r="U867">
        <v>90</v>
      </c>
      <c r="V867">
        <v>116.4</v>
      </c>
      <c r="W867">
        <v>259</v>
      </c>
      <c r="X867">
        <v>1.0809</v>
      </c>
      <c r="Y867">
        <v>2</v>
      </c>
      <c r="Z867">
        <v>2.402E-2</v>
      </c>
      <c r="AA867">
        <v>2.2222222222222223E-2</v>
      </c>
      <c r="AB867">
        <v>8260</v>
      </c>
      <c r="AC867">
        <v>1</v>
      </c>
      <c r="AD867" s="1" t="s">
        <v>44</v>
      </c>
      <c r="AE867">
        <v>0</v>
      </c>
      <c r="AF867">
        <v>1</v>
      </c>
      <c r="AG867">
        <v>33.223684210526315</v>
      </c>
    </row>
    <row r="868" spans="1:33">
      <c r="A868" s="1" t="s">
        <v>880</v>
      </c>
      <c r="B868" s="1" t="s">
        <v>1934</v>
      </c>
      <c r="C868" s="2">
        <v>47106</v>
      </c>
      <c r="D868" s="1" t="s">
        <v>34</v>
      </c>
      <c r="E868">
        <v>2665</v>
      </c>
      <c r="F868" s="2">
        <v>46081</v>
      </c>
      <c r="G868" s="1" t="s">
        <v>881</v>
      </c>
      <c r="H868" s="1" t="s">
        <v>781</v>
      </c>
      <c r="I868" s="1" t="s">
        <v>37</v>
      </c>
      <c r="J868" s="1" t="s">
        <v>833</v>
      </c>
      <c r="K868" s="1" t="s">
        <v>39</v>
      </c>
      <c r="L868">
        <v>100</v>
      </c>
      <c r="M868">
        <v>33.799999999999997</v>
      </c>
      <c r="N868">
        <v>30.2</v>
      </c>
      <c r="O868">
        <v>21.3</v>
      </c>
      <c r="P868">
        <v>2.1739999999999999E-2</v>
      </c>
      <c r="Q868">
        <v>5.33</v>
      </c>
      <c r="R868">
        <v>11.01</v>
      </c>
      <c r="S868">
        <v>9</v>
      </c>
      <c r="T868">
        <v>5</v>
      </c>
      <c r="U868">
        <v>45</v>
      </c>
      <c r="V868">
        <v>121.5</v>
      </c>
      <c r="W868">
        <v>264.85000000000002</v>
      </c>
      <c r="X868">
        <v>0.97829999999999995</v>
      </c>
      <c r="Y868">
        <v>26.65</v>
      </c>
      <c r="Z868">
        <v>0.57937099999999997</v>
      </c>
      <c r="AA868">
        <v>0.59222222222222221</v>
      </c>
      <c r="AB868">
        <v>29341.649999999998</v>
      </c>
      <c r="AC868">
        <v>1</v>
      </c>
      <c r="AD868" s="1" t="s">
        <v>40</v>
      </c>
      <c r="AE868">
        <v>1</v>
      </c>
      <c r="AF868">
        <v>0</v>
      </c>
      <c r="AG868">
        <v>33.717105263157897</v>
      </c>
    </row>
    <row r="869" spans="1:33">
      <c r="A869" s="1" t="s">
        <v>882</v>
      </c>
      <c r="B869" s="1" t="s">
        <v>1935</v>
      </c>
      <c r="C869" s="2">
        <v>46531</v>
      </c>
      <c r="D869" s="1" t="s">
        <v>34</v>
      </c>
      <c r="E869">
        <v>27727</v>
      </c>
      <c r="F869" s="2">
        <v>46081</v>
      </c>
      <c r="G869" s="1" t="s">
        <v>883</v>
      </c>
      <c r="H869" s="1" t="s">
        <v>837</v>
      </c>
      <c r="I869" s="1" t="s">
        <v>37</v>
      </c>
      <c r="J869" s="1" t="s">
        <v>833</v>
      </c>
      <c r="K869" s="1" t="s">
        <v>39</v>
      </c>
      <c r="L869">
        <v>100</v>
      </c>
      <c r="M869">
        <v>27.4</v>
      </c>
      <c r="N869">
        <v>30</v>
      </c>
      <c r="O869">
        <v>15.1</v>
      </c>
      <c r="P869">
        <v>1.2409999999999999E-2</v>
      </c>
      <c r="Q869">
        <v>2.73</v>
      </c>
      <c r="R869">
        <v>19.72</v>
      </c>
      <c r="S869">
        <v>12</v>
      </c>
      <c r="T869">
        <v>8</v>
      </c>
      <c r="U869">
        <v>96</v>
      </c>
      <c r="V869">
        <v>135.80000000000001</v>
      </c>
      <c r="W869">
        <v>287.08</v>
      </c>
      <c r="X869">
        <v>1.19136</v>
      </c>
      <c r="Y869">
        <v>277.27</v>
      </c>
      <c r="Z869">
        <v>3.4409206999999995</v>
      </c>
      <c r="AA869">
        <v>2.8882291666666666</v>
      </c>
      <c r="AB869">
        <v>546776.43999999994</v>
      </c>
      <c r="AC869">
        <v>3</v>
      </c>
      <c r="AD869" s="1" t="s">
        <v>40</v>
      </c>
      <c r="AE869">
        <v>3</v>
      </c>
      <c r="AF869">
        <v>0</v>
      </c>
      <c r="AG869">
        <v>14.80263157894737</v>
      </c>
    </row>
    <row r="870" spans="1:33">
      <c r="A870" s="1" t="s">
        <v>882</v>
      </c>
      <c r="B870" s="1" t="s">
        <v>1936</v>
      </c>
      <c r="C870" s="2">
        <v>46804</v>
      </c>
      <c r="D870" s="1" t="s">
        <v>34</v>
      </c>
      <c r="E870">
        <v>7188</v>
      </c>
      <c r="F870" s="2">
        <v>46081</v>
      </c>
      <c r="G870" s="1" t="s">
        <v>883</v>
      </c>
      <c r="H870" s="1" t="s">
        <v>837</v>
      </c>
      <c r="I870" s="1" t="s">
        <v>37</v>
      </c>
      <c r="J870" s="1" t="s">
        <v>833</v>
      </c>
      <c r="K870" s="1" t="s">
        <v>39</v>
      </c>
      <c r="L870">
        <v>100</v>
      </c>
      <c r="M870">
        <v>27.4</v>
      </c>
      <c r="N870">
        <v>30</v>
      </c>
      <c r="O870">
        <v>15.1</v>
      </c>
      <c r="P870">
        <v>1.2409999999999999E-2</v>
      </c>
      <c r="Q870">
        <v>2.73</v>
      </c>
      <c r="R870">
        <v>19.72</v>
      </c>
      <c r="S870">
        <v>12</v>
      </c>
      <c r="T870">
        <v>8</v>
      </c>
      <c r="U870">
        <v>96</v>
      </c>
      <c r="V870">
        <v>135.80000000000001</v>
      </c>
      <c r="W870">
        <v>287.08</v>
      </c>
      <c r="X870">
        <v>1.19136</v>
      </c>
      <c r="Y870">
        <v>71.88</v>
      </c>
      <c r="Z870">
        <v>0.8920307999999999</v>
      </c>
      <c r="AA870">
        <v>0.74874999999999992</v>
      </c>
      <c r="AB870">
        <v>141747.35999999999</v>
      </c>
      <c r="AC870">
        <v>1</v>
      </c>
      <c r="AD870" s="1" t="s">
        <v>40</v>
      </c>
      <c r="AE870">
        <v>1</v>
      </c>
      <c r="AF870">
        <v>0</v>
      </c>
      <c r="AG870">
        <v>23.782894736842106</v>
      </c>
    </row>
    <row r="871" spans="1:33">
      <c r="A871" s="1" t="s">
        <v>884</v>
      </c>
      <c r="B871" s="1" t="s">
        <v>1937</v>
      </c>
      <c r="C871" s="2">
        <v>46902</v>
      </c>
      <c r="D871" s="1" t="s">
        <v>34</v>
      </c>
      <c r="E871">
        <v>2000</v>
      </c>
      <c r="F871" s="2">
        <v>46081</v>
      </c>
      <c r="G871" s="1" t="s">
        <v>885</v>
      </c>
      <c r="H871" s="1" t="s">
        <v>837</v>
      </c>
      <c r="I871" s="1" t="s">
        <v>37</v>
      </c>
      <c r="J871" s="1" t="s">
        <v>833</v>
      </c>
      <c r="K871" s="1" t="s">
        <v>39</v>
      </c>
      <c r="L871">
        <v>200</v>
      </c>
      <c r="M871">
        <v>38.4</v>
      </c>
      <c r="N871">
        <v>20.7</v>
      </c>
      <c r="O871">
        <v>18.8</v>
      </c>
      <c r="P871">
        <v>1.494E-2</v>
      </c>
      <c r="Q871">
        <v>2.61</v>
      </c>
      <c r="R871">
        <v>12.49</v>
      </c>
      <c r="S871">
        <v>12</v>
      </c>
      <c r="T871">
        <v>5</v>
      </c>
      <c r="U871">
        <v>60</v>
      </c>
      <c r="V871">
        <v>109</v>
      </c>
      <c r="W871">
        <v>181.6</v>
      </c>
      <c r="X871">
        <v>0.89639999999999997</v>
      </c>
      <c r="Y871">
        <v>10</v>
      </c>
      <c r="Z871">
        <v>0.14940000000000001</v>
      </c>
      <c r="AA871">
        <v>0.16666666666666666</v>
      </c>
      <c r="AB871">
        <v>24980</v>
      </c>
      <c r="AC871">
        <v>1</v>
      </c>
      <c r="AD871" s="1" t="s">
        <v>44</v>
      </c>
      <c r="AE871">
        <v>0</v>
      </c>
      <c r="AF871">
        <v>1</v>
      </c>
      <c r="AG871">
        <v>27.006578947368421</v>
      </c>
    </row>
    <row r="872" spans="1:33">
      <c r="A872" s="1" t="s">
        <v>884</v>
      </c>
      <c r="B872" s="1" t="s">
        <v>1938</v>
      </c>
      <c r="C872" s="2">
        <v>46283</v>
      </c>
      <c r="D872" s="1" t="s">
        <v>34</v>
      </c>
      <c r="E872">
        <v>489</v>
      </c>
      <c r="F872" s="2">
        <v>46081</v>
      </c>
      <c r="G872" s="1" t="s">
        <v>885</v>
      </c>
      <c r="H872" s="1" t="s">
        <v>837</v>
      </c>
      <c r="I872" s="1" t="s">
        <v>37</v>
      </c>
      <c r="J872" s="1" t="s">
        <v>833</v>
      </c>
      <c r="K872" s="1" t="s">
        <v>39</v>
      </c>
      <c r="L872">
        <v>200</v>
      </c>
      <c r="M872">
        <v>38.4</v>
      </c>
      <c r="N872">
        <v>20.7</v>
      </c>
      <c r="O872">
        <v>18.8</v>
      </c>
      <c r="P872">
        <v>1.494E-2</v>
      </c>
      <c r="Q872">
        <v>2.61</v>
      </c>
      <c r="R872">
        <v>12.49</v>
      </c>
      <c r="S872">
        <v>12</v>
      </c>
      <c r="T872">
        <v>5</v>
      </c>
      <c r="U872">
        <v>60</v>
      </c>
      <c r="V872">
        <v>109</v>
      </c>
      <c r="W872">
        <v>181.6</v>
      </c>
      <c r="X872">
        <v>0.89639999999999997</v>
      </c>
      <c r="Y872">
        <v>2.4449999999999998</v>
      </c>
      <c r="Z872">
        <v>3.65283E-2</v>
      </c>
      <c r="AA872">
        <v>4.0749999999999995E-2</v>
      </c>
      <c r="AB872">
        <v>6107.61</v>
      </c>
      <c r="AC872">
        <v>1</v>
      </c>
      <c r="AD872" s="1" t="s">
        <v>44</v>
      </c>
      <c r="AE872">
        <v>0</v>
      </c>
      <c r="AF872">
        <v>1</v>
      </c>
      <c r="AG872">
        <v>6.6447368421052637</v>
      </c>
    </row>
    <row r="873" spans="1:33">
      <c r="A873" s="1" t="s">
        <v>886</v>
      </c>
      <c r="B873" s="1" t="s">
        <v>1939</v>
      </c>
      <c r="C873" s="2">
        <v>46430</v>
      </c>
      <c r="D873" s="1" t="s">
        <v>34</v>
      </c>
      <c r="E873">
        <v>480</v>
      </c>
      <c r="F873" s="2">
        <v>46081</v>
      </c>
      <c r="G873" s="1" t="s">
        <v>887</v>
      </c>
      <c r="H873" s="1" t="s">
        <v>67</v>
      </c>
      <c r="I873" s="1" t="s">
        <v>37</v>
      </c>
      <c r="J873" s="1" t="s">
        <v>833</v>
      </c>
      <c r="K873" s="1" t="s">
        <v>39</v>
      </c>
      <c r="L873">
        <v>100</v>
      </c>
      <c r="M873">
        <v>34.200000000000003</v>
      </c>
      <c r="N873">
        <v>31.7</v>
      </c>
      <c r="O873">
        <v>21.3</v>
      </c>
      <c r="P873">
        <v>2.3089999999999999E-2</v>
      </c>
      <c r="Q873">
        <v>3.99</v>
      </c>
      <c r="R873">
        <v>38.6</v>
      </c>
      <c r="S873">
        <v>9</v>
      </c>
      <c r="T873">
        <v>6</v>
      </c>
      <c r="U873">
        <v>54</v>
      </c>
      <c r="V873">
        <v>142.80000000000001</v>
      </c>
      <c r="W873">
        <v>240.46</v>
      </c>
      <c r="X873">
        <v>1.2468600000000001</v>
      </c>
      <c r="Y873">
        <v>4.8</v>
      </c>
      <c r="Z873">
        <v>0.110832</v>
      </c>
      <c r="AA873">
        <v>8.8888888888888892E-2</v>
      </c>
      <c r="AB873">
        <v>18528</v>
      </c>
      <c r="AC873">
        <v>1</v>
      </c>
      <c r="AD873" s="1" t="s">
        <v>44</v>
      </c>
      <c r="AE873">
        <v>0</v>
      </c>
      <c r="AF873">
        <v>1</v>
      </c>
      <c r="AG873">
        <v>11.480263157894738</v>
      </c>
    </row>
    <row r="874" spans="1:33">
      <c r="A874" s="1" t="s">
        <v>888</v>
      </c>
      <c r="B874" s="1" t="s">
        <v>1940</v>
      </c>
      <c r="C874" s="2">
        <v>47027</v>
      </c>
      <c r="D874" s="1" t="s">
        <v>34</v>
      </c>
      <c r="E874">
        <v>1161</v>
      </c>
      <c r="F874" s="2">
        <v>46081</v>
      </c>
      <c r="G874" s="1" t="s">
        <v>889</v>
      </c>
      <c r="H874" s="1" t="s">
        <v>67</v>
      </c>
      <c r="I874" s="1" t="s">
        <v>37</v>
      </c>
      <c r="J874" s="1" t="s">
        <v>833</v>
      </c>
      <c r="K874" s="1" t="s">
        <v>39</v>
      </c>
      <c r="L874">
        <v>100</v>
      </c>
      <c r="M874">
        <v>41.2</v>
      </c>
      <c r="N874">
        <v>23.9</v>
      </c>
      <c r="O874">
        <v>20.3</v>
      </c>
      <c r="P874">
        <v>1.9990000000000001E-2</v>
      </c>
      <c r="Q874">
        <v>3.93</v>
      </c>
      <c r="R874">
        <v>18.23</v>
      </c>
      <c r="S874">
        <v>8</v>
      </c>
      <c r="T874">
        <v>6</v>
      </c>
      <c r="U874">
        <v>48</v>
      </c>
      <c r="V874">
        <v>136.80000000000001</v>
      </c>
      <c r="W874">
        <v>213.64</v>
      </c>
      <c r="X874">
        <v>0.95952000000000004</v>
      </c>
      <c r="Y874">
        <v>11.61</v>
      </c>
      <c r="Z874">
        <v>0.23208390000000001</v>
      </c>
      <c r="AA874">
        <v>0.24187499999999998</v>
      </c>
      <c r="AB874">
        <v>21165.03</v>
      </c>
      <c r="AC874">
        <v>1</v>
      </c>
      <c r="AD874" s="1" t="s">
        <v>44</v>
      </c>
      <c r="AE874">
        <v>0</v>
      </c>
      <c r="AF874">
        <v>1</v>
      </c>
      <c r="AG874">
        <v>31.118421052631579</v>
      </c>
    </row>
    <row r="875" spans="1:33">
      <c r="A875" s="1" t="s">
        <v>888</v>
      </c>
      <c r="B875" s="1" t="s">
        <v>1941</v>
      </c>
      <c r="C875" s="2">
        <v>46530</v>
      </c>
      <c r="D875" s="1" t="s">
        <v>45</v>
      </c>
      <c r="E875">
        <v>23</v>
      </c>
      <c r="F875" s="2">
        <v>46081</v>
      </c>
      <c r="G875" s="1" t="s">
        <v>889</v>
      </c>
      <c r="H875" s="1" t="s">
        <v>67</v>
      </c>
      <c r="I875" s="1" t="s">
        <v>37</v>
      </c>
      <c r="J875" s="1" t="s">
        <v>833</v>
      </c>
      <c r="K875" s="1" t="s">
        <v>39</v>
      </c>
      <c r="L875">
        <v>100</v>
      </c>
      <c r="M875">
        <v>41.2</v>
      </c>
      <c r="N875">
        <v>23.9</v>
      </c>
      <c r="O875">
        <v>20.3</v>
      </c>
      <c r="P875">
        <v>1.9990000000000001E-2</v>
      </c>
      <c r="Q875">
        <v>3.93</v>
      </c>
      <c r="R875">
        <v>18.23</v>
      </c>
      <c r="S875">
        <v>8</v>
      </c>
      <c r="T875">
        <v>6</v>
      </c>
      <c r="U875">
        <v>48</v>
      </c>
      <c r="V875">
        <v>136.80000000000001</v>
      </c>
      <c r="W875">
        <v>213.64</v>
      </c>
      <c r="X875">
        <v>0.95952000000000004</v>
      </c>
      <c r="Y875">
        <v>0.23</v>
      </c>
      <c r="Z875">
        <v>4.5977000000000006E-3</v>
      </c>
      <c r="AA875">
        <v>4.7916666666666672E-3</v>
      </c>
      <c r="AB875">
        <v>419.29</v>
      </c>
      <c r="AC875">
        <v>1</v>
      </c>
      <c r="AD875" s="1" t="s">
        <v>44</v>
      </c>
      <c r="AE875">
        <v>0</v>
      </c>
      <c r="AF875">
        <v>1</v>
      </c>
      <c r="AG875">
        <v>14.769736842105264</v>
      </c>
    </row>
    <row r="876" spans="1:33">
      <c r="A876" s="1" t="s">
        <v>890</v>
      </c>
      <c r="B876" s="1" t="s">
        <v>1942</v>
      </c>
      <c r="C876" s="2">
        <v>47047</v>
      </c>
      <c r="D876" s="1" t="s">
        <v>34</v>
      </c>
      <c r="E876">
        <v>8</v>
      </c>
      <c r="F876" s="2">
        <v>46081</v>
      </c>
      <c r="G876" s="1" t="s">
        <v>891</v>
      </c>
      <c r="H876" s="1" t="s">
        <v>67</v>
      </c>
      <c r="I876" s="1" t="s">
        <v>37</v>
      </c>
      <c r="J876" s="1" t="s">
        <v>833</v>
      </c>
      <c r="K876" s="1" t="s">
        <v>39</v>
      </c>
      <c r="L876">
        <v>200</v>
      </c>
      <c r="M876">
        <v>34.9</v>
      </c>
      <c r="N876">
        <v>27.8</v>
      </c>
      <c r="O876">
        <v>13.7</v>
      </c>
      <c r="P876">
        <v>1.329E-2</v>
      </c>
      <c r="Q876">
        <v>3.21</v>
      </c>
      <c r="R876">
        <v>4.2699999999999996</v>
      </c>
      <c r="S876">
        <v>9</v>
      </c>
      <c r="T876">
        <v>5</v>
      </c>
      <c r="U876">
        <v>45</v>
      </c>
      <c r="V876">
        <v>83.5</v>
      </c>
      <c r="W876">
        <v>169.45</v>
      </c>
      <c r="X876">
        <v>0.59804999999999997</v>
      </c>
      <c r="Y876">
        <v>0.04</v>
      </c>
      <c r="Z876">
        <v>5.3160000000000002E-4</v>
      </c>
      <c r="AA876">
        <v>8.8888888888888893E-4</v>
      </c>
      <c r="AB876">
        <v>34.159999999999997</v>
      </c>
      <c r="AC876">
        <v>1</v>
      </c>
      <c r="AD876" s="1" t="s">
        <v>44</v>
      </c>
      <c r="AE876">
        <v>0</v>
      </c>
      <c r="AF876">
        <v>1</v>
      </c>
      <c r="AG876">
        <v>31.776315789473685</v>
      </c>
    </row>
    <row r="877" spans="1:33">
      <c r="A877" s="1" t="s">
        <v>890</v>
      </c>
      <c r="B877" s="1" t="s">
        <v>1943</v>
      </c>
      <c r="C877" s="2">
        <v>46615</v>
      </c>
      <c r="D877" s="1" t="s">
        <v>34</v>
      </c>
      <c r="E877">
        <v>9</v>
      </c>
      <c r="F877" s="2">
        <v>46081</v>
      </c>
      <c r="G877" s="1" t="s">
        <v>891</v>
      </c>
      <c r="H877" s="1" t="s">
        <v>67</v>
      </c>
      <c r="I877" s="1" t="s">
        <v>37</v>
      </c>
      <c r="J877" s="1" t="s">
        <v>833</v>
      </c>
      <c r="K877" s="1" t="s">
        <v>39</v>
      </c>
      <c r="L877">
        <v>200</v>
      </c>
      <c r="M877">
        <v>34.9</v>
      </c>
      <c r="N877">
        <v>27.8</v>
      </c>
      <c r="O877">
        <v>13.7</v>
      </c>
      <c r="P877">
        <v>1.329E-2</v>
      </c>
      <c r="Q877">
        <v>3.21</v>
      </c>
      <c r="R877">
        <v>4.2699999999999996</v>
      </c>
      <c r="S877">
        <v>9</v>
      </c>
      <c r="T877">
        <v>5</v>
      </c>
      <c r="U877">
        <v>45</v>
      </c>
      <c r="V877">
        <v>83.5</v>
      </c>
      <c r="W877">
        <v>169.45</v>
      </c>
      <c r="X877">
        <v>0.59804999999999997</v>
      </c>
      <c r="Y877">
        <v>4.4999999999999998E-2</v>
      </c>
      <c r="Z877">
        <v>5.9804999999999993E-4</v>
      </c>
      <c r="AA877">
        <v>1E-3</v>
      </c>
      <c r="AB877">
        <v>38.429999999999993</v>
      </c>
      <c r="AC877">
        <v>1</v>
      </c>
      <c r="AD877" s="1" t="s">
        <v>44</v>
      </c>
      <c r="AE877">
        <v>0</v>
      </c>
      <c r="AF877">
        <v>1</v>
      </c>
      <c r="AG877">
        <v>17.565789473684212</v>
      </c>
    </row>
    <row r="878" spans="1:33">
      <c r="A878" s="1" t="s">
        <v>890</v>
      </c>
      <c r="B878" s="1" t="s">
        <v>1944</v>
      </c>
      <c r="C878" s="2">
        <v>46603</v>
      </c>
      <c r="D878" s="1" t="s">
        <v>45</v>
      </c>
      <c r="E878">
        <v>1</v>
      </c>
      <c r="F878" s="2">
        <v>46081</v>
      </c>
      <c r="G878" s="1" t="s">
        <v>891</v>
      </c>
      <c r="H878" s="1" t="s">
        <v>67</v>
      </c>
      <c r="I878" s="1" t="s">
        <v>37</v>
      </c>
      <c r="J878" s="1" t="s">
        <v>833</v>
      </c>
      <c r="K878" s="1" t="s">
        <v>39</v>
      </c>
      <c r="L878">
        <v>200</v>
      </c>
      <c r="M878">
        <v>34.9</v>
      </c>
      <c r="N878">
        <v>27.8</v>
      </c>
      <c r="O878">
        <v>13.7</v>
      </c>
      <c r="P878">
        <v>1.329E-2</v>
      </c>
      <c r="Q878">
        <v>3.21</v>
      </c>
      <c r="R878">
        <v>4.2699999999999996</v>
      </c>
      <c r="S878">
        <v>9</v>
      </c>
      <c r="T878">
        <v>5</v>
      </c>
      <c r="U878">
        <v>45</v>
      </c>
      <c r="V878">
        <v>83.5</v>
      </c>
      <c r="W878">
        <v>169.45</v>
      </c>
      <c r="X878">
        <v>0.59804999999999997</v>
      </c>
      <c r="Y878">
        <v>5.0000000000000001E-3</v>
      </c>
      <c r="Z878">
        <v>6.6450000000000002E-5</v>
      </c>
      <c r="AA878">
        <v>1.1111111111111112E-4</v>
      </c>
      <c r="AB878">
        <v>4.2699999999999996</v>
      </c>
      <c r="AC878">
        <v>1</v>
      </c>
      <c r="AD878" s="1" t="s">
        <v>44</v>
      </c>
      <c r="AE878">
        <v>0</v>
      </c>
      <c r="AF878">
        <v>1</v>
      </c>
      <c r="AG878">
        <v>17.171052631578949</v>
      </c>
    </row>
    <row r="879" spans="1:33">
      <c r="A879" s="1" t="s">
        <v>892</v>
      </c>
      <c r="B879" s="1" t="s">
        <v>1945</v>
      </c>
      <c r="C879" s="2">
        <v>46540</v>
      </c>
      <c r="D879" s="1" t="s">
        <v>34</v>
      </c>
      <c r="E879">
        <v>6463</v>
      </c>
      <c r="F879" s="2">
        <v>46081</v>
      </c>
      <c r="G879" s="1" t="s">
        <v>893</v>
      </c>
      <c r="H879" s="1" t="s">
        <v>67</v>
      </c>
      <c r="I879" s="1" t="s">
        <v>37</v>
      </c>
      <c r="J879" s="1" t="s">
        <v>833</v>
      </c>
      <c r="K879" s="1" t="s">
        <v>834</v>
      </c>
      <c r="L879">
        <v>100</v>
      </c>
      <c r="M879">
        <v>43.4</v>
      </c>
      <c r="N879">
        <v>22.1</v>
      </c>
      <c r="O879">
        <v>21.5</v>
      </c>
      <c r="P879">
        <v>2.0619999999999999E-2</v>
      </c>
      <c r="Q879">
        <v>3.02</v>
      </c>
      <c r="R879">
        <v>4.8499999999999996</v>
      </c>
      <c r="S879">
        <v>8</v>
      </c>
      <c r="T879">
        <v>3</v>
      </c>
      <c r="U879">
        <v>24</v>
      </c>
      <c r="V879">
        <v>79.5</v>
      </c>
      <c r="W879">
        <v>97.48</v>
      </c>
      <c r="X879">
        <v>0.49487999999999999</v>
      </c>
      <c r="Y879">
        <v>64.63</v>
      </c>
      <c r="Z879">
        <v>1.3326705999999999</v>
      </c>
      <c r="AA879">
        <v>2.6929166666666666</v>
      </c>
      <c r="AB879">
        <v>31345.55</v>
      </c>
      <c r="AC879">
        <v>3</v>
      </c>
      <c r="AD879" s="1" t="s">
        <v>40</v>
      </c>
      <c r="AE879">
        <v>3</v>
      </c>
      <c r="AF879">
        <v>0</v>
      </c>
      <c r="AG879">
        <v>15.098684210526317</v>
      </c>
    </row>
    <row r="880" spans="1:33">
      <c r="A880" s="1" t="s">
        <v>894</v>
      </c>
      <c r="B880" s="1" t="s">
        <v>1946</v>
      </c>
      <c r="C880" s="2">
        <v>46556</v>
      </c>
      <c r="D880" s="1" t="s">
        <v>34</v>
      </c>
      <c r="E880">
        <v>10207</v>
      </c>
      <c r="F880" s="2">
        <v>46081</v>
      </c>
      <c r="G880" s="1" t="s">
        <v>895</v>
      </c>
      <c r="H880" s="1" t="s">
        <v>781</v>
      </c>
      <c r="I880" s="1" t="s">
        <v>37</v>
      </c>
      <c r="J880" s="1" t="s">
        <v>833</v>
      </c>
      <c r="K880" s="1" t="s">
        <v>834</v>
      </c>
      <c r="L880">
        <v>100</v>
      </c>
      <c r="M880">
        <v>36.299999999999997</v>
      </c>
      <c r="N880">
        <v>31.3</v>
      </c>
      <c r="O880">
        <v>22.7</v>
      </c>
      <c r="P880">
        <v>2.579E-2</v>
      </c>
      <c r="Q880">
        <v>3.22</v>
      </c>
      <c r="R880">
        <v>16.12</v>
      </c>
      <c r="S880">
        <v>9</v>
      </c>
      <c r="T880">
        <v>4</v>
      </c>
      <c r="U880">
        <v>36</v>
      </c>
      <c r="V880">
        <v>105.8</v>
      </c>
      <c r="W880">
        <v>140.92000000000002</v>
      </c>
      <c r="X880">
        <v>0.92844000000000004</v>
      </c>
      <c r="Y880">
        <v>102.07</v>
      </c>
      <c r="Z880">
        <v>2.6323852999999997</v>
      </c>
      <c r="AA880">
        <v>2.8352777777777778</v>
      </c>
      <c r="AB880">
        <v>164536.84</v>
      </c>
      <c r="AC880">
        <v>3</v>
      </c>
      <c r="AD880" s="1" t="s">
        <v>40</v>
      </c>
      <c r="AE880">
        <v>3</v>
      </c>
      <c r="AF880">
        <v>0</v>
      </c>
      <c r="AG880">
        <v>15.625</v>
      </c>
    </row>
    <row r="881" spans="1:33">
      <c r="A881" s="1" t="s">
        <v>894</v>
      </c>
      <c r="B881" s="1" t="s">
        <v>1947</v>
      </c>
      <c r="C881" s="2">
        <v>46483</v>
      </c>
      <c r="D881" s="1" t="s">
        <v>34</v>
      </c>
      <c r="E881">
        <v>17762</v>
      </c>
      <c r="F881" s="2">
        <v>46081</v>
      </c>
      <c r="G881" s="1" t="s">
        <v>895</v>
      </c>
      <c r="H881" s="1" t="s">
        <v>781</v>
      </c>
      <c r="I881" s="1" t="s">
        <v>37</v>
      </c>
      <c r="J881" s="1" t="s">
        <v>833</v>
      </c>
      <c r="K881" s="1" t="s">
        <v>834</v>
      </c>
      <c r="L881">
        <v>100</v>
      </c>
      <c r="M881">
        <v>36.299999999999997</v>
      </c>
      <c r="N881">
        <v>31.3</v>
      </c>
      <c r="O881">
        <v>22.7</v>
      </c>
      <c r="P881">
        <v>2.579E-2</v>
      </c>
      <c r="Q881">
        <v>3.22</v>
      </c>
      <c r="R881">
        <v>16.12</v>
      </c>
      <c r="S881">
        <v>9</v>
      </c>
      <c r="T881">
        <v>4</v>
      </c>
      <c r="U881">
        <v>36</v>
      </c>
      <c r="V881">
        <v>105.8</v>
      </c>
      <c r="W881">
        <v>140.92000000000002</v>
      </c>
      <c r="X881">
        <v>0.92844000000000004</v>
      </c>
      <c r="Y881">
        <v>177.62</v>
      </c>
      <c r="Z881">
        <v>4.5808198000000004</v>
      </c>
      <c r="AA881">
        <v>4.9338888888888892</v>
      </c>
      <c r="AB881">
        <v>286323.44</v>
      </c>
      <c r="AC881">
        <v>5</v>
      </c>
      <c r="AD881" s="1" t="s">
        <v>40</v>
      </c>
      <c r="AE881">
        <v>5</v>
      </c>
      <c r="AF881">
        <v>0</v>
      </c>
      <c r="AG881">
        <v>13.223684210526317</v>
      </c>
    </row>
    <row r="882" spans="1:33">
      <c r="A882" s="1" t="s">
        <v>894</v>
      </c>
      <c r="B882" s="1" t="s">
        <v>1948</v>
      </c>
      <c r="C882" s="2">
        <v>46016</v>
      </c>
      <c r="D882" s="1" t="s">
        <v>73</v>
      </c>
      <c r="E882">
        <v>2237</v>
      </c>
      <c r="F882" s="2">
        <v>46081</v>
      </c>
      <c r="G882" s="1" t="s">
        <v>895</v>
      </c>
      <c r="H882" s="1" t="s">
        <v>781</v>
      </c>
      <c r="I882" s="1" t="s">
        <v>37</v>
      </c>
      <c r="J882" s="1" t="s">
        <v>833</v>
      </c>
      <c r="K882" s="1" t="s">
        <v>834</v>
      </c>
      <c r="L882">
        <v>100</v>
      </c>
      <c r="M882">
        <v>36.299999999999997</v>
      </c>
      <c r="N882">
        <v>31.3</v>
      </c>
      <c r="O882">
        <v>22.7</v>
      </c>
      <c r="P882">
        <v>2.579E-2</v>
      </c>
      <c r="Q882">
        <v>3.22</v>
      </c>
      <c r="R882">
        <v>16.12</v>
      </c>
      <c r="S882">
        <v>9</v>
      </c>
      <c r="T882">
        <v>4</v>
      </c>
      <c r="U882">
        <v>36</v>
      </c>
      <c r="V882">
        <v>105.8</v>
      </c>
      <c r="W882">
        <v>140.92000000000002</v>
      </c>
      <c r="X882">
        <v>0.92844000000000004</v>
      </c>
      <c r="Y882">
        <v>22.37</v>
      </c>
      <c r="Z882">
        <v>0.5769223</v>
      </c>
      <c r="AA882">
        <v>0.62138888888888888</v>
      </c>
      <c r="AB882">
        <v>36060.44</v>
      </c>
      <c r="AC882">
        <v>1</v>
      </c>
      <c r="AD882" s="1" t="s">
        <v>74</v>
      </c>
      <c r="AE882">
        <v>0</v>
      </c>
      <c r="AF882">
        <v>0</v>
      </c>
      <c r="AG882">
        <v>-2.138157894736842</v>
      </c>
    </row>
    <row r="883" spans="1:33">
      <c r="A883" s="1" t="s">
        <v>896</v>
      </c>
      <c r="B883" s="1" t="s">
        <v>1949</v>
      </c>
      <c r="C883" s="2">
        <v>46710</v>
      </c>
      <c r="D883" s="1" t="s">
        <v>34</v>
      </c>
      <c r="E883">
        <v>1182</v>
      </c>
      <c r="F883" s="2">
        <v>46081</v>
      </c>
      <c r="G883" s="1" t="s">
        <v>897</v>
      </c>
      <c r="H883" s="1" t="s">
        <v>67</v>
      </c>
      <c r="I883" s="1" t="s">
        <v>37</v>
      </c>
      <c r="J883" s="1" t="s">
        <v>833</v>
      </c>
      <c r="K883" s="1" t="s">
        <v>39</v>
      </c>
      <c r="L883">
        <v>200</v>
      </c>
      <c r="M883">
        <v>27.2</v>
      </c>
      <c r="N883">
        <v>30.8</v>
      </c>
      <c r="O883">
        <v>18.2</v>
      </c>
      <c r="P883">
        <v>1.525E-2</v>
      </c>
      <c r="Q883">
        <v>3.57</v>
      </c>
      <c r="R883">
        <v>20.48</v>
      </c>
      <c r="S883">
        <v>12</v>
      </c>
      <c r="T883">
        <v>3</v>
      </c>
      <c r="U883">
        <v>36</v>
      </c>
      <c r="V883">
        <v>69.599999999999994</v>
      </c>
      <c r="W883">
        <v>153.51999999999998</v>
      </c>
      <c r="X883">
        <v>0.54899999999999993</v>
      </c>
      <c r="Y883">
        <v>5.91</v>
      </c>
      <c r="Z883">
        <v>9.0127499999999999E-2</v>
      </c>
      <c r="AA883">
        <v>0.16416666666666668</v>
      </c>
      <c r="AB883">
        <v>24207.360000000001</v>
      </c>
      <c r="AC883">
        <v>1</v>
      </c>
      <c r="AD883" s="1" t="s">
        <v>44</v>
      </c>
      <c r="AE883">
        <v>0</v>
      </c>
      <c r="AF883">
        <v>1</v>
      </c>
      <c r="AG883">
        <v>20.690789473684212</v>
      </c>
    </row>
    <row r="884" spans="1:33">
      <c r="A884" s="1" t="s">
        <v>896</v>
      </c>
      <c r="B884" s="1" t="s">
        <v>1950</v>
      </c>
      <c r="C884" s="2">
        <v>46338</v>
      </c>
      <c r="D884" s="1" t="s">
        <v>34</v>
      </c>
      <c r="E884">
        <v>53448</v>
      </c>
      <c r="F884" s="2">
        <v>46081</v>
      </c>
      <c r="G884" s="1" t="s">
        <v>897</v>
      </c>
      <c r="H884" s="1" t="s">
        <v>67</v>
      </c>
      <c r="I884" s="1" t="s">
        <v>37</v>
      </c>
      <c r="J884" s="1" t="s">
        <v>833</v>
      </c>
      <c r="K884" s="1" t="s">
        <v>39</v>
      </c>
      <c r="L884">
        <v>200</v>
      </c>
      <c r="M884">
        <v>27.2</v>
      </c>
      <c r="N884">
        <v>30.8</v>
      </c>
      <c r="O884">
        <v>18.2</v>
      </c>
      <c r="P884">
        <v>1.525E-2</v>
      </c>
      <c r="Q884">
        <v>3.57</v>
      </c>
      <c r="R884">
        <v>20.48</v>
      </c>
      <c r="S884">
        <v>12</v>
      </c>
      <c r="T884">
        <v>3</v>
      </c>
      <c r="U884">
        <v>36</v>
      </c>
      <c r="V884">
        <v>69.599999999999994</v>
      </c>
      <c r="W884">
        <v>153.51999999999998</v>
      </c>
      <c r="X884">
        <v>0.54899999999999993</v>
      </c>
      <c r="Y884">
        <v>267.24</v>
      </c>
      <c r="Z884">
        <v>4.0754099999999998</v>
      </c>
      <c r="AA884">
        <v>7.4233333333333338</v>
      </c>
      <c r="AB884">
        <v>1094615.04</v>
      </c>
      <c r="AC884">
        <v>8</v>
      </c>
      <c r="AD884" s="1" t="s">
        <v>40</v>
      </c>
      <c r="AE884">
        <v>8</v>
      </c>
      <c r="AF884">
        <v>0</v>
      </c>
      <c r="AG884">
        <v>8.4539473684210531</v>
      </c>
    </row>
    <row r="885" spans="1:33">
      <c r="A885" s="1" t="s">
        <v>896</v>
      </c>
      <c r="B885" s="1" t="s">
        <v>1951</v>
      </c>
      <c r="C885" s="2">
        <v>46694</v>
      </c>
      <c r="D885" s="1" t="s">
        <v>34</v>
      </c>
      <c r="E885">
        <v>1275</v>
      </c>
      <c r="F885" s="2">
        <v>46081</v>
      </c>
      <c r="G885" s="1" t="s">
        <v>897</v>
      </c>
      <c r="H885" s="1" t="s">
        <v>67</v>
      </c>
      <c r="I885" s="1" t="s">
        <v>37</v>
      </c>
      <c r="J885" s="1" t="s">
        <v>833</v>
      </c>
      <c r="K885" s="1" t="s">
        <v>39</v>
      </c>
      <c r="L885">
        <v>200</v>
      </c>
      <c r="M885">
        <v>27.2</v>
      </c>
      <c r="N885">
        <v>30.8</v>
      </c>
      <c r="O885">
        <v>18.2</v>
      </c>
      <c r="P885">
        <v>1.525E-2</v>
      </c>
      <c r="Q885">
        <v>3.57</v>
      </c>
      <c r="R885">
        <v>20.48</v>
      </c>
      <c r="S885">
        <v>12</v>
      </c>
      <c r="T885">
        <v>3</v>
      </c>
      <c r="U885">
        <v>36</v>
      </c>
      <c r="V885">
        <v>69.599999999999994</v>
      </c>
      <c r="W885">
        <v>153.51999999999998</v>
      </c>
      <c r="X885">
        <v>0.54899999999999993</v>
      </c>
      <c r="Y885">
        <v>6.375</v>
      </c>
      <c r="Z885">
        <v>9.7218749999999993E-2</v>
      </c>
      <c r="AA885">
        <v>0.17708333333333334</v>
      </c>
      <c r="AB885">
        <v>26112</v>
      </c>
      <c r="AC885">
        <v>1</v>
      </c>
      <c r="AD885" s="1" t="s">
        <v>44</v>
      </c>
      <c r="AE885">
        <v>0</v>
      </c>
      <c r="AF885">
        <v>1</v>
      </c>
      <c r="AG885">
        <v>20.164473684210527</v>
      </c>
    </row>
    <row r="886" spans="1:33">
      <c r="A886" s="1" t="s">
        <v>898</v>
      </c>
      <c r="B886" s="1" t="s">
        <v>1952</v>
      </c>
      <c r="C886" s="2">
        <v>46997</v>
      </c>
      <c r="D886" s="1" t="s">
        <v>34</v>
      </c>
      <c r="E886">
        <v>125</v>
      </c>
      <c r="F886" s="2">
        <v>46081</v>
      </c>
      <c r="G886" s="1" t="s">
        <v>899</v>
      </c>
      <c r="H886" s="1" t="s">
        <v>837</v>
      </c>
      <c r="I886" s="1" t="s">
        <v>37</v>
      </c>
      <c r="J886" s="1" t="s">
        <v>833</v>
      </c>
      <c r="K886" s="1" t="s">
        <v>834</v>
      </c>
      <c r="L886">
        <v>100</v>
      </c>
      <c r="M886">
        <v>25.2</v>
      </c>
      <c r="N886">
        <v>22.7</v>
      </c>
      <c r="O886">
        <v>19.8</v>
      </c>
      <c r="P886">
        <v>1.133E-2</v>
      </c>
      <c r="Q886">
        <v>1.53</v>
      </c>
      <c r="R886">
        <v>19.309999999999999</v>
      </c>
      <c r="S886">
        <v>16</v>
      </c>
      <c r="T886">
        <v>3</v>
      </c>
      <c r="U886">
        <v>48</v>
      </c>
      <c r="V886">
        <v>74.400000000000006</v>
      </c>
      <c r="W886">
        <v>98.44</v>
      </c>
      <c r="X886">
        <v>0.54383999999999999</v>
      </c>
      <c r="Y886">
        <v>1.25</v>
      </c>
      <c r="Z886">
        <v>1.41625E-2</v>
      </c>
      <c r="AA886">
        <v>2.6041666666666668E-2</v>
      </c>
      <c r="AB886">
        <v>2413.75</v>
      </c>
      <c r="AC886">
        <v>1</v>
      </c>
      <c r="AD886" s="1" t="s">
        <v>44</v>
      </c>
      <c r="AE886">
        <v>0</v>
      </c>
      <c r="AF886">
        <v>1</v>
      </c>
      <c r="AG886">
        <v>30.131578947368421</v>
      </c>
    </row>
    <row r="887" spans="1:33">
      <c r="A887" s="1" t="s">
        <v>900</v>
      </c>
      <c r="B887" s="1" t="s">
        <v>1953</v>
      </c>
      <c r="C887" s="2">
        <v>47010</v>
      </c>
      <c r="D887" s="1" t="s">
        <v>34</v>
      </c>
      <c r="E887">
        <v>261</v>
      </c>
      <c r="F887" s="2">
        <v>46081</v>
      </c>
      <c r="G887" s="1" t="s">
        <v>901</v>
      </c>
      <c r="H887" s="1" t="s">
        <v>67</v>
      </c>
      <c r="I887" s="1" t="s">
        <v>37</v>
      </c>
      <c r="J887" s="1" t="s">
        <v>833</v>
      </c>
      <c r="K887" s="1" t="s">
        <v>39</v>
      </c>
      <c r="L887">
        <v>50</v>
      </c>
      <c r="M887">
        <v>26.6</v>
      </c>
      <c r="N887">
        <v>29.7</v>
      </c>
      <c r="O887">
        <v>23</v>
      </c>
      <c r="P887">
        <v>1.8169999999999999E-2</v>
      </c>
      <c r="Q887">
        <v>4.38</v>
      </c>
      <c r="R887">
        <v>37.9</v>
      </c>
      <c r="S887">
        <v>12</v>
      </c>
      <c r="T887">
        <v>3</v>
      </c>
      <c r="U887">
        <v>36</v>
      </c>
      <c r="V887">
        <v>84</v>
      </c>
      <c r="W887">
        <v>182.68</v>
      </c>
      <c r="X887">
        <v>0.65411999999999992</v>
      </c>
      <c r="Y887">
        <v>5.22</v>
      </c>
      <c r="Z887">
        <v>9.4847399999999984E-2</v>
      </c>
      <c r="AA887">
        <v>0.14499999999999999</v>
      </c>
      <c r="AB887">
        <v>9891.9</v>
      </c>
      <c r="AC887">
        <v>1</v>
      </c>
      <c r="AD887" s="1" t="s">
        <v>44</v>
      </c>
      <c r="AE887">
        <v>0</v>
      </c>
      <c r="AF887">
        <v>1</v>
      </c>
      <c r="AG887">
        <v>30.559210526315791</v>
      </c>
    </row>
    <row r="888" spans="1:33">
      <c r="A888" s="1" t="s">
        <v>900</v>
      </c>
      <c r="B888" s="1" t="s">
        <v>1954</v>
      </c>
      <c r="C888" s="2">
        <v>46470</v>
      </c>
      <c r="D888" s="1" t="s">
        <v>34</v>
      </c>
      <c r="E888">
        <v>1031</v>
      </c>
      <c r="F888" s="2">
        <v>46081</v>
      </c>
      <c r="G888" s="1" t="s">
        <v>901</v>
      </c>
      <c r="H888" s="1" t="s">
        <v>67</v>
      </c>
      <c r="I888" s="1" t="s">
        <v>37</v>
      </c>
      <c r="J888" s="1" t="s">
        <v>833</v>
      </c>
      <c r="K888" s="1" t="s">
        <v>39</v>
      </c>
      <c r="L888">
        <v>50</v>
      </c>
      <c r="M888">
        <v>26.6</v>
      </c>
      <c r="N888">
        <v>29.7</v>
      </c>
      <c r="O888">
        <v>23</v>
      </c>
      <c r="P888">
        <v>1.8169999999999999E-2</v>
      </c>
      <c r="Q888">
        <v>4.38</v>
      </c>
      <c r="R888">
        <v>37.9</v>
      </c>
      <c r="S888">
        <v>12</v>
      </c>
      <c r="T888">
        <v>3</v>
      </c>
      <c r="U888">
        <v>36</v>
      </c>
      <c r="V888">
        <v>84</v>
      </c>
      <c r="W888">
        <v>182.68</v>
      </c>
      <c r="X888">
        <v>0.65411999999999992</v>
      </c>
      <c r="Y888">
        <v>20.62</v>
      </c>
      <c r="Z888">
        <v>0.37466539999999998</v>
      </c>
      <c r="AA888">
        <v>0.57277777777777783</v>
      </c>
      <c r="AB888">
        <v>39074.9</v>
      </c>
      <c r="AC888">
        <v>1</v>
      </c>
      <c r="AD888" s="1" t="s">
        <v>40</v>
      </c>
      <c r="AE888">
        <v>1</v>
      </c>
      <c r="AF888">
        <v>0</v>
      </c>
      <c r="AG888">
        <v>12.796052631578949</v>
      </c>
    </row>
    <row r="889" spans="1:33">
      <c r="A889" s="1" t="s">
        <v>900</v>
      </c>
      <c r="B889" s="1" t="s">
        <v>1955</v>
      </c>
      <c r="C889" s="2">
        <v>46826</v>
      </c>
      <c r="D889" s="1" t="s">
        <v>34</v>
      </c>
      <c r="E889">
        <v>108</v>
      </c>
      <c r="F889" s="2">
        <v>46081</v>
      </c>
      <c r="G889" s="1" t="s">
        <v>901</v>
      </c>
      <c r="H889" s="1" t="s">
        <v>67</v>
      </c>
      <c r="I889" s="1" t="s">
        <v>37</v>
      </c>
      <c r="J889" s="1" t="s">
        <v>833</v>
      </c>
      <c r="K889" s="1" t="s">
        <v>39</v>
      </c>
      <c r="L889">
        <v>50</v>
      </c>
      <c r="M889">
        <v>26.6</v>
      </c>
      <c r="N889">
        <v>29.7</v>
      </c>
      <c r="O889">
        <v>23</v>
      </c>
      <c r="P889">
        <v>1.8169999999999999E-2</v>
      </c>
      <c r="Q889">
        <v>4.38</v>
      </c>
      <c r="R889">
        <v>37.9</v>
      </c>
      <c r="S889">
        <v>12</v>
      </c>
      <c r="T889">
        <v>3</v>
      </c>
      <c r="U889">
        <v>36</v>
      </c>
      <c r="V889">
        <v>84</v>
      </c>
      <c r="W889">
        <v>182.68</v>
      </c>
      <c r="X889">
        <v>0.65411999999999992</v>
      </c>
      <c r="Y889">
        <v>2.16</v>
      </c>
      <c r="Z889">
        <v>3.9247200000000003E-2</v>
      </c>
      <c r="AA889">
        <v>6.0000000000000005E-2</v>
      </c>
      <c r="AB889">
        <v>4093.2</v>
      </c>
      <c r="AC889">
        <v>1</v>
      </c>
      <c r="AD889" s="1" t="s">
        <v>44</v>
      </c>
      <c r="AE889">
        <v>0</v>
      </c>
      <c r="AF889">
        <v>1</v>
      </c>
      <c r="AG889">
        <v>24.506578947368421</v>
      </c>
    </row>
    <row r="890" spans="1:33">
      <c r="A890" s="1" t="s">
        <v>902</v>
      </c>
      <c r="B890" s="1" t="s">
        <v>1956</v>
      </c>
      <c r="C890" s="2">
        <v>46706</v>
      </c>
      <c r="D890" s="1" t="s">
        <v>34</v>
      </c>
      <c r="E890">
        <v>3248</v>
      </c>
      <c r="F890" s="2">
        <v>46081</v>
      </c>
      <c r="G890" s="1" t="s">
        <v>903</v>
      </c>
      <c r="H890" s="1" t="s">
        <v>837</v>
      </c>
      <c r="I890" s="1" t="s">
        <v>37</v>
      </c>
      <c r="J890" s="1" t="s">
        <v>833</v>
      </c>
      <c r="K890" s="1" t="s">
        <v>39</v>
      </c>
      <c r="L890">
        <v>200</v>
      </c>
      <c r="M890">
        <v>31.9</v>
      </c>
      <c r="N890">
        <v>31.2</v>
      </c>
      <c r="O890">
        <v>14.6</v>
      </c>
      <c r="P890">
        <v>1.453E-2</v>
      </c>
      <c r="Q890">
        <v>2.2599999999999998</v>
      </c>
      <c r="R890">
        <v>21.71</v>
      </c>
      <c r="S890">
        <v>8</v>
      </c>
      <c r="T890">
        <v>8</v>
      </c>
      <c r="U890">
        <v>64</v>
      </c>
      <c r="V890">
        <v>131.80000000000001</v>
      </c>
      <c r="W890">
        <v>169.64</v>
      </c>
      <c r="X890">
        <v>0.92991999999999997</v>
      </c>
      <c r="Y890">
        <v>16.239999999999998</v>
      </c>
      <c r="Z890">
        <v>0.23596719999999996</v>
      </c>
      <c r="AA890">
        <v>0.25374999999999998</v>
      </c>
      <c r="AB890">
        <v>70514.080000000002</v>
      </c>
      <c r="AC890">
        <v>1</v>
      </c>
      <c r="AD890" s="1" t="s">
        <v>44</v>
      </c>
      <c r="AE890">
        <v>0</v>
      </c>
      <c r="AF890">
        <v>1</v>
      </c>
      <c r="AG890">
        <v>20.559210526315791</v>
      </c>
    </row>
    <row r="891" spans="1:33">
      <c r="A891" s="1" t="s">
        <v>902</v>
      </c>
      <c r="B891" s="1" t="s">
        <v>1957</v>
      </c>
      <c r="C891" s="2">
        <v>46486</v>
      </c>
      <c r="D891" s="1" t="s">
        <v>34</v>
      </c>
      <c r="E891">
        <v>1156</v>
      </c>
      <c r="F891" s="2">
        <v>46081</v>
      </c>
      <c r="G891" s="1" t="s">
        <v>903</v>
      </c>
      <c r="H891" s="1" t="s">
        <v>837</v>
      </c>
      <c r="I891" s="1" t="s">
        <v>37</v>
      </c>
      <c r="J891" s="1" t="s">
        <v>833</v>
      </c>
      <c r="K891" s="1" t="s">
        <v>39</v>
      </c>
      <c r="L891">
        <v>200</v>
      </c>
      <c r="M891">
        <v>31.9</v>
      </c>
      <c r="N891">
        <v>31.2</v>
      </c>
      <c r="O891">
        <v>14.6</v>
      </c>
      <c r="P891">
        <v>1.453E-2</v>
      </c>
      <c r="Q891">
        <v>2.2599999999999998</v>
      </c>
      <c r="R891">
        <v>21.71</v>
      </c>
      <c r="S891">
        <v>8</v>
      </c>
      <c r="T891">
        <v>8</v>
      </c>
      <c r="U891">
        <v>64</v>
      </c>
      <c r="V891">
        <v>131.80000000000001</v>
      </c>
      <c r="W891">
        <v>169.64</v>
      </c>
      <c r="X891">
        <v>0.92991999999999997</v>
      </c>
      <c r="Y891">
        <v>5.78</v>
      </c>
      <c r="Z891">
        <v>8.39834E-2</v>
      </c>
      <c r="AA891">
        <v>9.0312500000000004E-2</v>
      </c>
      <c r="AB891">
        <v>25096.760000000002</v>
      </c>
      <c r="AC891">
        <v>1</v>
      </c>
      <c r="AD891" s="1" t="s">
        <v>44</v>
      </c>
      <c r="AE891">
        <v>0</v>
      </c>
      <c r="AF891">
        <v>1</v>
      </c>
      <c r="AG891">
        <v>13.322368421052632</v>
      </c>
    </row>
    <row r="892" spans="1:33">
      <c r="A892" s="1" t="s">
        <v>904</v>
      </c>
      <c r="B892" s="1" t="s">
        <v>1958</v>
      </c>
      <c r="C892" s="2">
        <v>46831</v>
      </c>
      <c r="D892" s="1" t="s">
        <v>34</v>
      </c>
      <c r="E892">
        <v>705</v>
      </c>
      <c r="F892" s="2">
        <v>46081</v>
      </c>
      <c r="G892" s="1" t="s">
        <v>905</v>
      </c>
      <c r="H892" s="1" t="s">
        <v>67</v>
      </c>
      <c r="I892" s="1" t="s">
        <v>37</v>
      </c>
      <c r="J892" s="1" t="s">
        <v>833</v>
      </c>
      <c r="K892" s="1" t="s">
        <v>39</v>
      </c>
      <c r="L892">
        <v>200</v>
      </c>
      <c r="M892">
        <v>37.700000000000003</v>
      </c>
      <c r="N892">
        <v>32.6</v>
      </c>
      <c r="O892">
        <v>18</v>
      </c>
      <c r="P892">
        <v>2.2120000000000001E-2</v>
      </c>
      <c r="Q892">
        <v>3.69</v>
      </c>
      <c r="R892">
        <v>21.38</v>
      </c>
      <c r="S892">
        <v>9</v>
      </c>
      <c r="T892">
        <v>5</v>
      </c>
      <c r="U892">
        <v>45</v>
      </c>
      <c r="V892">
        <v>105</v>
      </c>
      <c r="W892">
        <v>191.05</v>
      </c>
      <c r="X892">
        <v>0.99539999999999995</v>
      </c>
      <c r="Y892">
        <v>3.5249999999999999</v>
      </c>
      <c r="Z892">
        <v>7.7973000000000001E-2</v>
      </c>
      <c r="AA892">
        <v>7.8333333333333338E-2</v>
      </c>
      <c r="AB892">
        <v>15072.9</v>
      </c>
      <c r="AC892">
        <v>1</v>
      </c>
      <c r="AD892" s="1" t="s">
        <v>44</v>
      </c>
      <c r="AE892">
        <v>0</v>
      </c>
      <c r="AF892">
        <v>1</v>
      </c>
      <c r="AG892">
        <v>24.671052631578949</v>
      </c>
    </row>
    <row r="893" spans="1:33">
      <c r="A893" s="1" t="s">
        <v>906</v>
      </c>
      <c r="B893" s="1" t="s">
        <v>1959</v>
      </c>
      <c r="C893" s="2">
        <v>47025</v>
      </c>
      <c r="D893" s="1" t="s">
        <v>34</v>
      </c>
      <c r="E893">
        <v>38967</v>
      </c>
      <c r="F893" s="2">
        <v>46081</v>
      </c>
      <c r="G893" s="1" t="s">
        <v>907</v>
      </c>
      <c r="H893" s="1" t="s">
        <v>67</v>
      </c>
      <c r="I893" s="1" t="s">
        <v>37</v>
      </c>
      <c r="J893" s="1" t="s">
        <v>833</v>
      </c>
      <c r="K893" s="1" t="s">
        <v>39</v>
      </c>
      <c r="L893">
        <v>200</v>
      </c>
      <c r="M893">
        <v>33.5</v>
      </c>
      <c r="N893">
        <v>28.4</v>
      </c>
      <c r="O893">
        <v>24.8</v>
      </c>
      <c r="P893">
        <v>2.359E-2</v>
      </c>
      <c r="Q893">
        <v>3.2</v>
      </c>
      <c r="R893">
        <v>12.76</v>
      </c>
      <c r="S893">
        <v>9</v>
      </c>
      <c r="T893">
        <v>2</v>
      </c>
      <c r="U893">
        <v>18</v>
      </c>
      <c r="V893">
        <v>64.599999999999994</v>
      </c>
      <c r="W893">
        <v>82.6</v>
      </c>
      <c r="X893">
        <v>0.42462</v>
      </c>
      <c r="Y893">
        <v>194.83500000000001</v>
      </c>
      <c r="Z893">
        <v>4.5961576500000003</v>
      </c>
      <c r="AA893">
        <v>10.824166666666667</v>
      </c>
      <c r="AB893">
        <v>497218.92</v>
      </c>
      <c r="AC893">
        <v>11</v>
      </c>
      <c r="AD893" s="1" t="s">
        <v>40</v>
      </c>
      <c r="AE893">
        <v>11</v>
      </c>
      <c r="AF893">
        <v>0</v>
      </c>
      <c r="AG893">
        <v>31.05263157894737</v>
      </c>
    </row>
    <row r="894" spans="1:33">
      <c r="A894" s="1" t="s">
        <v>908</v>
      </c>
      <c r="B894" s="1" t="s">
        <v>1960</v>
      </c>
      <c r="C894" s="2">
        <v>46367</v>
      </c>
      <c r="D894" s="1" t="s">
        <v>34</v>
      </c>
      <c r="E894">
        <v>1</v>
      </c>
      <c r="F894" s="2">
        <v>46081</v>
      </c>
      <c r="G894" s="1" t="s">
        <v>909</v>
      </c>
      <c r="H894" s="1" t="s">
        <v>837</v>
      </c>
      <c r="I894" s="1" t="s">
        <v>37</v>
      </c>
      <c r="J894" s="1" t="s">
        <v>833</v>
      </c>
      <c r="K894" s="1" t="s">
        <v>39</v>
      </c>
      <c r="L894">
        <v>50</v>
      </c>
      <c r="M894">
        <v>43.9</v>
      </c>
      <c r="N894">
        <v>32.799999999999997</v>
      </c>
      <c r="O894">
        <v>12</v>
      </c>
      <c r="P894">
        <v>1.728E-2</v>
      </c>
      <c r="Q894">
        <v>3.26</v>
      </c>
      <c r="R894">
        <v>16.89</v>
      </c>
      <c r="S894">
        <v>4</v>
      </c>
      <c r="T894">
        <v>9</v>
      </c>
      <c r="U894">
        <v>36</v>
      </c>
      <c r="V894">
        <v>123</v>
      </c>
      <c r="W894">
        <v>142.36000000000001</v>
      </c>
      <c r="X894">
        <v>0.62207999999999997</v>
      </c>
      <c r="Y894">
        <v>0.02</v>
      </c>
      <c r="Z894">
        <v>3.456E-4</v>
      </c>
      <c r="AA894">
        <v>5.5555555555555556E-4</v>
      </c>
      <c r="AB894">
        <v>16.89</v>
      </c>
      <c r="AC894">
        <v>1</v>
      </c>
      <c r="AD894" s="1" t="s">
        <v>44</v>
      </c>
      <c r="AE894">
        <v>0</v>
      </c>
      <c r="AF894">
        <v>1</v>
      </c>
      <c r="AG894">
        <v>9.4078947368421062</v>
      </c>
    </row>
    <row r="895" spans="1:33">
      <c r="A895" s="1" t="s">
        <v>908</v>
      </c>
      <c r="B895" s="1" t="s">
        <v>1961</v>
      </c>
      <c r="C895" s="2">
        <v>46849</v>
      </c>
      <c r="D895" s="1" t="s">
        <v>34</v>
      </c>
      <c r="E895">
        <v>19</v>
      </c>
      <c r="F895" s="2">
        <v>46081</v>
      </c>
      <c r="G895" s="1" t="s">
        <v>909</v>
      </c>
      <c r="H895" s="1" t="s">
        <v>837</v>
      </c>
      <c r="I895" s="1" t="s">
        <v>37</v>
      </c>
      <c r="J895" s="1" t="s">
        <v>833</v>
      </c>
      <c r="K895" s="1" t="s">
        <v>39</v>
      </c>
      <c r="L895">
        <v>50</v>
      </c>
      <c r="M895">
        <v>43.9</v>
      </c>
      <c r="N895">
        <v>32.799999999999997</v>
      </c>
      <c r="O895">
        <v>12</v>
      </c>
      <c r="P895">
        <v>1.728E-2</v>
      </c>
      <c r="Q895">
        <v>3.26</v>
      </c>
      <c r="R895">
        <v>16.89</v>
      </c>
      <c r="S895">
        <v>4</v>
      </c>
      <c r="T895">
        <v>9</v>
      </c>
      <c r="U895">
        <v>36</v>
      </c>
      <c r="V895">
        <v>123</v>
      </c>
      <c r="W895">
        <v>142.36000000000001</v>
      </c>
      <c r="X895">
        <v>0.62207999999999997</v>
      </c>
      <c r="Y895">
        <v>0.38</v>
      </c>
      <c r="Z895">
        <v>6.5664E-3</v>
      </c>
      <c r="AA895">
        <v>1.0555555555555556E-2</v>
      </c>
      <c r="AB895">
        <v>320.91000000000003</v>
      </c>
      <c r="AC895">
        <v>1</v>
      </c>
      <c r="AD895" s="1" t="s">
        <v>44</v>
      </c>
      <c r="AE895">
        <v>0</v>
      </c>
      <c r="AF895">
        <v>1</v>
      </c>
      <c r="AG895">
        <v>25.263157894736842</v>
      </c>
    </row>
    <row r="896" spans="1:33">
      <c r="A896" s="1" t="s">
        <v>908</v>
      </c>
      <c r="B896" s="1" t="s">
        <v>1962</v>
      </c>
      <c r="C896" s="2">
        <v>46740</v>
      </c>
      <c r="D896" s="1" t="s">
        <v>49</v>
      </c>
      <c r="E896">
        <v>1</v>
      </c>
      <c r="F896" s="2">
        <v>46081</v>
      </c>
      <c r="G896" s="1" t="s">
        <v>909</v>
      </c>
      <c r="H896" s="1" t="s">
        <v>837</v>
      </c>
      <c r="I896" s="1" t="s">
        <v>37</v>
      </c>
      <c r="J896" s="1" t="s">
        <v>833</v>
      </c>
      <c r="K896" s="1" t="s">
        <v>39</v>
      </c>
      <c r="L896">
        <v>50</v>
      </c>
      <c r="M896">
        <v>43.9</v>
      </c>
      <c r="N896">
        <v>32.799999999999997</v>
      </c>
      <c r="O896">
        <v>12</v>
      </c>
      <c r="P896">
        <v>1.728E-2</v>
      </c>
      <c r="Q896">
        <v>3.26</v>
      </c>
      <c r="R896">
        <v>16.89</v>
      </c>
      <c r="S896">
        <v>4</v>
      </c>
      <c r="T896">
        <v>9</v>
      </c>
      <c r="U896">
        <v>36</v>
      </c>
      <c r="V896">
        <v>123</v>
      </c>
      <c r="W896">
        <v>142.36000000000001</v>
      </c>
      <c r="X896">
        <v>0.62207999999999997</v>
      </c>
      <c r="Y896">
        <v>0.02</v>
      </c>
      <c r="Z896">
        <v>3.456E-4</v>
      </c>
      <c r="AA896">
        <v>5.5555555555555556E-4</v>
      </c>
      <c r="AB896">
        <v>16.89</v>
      </c>
      <c r="AC896">
        <v>1</v>
      </c>
      <c r="AD896" s="1" t="s">
        <v>44</v>
      </c>
      <c r="AE896">
        <v>0</v>
      </c>
      <c r="AF896">
        <v>1</v>
      </c>
      <c r="AG896">
        <v>21.67763157894737</v>
      </c>
    </row>
    <row r="897" spans="1:33">
      <c r="A897" s="1" t="s">
        <v>908</v>
      </c>
      <c r="B897" s="1" t="s">
        <v>1963</v>
      </c>
      <c r="C897" s="2">
        <v>46696</v>
      </c>
      <c r="D897" s="1" t="s">
        <v>153</v>
      </c>
      <c r="E897">
        <v>1</v>
      </c>
      <c r="F897" s="2">
        <v>46081</v>
      </c>
      <c r="G897" s="1" t="s">
        <v>909</v>
      </c>
      <c r="H897" s="1" t="s">
        <v>837</v>
      </c>
      <c r="I897" s="1" t="s">
        <v>37</v>
      </c>
      <c r="J897" s="1" t="s">
        <v>833</v>
      </c>
      <c r="K897" s="1" t="s">
        <v>39</v>
      </c>
      <c r="L897">
        <v>50</v>
      </c>
      <c r="M897">
        <v>43.9</v>
      </c>
      <c r="N897">
        <v>32.799999999999997</v>
      </c>
      <c r="O897">
        <v>12</v>
      </c>
      <c r="P897">
        <v>1.728E-2</v>
      </c>
      <c r="Q897">
        <v>3.26</v>
      </c>
      <c r="R897">
        <v>16.89</v>
      </c>
      <c r="S897">
        <v>4</v>
      </c>
      <c r="T897">
        <v>9</v>
      </c>
      <c r="U897">
        <v>36</v>
      </c>
      <c r="V897">
        <v>123</v>
      </c>
      <c r="W897">
        <v>142.36000000000001</v>
      </c>
      <c r="X897">
        <v>0.62207999999999997</v>
      </c>
      <c r="Y897">
        <v>0.02</v>
      </c>
      <c r="Z897">
        <v>3.456E-4</v>
      </c>
      <c r="AA897">
        <v>5.5555555555555556E-4</v>
      </c>
      <c r="AB897">
        <v>16.89</v>
      </c>
      <c r="AC897">
        <v>1</v>
      </c>
      <c r="AD897" s="1" t="s">
        <v>74</v>
      </c>
      <c r="AE897">
        <v>0</v>
      </c>
      <c r="AF897">
        <v>0</v>
      </c>
      <c r="AG897">
        <v>20.230263157894736</v>
      </c>
    </row>
    <row r="898" spans="1:33">
      <c r="A898" s="1" t="s">
        <v>910</v>
      </c>
      <c r="B898" s="1" t="s">
        <v>1964</v>
      </c>
      <c r="C898" s="2">
        <v>46748</v>
      </c>
      <c r="D898" s="1" t="s">
        <v>34</v>
      </c>
      <c r="E898">
        <v>10053</v>
      </c>
      <c r="F898" s="2">
        <v>46081</v>
      </c>
      <c r="G898" s="1" t="s">
        <v>911</v>
      </c>
      <c r="H898" s="1" t="s">
        <v>837</v>
      </c>
      <c r="I898" s="1" t="s">
        <v>37</v>
      </c>
      <c r="J898" s="1" t="s">
        <v>833</v>
      </c>
      <c r="K898" s="1" t="s">
        <v>834</v>
      </c>
      <c r="L898">
        <v>200</v>
      </c>
      <c r="M898">
        <v>41.4</v>
      </c>
      <c r="N898">
        <v>27.5</v>
      </c>
      <c r="O898">
        <v>21.7</v>
      </c>
      <c r="P898">
        <v>2.4709999999999999E-2</v>
      </c>
      <c r="Q898">
        <v>5.0599999999999996</v>
      </c>
      <c r="R898">
        <v>16.57</v>
      </c>
      <c r="S898">
        <v>8</v>
      </c>
      <c r="T898">
        <v>4</v>
      </c>
      <c r="U898">
        <v>32</v>
      </c>
      <c r="V898">
        <v>101.8</v>
      </c>
      <c r="W898">
        <v>186.92</v>
      </c>
      <c r="X898">
        <v>0.79071999999999998</v>
      </c>
      <c r="Y898">
        <v>50.265000000000001</v>
      </c>
      <c r="Z898">
        <v>1.24204815</v>
      </c>
      <c r="AA898">
        <v>1.57078125</v>
      </c>
      <c r="AB898">
        <v>166578.21</v>
      </c>
      <c r="AC898">
        <v>2</v>
      </c>
      <c r="AD898" s="1" t="s">
        <v>40</v>
      </c>
      <c r="AE898">
        <v>2</v>
      </c>
      <c r="AF898">
        <v>0</v>
      </c>
      <c r="AG898">
        <v>21.940789473684212</v>
      </c>
    </row>
    <row r="899" spans="1:33">
      <c r="A899" s="1" t="s">
        <v>912</v>
      </c>
      <c r="B899" s="1" t="s">
        <v>1965</v>
      </c>
      <c r="C899" s="2">
        <v>46512</v>
      </c>
      <c r="D899" s="1" t="s">
        <v>34</v>
      </c>
      <c r="E899">
        <v>1148</v>
      </c>
      <c r="F899" s="2">
        <v>46081</v>
      </c>
      <c r="G899" s="1" t="s">
        <v>913</v>
      </c>
      <c r="H899" s="1" t="s">
        <v>67</v>
      </c>
      <c r="I899" s="1" t="s">
        <v>37</v>
      </c>
      <c r="J899" s="1" t="s">
        <v>833</v>
      </c>
      <c r="K899" s="1" t="s">
        <v>39</v>
      </c>
      <c r="L899">
        <v>200</v>
      </c>
      <c r="M899">
        <v>35.4</v>
      </c>
      <c r="N899">
        <v>21.9</v>
      </c>
      <c r="O899">
        <v>22.2</v>
      </c>
      <c r="P899">
        <v>1.721E-2</v>
      </c>
      <c r="Q899">
        <v>3.01</v>
      </c>
      <c r="R899">
        <v>19.11</v>
      </c>
      <c r="S899">
        <v>12</v>
      </c>
      <c r="T899">
        <v>4</v>
      </c>
      <c r="U899">
        <v>48</v>
      </c>
      <c r="V899">
        <v>103.8</v>
      </c>
      <c r="W899">
        <v>169.48</v>
      </c>
      <c r="X899">
        <v>0.82607999999999993</v>
      </c>
      <c r="Y899">
        <v>5.74</v>
      </c>
      <c r="Z899">
        <v>9.8785399999999995E-2</v>
      </c>
      <c r="AA899">
        <v>0.11958333333333333</v>
      </c>
      <c r="AB899">
        <v>21938.28</v>
      </c>
      <c r="AC899">
        <v>1</v>
      </c>
      <c r="AD899" s="1" t="s">
        <v>44</v>
      </c>
      <c r="AE899">
        <v>0</v>
      </c>
      <c r="AF899">
        <v>1</v>
      </c>
      <c r="AG899">
        <v>14.17763157894737</v>
      </c>
    </row>
    <row r="900" spans="1:33">
      <c r="A900" s="1" t="s">
        <v>912</v>
      </c>
      <c r="B900" s="1" t="s">
        <v>1966</v>
      </c>
      <c r="C900" s="2">
        <v>46844</v>
      </c>
      <c r="D900" s="1" t="s">
        <v>34</v>
      </c>
      <c r="E900">
        <v>596</v>
      </c>
      <c r="F900" s="2">
        <v>46081</v>
      </c>
      <c r="G900" s="1" t="s">
        <v>913</v>
      </c>
      <c r="H900" s="1" t="s">
        <v>67</v>
      </c>
      <c r="I900" s="1" t="s">
        <v>37</v>
      </c>
      <c r="J900" s="1" t="s">
        <v>833</v>
      </c>
      <c r="K900" s="1" t="s">
        <v>39</v>
      </c>
      <c r="L900">
        <v>200</v>
      </c>
      <c r="M900">
        <v>35.4</v>
      </c>
      <c r="N900">
        <v>21.9</v>
      </c>
      <c r="O900">
        <v>22.2</v>
      </c>
      <c r="P900">
        <v>1.721E-2</v>
      </c>
      <c r="Q900">
        <v>3.01</v>
      </c>
      <c r="R900">
        <v>19.11</v>
      </c>
      <c r="S900">
        <v>12</v>
      </c>
      <c r="T900">
        <v>4</v>
      </c>
      <c r="U900">
        <v>48</v>
      </c>
      <c r="V900">
        <v>103.8</v>
      </c>
      <c r="W900">
        <v>169.48</v>
      </c>
      <c r="X900">
        <v>0.82607999999999993</v>
      </c>
      <c r="Y900">
        <v>2.98</v>
      </c>
      <c r="Z900">
        <v>5.1285799999999999E-2</v>
      </c>
      <c r="AA900">
        <v>6.2083333333333331E-2</v>
      </c>
      <c r="AB900">
        <v>11389.56</v>
      </c>
      <c r="AC900">
        <v>1</v>
      </c>
      <c r="AD900" s="1" t="s">
        <v>44</v>
      </c>
      <c r="AE900">
        <v>0</v>
      </c>
      <c r="AF900">
        <v>1</v>
      </c>
      <c r="AG900">
        <v>25.098684210526319</v>
      </c>
    </row>
    <row r="901" spans="1:33">
      <c r="A901" s="1" t="s">
        <v>912</v>
      </c>
      <c r="B901" s="1" t="s">
        <v>1967</v>
      </c>
      <c r="C901" s="2">
        <v>46253</v>
      </c>
      <c r="D901" s="1" t="s">
        <v>34</v>
      </c>
      <c r="E901">
        <v>2054</v>
      </c>
      <c r="F901" s="2">
        <v>46081</v>
      </c>
      <c r="G901" s="1" t="s">
        <v>913</v>
      </c>
      <c r="H901" s="1" t="s">
        <v>67</v>
      </c>
      <c r="I901" s="1" t="s">
        <v>37</v>
      </c>
      <c r="J901" s="1" t="s">
        <v>833</v>
      </c>
      <c r="K901" s="1" t="s">
        <v>39</v>
      </c>
      <c r="L901">
        <v>200</v>
      </c>
      <c r="M901">
        <v>35.4</v>
      </c>
      <c r="N901">
        <v>21.9</v>
      </c>
      <c r="O901">
        <v>22.2</v>
      </c>
      <c r="P901">
        <v>1.721E-2</v>
      </c>
      <c r="Q901">
        <v>3.01</v>
      </c>
      <c r="R901">
        <v>19.11</v>
      </c>
      <c r="S901">
        <v>12</v>
      </c>
      <c r="T901">
        <v>4</v>
      </c>
      <c r="U901">
        <v>48</v>
      </c>
      <c r="V901">
        <v>103.8</v>
      </c>
      <c r="W901">
        <v>169.48</v>
      </c>
      <c r="X901">
        <v>0.82607999999999993</v>
      </c>
      <c r="Y901">
        <v>10.27</v>
      </c>
      <c r="Z901">
        <v>0.17674669999999998</v>
      </c>
      <c r="AA901">
        <v>0.21395833333333333</v>
      </c>
      <c r="AB901">
        <v>39251.94</v>
      </c>
      <c r="AC901">
        <v>1</v>
      </c>
      <c r="AD901" s="1" t="s">
        <v>44</v>
      </c>
      <c r="AE901">
        <v>0</v>
      </c>
      <c r="AF901">
        <v>1</v>
      </c>
      <c r="AG901">
        <v>5.6578947368421053</v>
      </c>
    </row>
    <row r="902" spans="1:33">
      <c r="A902" s="1" t="s">
        <v>912</v>
      </c>
      <c r="B902" s="1" t="s">
        <v>1968</v>
      </c>
      <c r="C902" s="2">
        <v>46748</v>
      </c>
      <c r="D902" s="1" t="s">
        <v>34</v>
      </c>
      <c r="E902">
        <v>1153</v>
      </c>
      <c r="F902" s="2">
        <v>46081</v>
      </c>
      <c r="G902" s="1" t="s">
        <v>913</v>
      </c>
      <c r="H902" s="1" t="s">
        <v>67</v>
      </c>
      <c r="I902" s="1" t="s">
        <v>37</v>
      </c>
      <c r="J902" s="1" t="s">
        <v>833</v>
      </c>
      <c r="K902" s="1" t="s">
        <v>39</v>
      </c>
      <c r="L902">
        <v>200</v>
      </c>
      <c r="M902">
        <v>35.4</v>
      </c>
      <c r="N902">
        <v>21.9</v>
      </c>
      <c r="O902">
        <v>22.2</v>
      </c>
      <c r="P902">
        <v>1.721E-2</v>
      </c>
      <c r="Q902">
        <v>3.01</v>
      </c>
      <c r="R902">
        <v>19.11</v>
      </c>
      <c r="S902">
        <v>12</v>
      </c>
      <c r="T902">
        <v>4</v>
      </c>
      <c r="U902">
        <v>48</v>
      </c>
      <c r="V902">
        <v>103.8</v>
      </c>
      <c r="W902">
        <v>169.48</v>
      </c>
      <c r="X902">
        <v>0.82607999999999993</v>
      </c>
      <c r="Y902">
        <v>5.7649999999999997</v>
      </c>
      <c r="Z902">
        <v>9.9215649999999989E-2</v>
      </c>
      <c r="AA902">
        <v>0.12010416666666666</v>
      </c>
      <c r="AB902">
        <v>22033.829999999998</v>
      </c>
      <c r="AC902">
        <v>1</v>
      </c>
      <c r="AD902" s="1" t="s">
        <v>44</v>
      </c>
      <c r="AE902">
        <v>0</v>
      </c>
      <c r="AF902">
        <v>1</v>
      </c>
      <c r="AG902">
        <v>21.940789473684212</v>
      </c>
    </row>
    <row r="903" spans="1:33">
      <c r="A903" s="1" t="s">
        <v>912</v>
      </c>
      <c r="B903" s="1" t="s">
        <v>1969</v>
      </c>
      <c r="C903" s="2">
        <v>46236</v>
      </c>
      <c r="D903" s="1" t="s">
        <v>34</v>
      </c>
      <c r="E903">
        <v>345</v>
      </c>
      <c r="F903" s="2">
        <v>46081</v>
      </c>
      <c r="G903" s="1" t="s">
        <v>913</v>
      </c>
      <c r="H903" s="1" t="s">
        <v>67</v>
      </c>
      <c r="I903" s="1" t="s">
        <v>37</v>
      </c>
      <c r="J903" s="1" t="s">
        <v>833</v>
      </c>
      <c r="K903" s="1" t="s">
        <v>39</v>
      </c>
      <c r="L903">
        <v>200</v>
      </c>
      <c r="M903">
        <v>35.4</v>
      </c>
      <c r="N903">
        <v>21.9</v>
      </c>
      <c r="O903">
        <v>22.2</v>
      </c>
      <c r="P903">
        <v>1.721E-2</v>
      </c>
      <c r="Q903">
        <v>3.01</v>
      </c>
      <c r="R903">
        <v>19.11</v>
      </c>
      <c r="S903">
        <v>12</v>
      </c>
      <c r="T903">
        <v>4</v>
      </c>
      <c r="U903">
        <v>48</v>
      </c>
      <c r="V903">
        <v>103.8</v>
      </c>
      <c r="W903">
        <v>169.48</v>
      </c>
      <c r="X903">
        <v>0.82607999999999993</v>
      </c>
      <c r="Y903">
        <v>1.7250000000000001</v>
      </c>
      <c r="Z903">
        <v>2.9687250000000002E-2</v>
      </c>
      <c r="AA903">
        <v>3.5937500000000004E-2</v>
      </c>
      <c r="AB903">
        <v>6592.95</v>
      </c>
      <c r="AC903">
        <v>1</v>
      </c>
      <c r="AD903" s="1" t="s">
        <v>44</v>
      </c>
      <c r="AE903">
        <v>0</v>
      </c>
      <c r="AF903">
        <v>1</v>
      </c>
      <c r="AG903">
        <v>5.0986842105263159</v>
      </c>
    </row>
    <row r="904" spans="1:33">
      <c r="A904" s="1" t="s">
        <v>914</v>
      </c>
      <c r="B904" s="1" t="s">
        <v>1970</v>
      </c>
      <c r="C904" s="2">
        <v>46770</v>
      </c>
      <c r="D904" s="1" t="s">
        <v>34</v>
      </c>
      <c r="E904">
        <v>21</v>
      </c>
      <c r="F904" s="2">
        <v>46081</v>
      </c>
      <c r="G904" s="1" t="s">
        <v>915</v>
      </c>
      <c r="H904" s="1" t="s">
        <v>837</v>
      </c>
      <c r="I904" s="1" t="s">
        <v>37</v>
      </c>
      <c r="J904" s="1" t="s">
        <v>916</v>
      </c>
      <c r="K904" s="1" t="s">
        <v>834</v>
      </c>
      <c r="L904">
        <v>20</v>
      </c>
      <c r="M904">
        <v>29.9</v>
      </c>
      <c r="N904">
        <v>19.899999999999999</v>
      </c>
      <c r="O904">
        <v>17.899999999999999</v>
      </c>
      <c r="P904">
        <v>1.065E-2</v>
      </c>
      <c r="Q904">
        <v>2.61</v>
      </c>
      <c r="R904">
        <v>82.81</v>
      </c>
      <c r="S904">
        <v>20</v>
      </c>
      <c r="T904">
        <v>7</v>
      </c>
      <c r="U904">
        <v>140</v>
      </c>
      <c r="V904">
        <v>140.29999999999998</v>
      </c>
      <c r="W904">
        <v>390.4</v>
      </c>
      <c r="X904">
        <v>1.4910000000000001</v>
      </c>
      <c r="Y904">
        <v>1.05</v>
      </c>
      <c r="Z904">
        <v>1.11825E-2</v>
      </c>
      <c r="AA904">
        <v>7.5000000000000006E-3</v>
      </c>
      <c r="AB904">
        <v>1739.01</v>
      </c>
      <c r="AC904">
        <v>1</v>
      </c>
      <c r="AD904" s="1" t="s">
        <v>44</v>
      </c>
      <c r="AE904">
        <v>0</v>
      </c>
      <c r="AF904">
        <v>1</v>
      </c>
      <c r="AG904">
        <v>22.664473684210527</v>
      </c>
    </row>
    <row r="905" spans="1:33">
      <c r="A905" s="1" t="s">
        <v>914</v>
      </c>
      <c r="B905" s="1" t="s">
        <v>1971</v>
      </c>
      <c r="C905" s="2">
        <v>46770</v>
      </c>
      <c r="D905" s="1" t="s">
        <v>34</v>
      </c>
      <c r="E905">
        <v>282</v>
      </c>
      <c r="F905" s="2">
        <v>46081</v>
      </c>
      <c r="G905" s="1" t="s">
        <v>915</v>
      </c>
      <c r="H905" s="1" t="s">
        <v>837</v>
      </c>
      <c r="I905" s="1" t="s">
        <v>37</v>
      </c>
      <c r="J905" s="1" t="s">
        <v>916</v>
      </c>
      <c r="K905" s="1" t="s">
        <v>834</v>
      </c>
      <c r="L905">
        <v>20</v>
      </c>
      <c r="M905">
        <v>29.9</v>
      </c>
      <c r="N905">
        <v>19.899999999999999</v>
      </c>
      <c r="O905">
        <v>17.899999999999999</v>
      </c>
      <c r="P905">
        <v>1.065E-2</v>
      </c>
      <c r="Q905">
        <v>2.61</v>
      </c>
      <c r="R905">
        <v>82.81</v>
      </c>
      <c r="S905">
        <v>20</v>
      </c>
      <c r="T905">
        <v>7</v>
      </c>
      <c r="U905">
        <v>140</v>
      </c>
      <c r="V905">
        <v>140.29999999999998</v>
      </c>
      <c r="W905">
        <v>390.4</v>
      </c>
      <c r="X905">
        <v>1.4910000000000001</v>
      </c>
      <c r="Y905">
        <v>14.1</v>
      </c>
      <c r="Z905">
        <v>0.15016499999999999</v>
      </c>
      <c r="AA905">
        <v>0.10071428571428571</v>
      </c>
      <c r="AB905">
        <v>23352.420000000002</v>
      </c>
      <c r="AC905">
        <v>1</v>
      </c>
      <c r="AD905" s="1" t="s">
        <v>44</v>
      </c>
      <c r="AE905">
        <v>0</v>
      </c>
      <c r="AF905">
        <v>1</v>
      </c>
      <c r="AG905">
        <v>22.664473684210527</v>
      </c>
    </row>
    <row r="906" spans="1:33">
      <c r="A906" s="1" t="s">
        <v>914</v>
      </c>
      <c r="B906" s="1" t="s">
        <v>1972</v>
      </c>
      <c r="C906" s="2">
        <v>46955</v>
      </c>
      <c r="D906" s="1" t="s">
        <v>34</v>
      </c>
      <c r="E906">
        <v>20</v>
      </c>
      <c r="F906" s="2">
        <v>46081</v>
      </c>
      <c r="G906" s="1" t="s">
        <v>915</v>
      </c>
      <c r="H906" s="1" t="s">
        <v>837</v>
      </c>
      <c r="I906" s="1" t="s">
        <v>37</v>
      </c>
      <c r="J906" s="1" t="s">
        <v>916</v>
      </c>
      <c r="K906" s="1" t="s">
        <v>834</v>
      </c>
      <c r="L906">
        <v>20</v>
      </c>
      <c r="M906">
        <v>29.9</v>
      </c>
      <c r="N906">
        <v>19.899999999999999</v>
      </c>
      <c r="O906">
        <v>17.899999999999999</v>
      </c>
      <c r="P906">
        <v>1.065E-2</v>
      </c>
      <c r="Q906">
        <v>2.61</v>
      </c>
      <c r="R906">
        <v>82.81</v>
      </c>
      <c r="S906">
        <v>20</v>
      </c>
      <c r="T906">
        <v>7</v>
      </c>
      <c r="U906">
        <v>140</v>
      </c>
      <c r="V906">
        <v>140.29999999999998</v>
      </c>
      <c r="W906">
        <v>390.4</v>
      </c>
      <c r="X906">
        <v>1.4910000000000001</v>
      </c>
      <c r="Y906">
        <v>1</v>
      </c>
      <c r="Z906">
        <v>1.065E-2</v>
      </c>
      <c r="AA906">
        <v>7.1428571428571426E-3</v>
      </c>
      <c r="AB906">
        <v>1656.2</v>
      </c>
      <c r="AC906">
        <v>1</v>
      </c>
      <c r="AD906" s="1" t="s">
        <v>44</v>
      </c>
      <c r="AE906">
        <v>0</v>
      </c>
      <c r="AF906">
        <v>1</v>
      </c>
      <c r="AG906">
        <v>28.75</v>
      </c>
    </row>
    <row r="907" spans="1:33">
      <c r="A907" s="1" t="s">
        <v>917</v>
      </c>
      <c r="B907" s="1" t="s">
        <v>1973</v>
      </c>
      <c r="C907" s="2">
        <v>46324</v>
      </c>
      <c r="D907" s="1" t="s">
        <v>34</v>
      </c>
      <c r="E907">
        <v>20</v>
      </c>
      <c r="F907" s="2">
        <v>46081</v>
      </c>
      <c r="G907" s="1" t="s">
        <v>918</v>
      </c>
      <c r="H907" s="1" t="s">
        <v>837</v>
      </c>
      <c r="I907" s="1" t="s">
        <v>37</v>
      </c>
      <c r="J907" s="1" t="s">
        <v>916</v>
      </c>
      <c r="K907" s="1" t="s">
        <v>834</v>
      </c>
      <c r="L907">
        <v>20</v>
      </c>
      <c r="M907">
        <v>36.1</v>
      </c>
      <c r="N907">
        <v>16.3</v>
      </c>
      <c r="O907">
        <v>18.3</v>
      </c>
      <c r="P907">
        <v>1.077E-2</v>
      </c>
      <c r="Q907">
        <v>2.33</v>
      </c>
      <c r="R907">
        <v>49.27</v>
      </c>
      <c r="S907">
        <v>18</v>
      </c>
      <c r="T907">
        <v>6</v>
      </c>
      <c r="U907">
        <v>108</v>
      </c>
      <c r="V907">
        <v>124.8</v>
      </c>
      <c r="W907">
        <v>276.64</v>
      </c>
      <c r="X907">
        <v>1.16316</v>
      </c>
      <c r="Y907">
        <v>1</v>
      </c>
      <c r="Z907">
        <v>1.077E-2</v>
      </c>
      <c r="AA907">
        <v>9.2592592592592587E-3</v>
      </c>
      <c r="AB907">
        <v>985.40000000000009</v>
      </c>
      <c r="AC907">
        <v>1</v>
      </c>
      <c r="AD907" s="1" t="s">
        <v>44</v>
      </c>
      <c r="AE907">
        <v>0</v>
      </c>
      <c r="AF907">
        <v>1</v>
      </c>
      <c r="AG907">
        <v>7.9934210526315796</v>
      </c>
    </row>
    <row r="908" spans="1:33">
      <c r="A908" s="1" t="s">
        <v>919</v>
      </c>
      <c r="B908" s="1" t="s">
        <v>1974</v>
      </c>
      <c r="C908" s="2">
        <v>46380</v>
      </c>
      <c r="D908" s="1" t="s">
        <v>34</v>
      </c>
      <c r="E908">
        <v>3611</v>
      </c>
      <c r="F908" s="2">
        <v>46081</v>
      </c>
      <c r="G908" s="1" t="s">
        <v>920</v>
      </c>
      <c r="H908" s="1" t="s">
        <v>837</v>
      </c>
      <c r="I908" s="1" t="s">
        <v>37</v>
      </c>
      <c r="J908" s="1" t="s">
        <v>916</v>
      </c>
      <c r="K908" s="1" t="s">
        <v>834</v>
      </c>
      <c r="L908">
        <v>50</v>
      </c>
      <c r="M908">
        <v>27.7</v>
      </c>
      <c r="N908">
        <v>27.3</v>
      </c>
      <c r="O908">
        <v>19.3</v>
      </c>
      <c r="P908">
        <v>1.4590000000000001E-2</v>
      </c>
      <c r="Q908">
        <v>2.85</v>
      </c>
      <c r="R908">
        <v>38.68</v>
      </c>
      <c r="S908">
        <v>11</v>
      </c>
      <c r="T908">
        <v>3</v>
      </c>
      <c r="U908">
        <v>33</v>
      </c>
      <c r="V908">
        <v>72.900000000000006</v>
      </c>
      <c r="W908">
        <v>119.05</v>
      </c>
      <c r="X908">
        <v>0.48147000000000001</v>
      </c>
      <c r="Y908">
        <v>72.22</v>
      </c>
      <c r="Z908">
        <v>1.0536898000000001</v>
      </c>
      <c r="AA908">
        <v>2.1884848484848485</v>
      </c>
      <c r="AB908">
        <v>139673.48000000001</v>
      </c>
      <c r="AC908">
        <v>3</v>
      </c>
      <c r="AD908" s="1" t="s">
        <v>40</v>
      </c>
      <c r="AE908">
        <v>3</v>
      </c>
      <c r="AF908">
        <v>0</v>
      </c>
      <c r="AG908">
        <v>9.8355263157894743</v>
      </c>
    </row>
    <row r="909" spans="1:33">
      <c r="A909" s="1" t="s">
        <v>921</v>
      </c>
      <c r="B909" s="1" t="s">
        <v>1975</v>
      </c>
      <c r="C909" s="2">
        <v>46232</v>
      </c>
      <c r="D909" s="1" t="s">
        <v>34</v>
      </c>
      <c r="E909">
        <v>2310</v>
      </c>
      <c r="F909" s="2">
        <v>46081</v>
      </c>
      <c r="G909" s="1" t="s">
        <v>922</v>
      </c>
      <c r="H909" s="1" t="s">
        <v>837</v>
      </c>
      <c r="I909" s="1" t="s">
        <v>37</v>
      </c>
      <c r="J909" s="1" t="s">
        <v>916</v>
      </c>
      <c r="K909" s="1" t="s">
        <v>834</v>
      </c>
      <c r="L909">
        <v>50</v>
      </c>
      <c r="M909">
        <v>39.5</v>
      </c>
      <c r="N909">
        <v>20.5</v>
      </c>
      <c r="O909">
        <v>21.9</v>
      </c>
      <c r="P909">
        <v>1.7729999999999999E-2</v>
      </c>
      <c r="Q909">
        <v>3.21</v>
      </c>
      <c r="R909">
        <v>74.459999999999994</v>
      </c>
      <c r="S909">
        <v>12</v>
      </c>
      <c r="T909">
        <v>5</v>
      </c>
      <c r="U909">
        <v>60</v>
      </c>
      <c r="V909">
        <v>124.5</v>
      </c>
      <c r="W909">
        <v>217.6</v>
      </c>
      <c r="X909">
        <v>1.0638000000000001</v>
      </c>
      <c r="Y909">
        <v>46.2</v>
      </c>
      <c r="Z909">
        <v>0.81912600000000002</v>
      </c>
      <c r="AA909">
        <v>0.77</v>
      </c>
      <c r="AB909">
        <v>172002.59999999998</v>
      </c>
      <c r="AC909">
        <v>1</v>
      </c>
      <c r="AD909" s="1" t="s">
        <v>40</v>
      </c>
      <c r="AE909">
        <v>1</v>
      </c>
      <c r="AF909">
        <v>0</v>
      </c>
      <c r="AG909">
        <v>4.9671052631578947</v>
      </c>
    </row>
    <row r="910" spans="1:33">
      <c r="A910" s="1" t="s">
        <v>923</v>
      </c>
      <c r="B910" s="1" t="s">
        <v>1976</v>
      </c>
      <c r="C910" s="2">
        <v>47023</v>
      </c>
      <c r="D910" s="1" t="s">
        <v>34</v>
      </c>
      <c r="E910">
        <v>273</v>
      </c>
      <c r="F910" s="2">
        <v>46081</v>
      </c>
      <c r="G910" s="1" t="s">
        <v>924</v>
      </c>
      <c r="H910" s="1" t="s">
        <v>837</v>
      </c>
      <c r="I910" s="1" t="s">
        <v>37</v>
      </c>
      <c r="J910" s="1" t="s">
        <v>916</v>
      </c>
      <c r="K910" s="1" t="s">
        <v>834</v>
      </c>
      <c r="L910">
        <v>50</v>
      </c>
      <c r="M910">
        <v>24.9</v>
      </c>
      <c r="N910">
        <v>29.7</v>
      </c>
      <c r="O910">
        <v>23.8</v>
      </c>
      <c r="P910">
        <v>1.7600000000000001E-2</v>
      </c>
      <c r="Q910">
        <v>4.26</v>
      </c>
      <c r="R910">
        <v>106.56</v>
      </c>
      <c r="S910">
        <v>16</v>
      </c>
      <c r="T910">
        <v>4</v>
      </c>
      <c r="U910">
        <v>64</v>
      </c>
      <c r="V910">
        <v>110.2</v>
      </c>
      <c r="W910">
        <v>297.64</v>
      </c>
      <c r="X910">
        <v>1.1264000000000001</v>
      </c>
      <c r="Y910">
        <v>5.46</v>
      </c>
      <c r="Z910">
        <v>9.6096000000000001E-2</v>
      </c>
      <c r="AA910">
        <v>8.5312499999999999E-2</v>
      </c>
      <c r="AB910">
        <v>29090.880000000001</v>
      </c>
      <c r="AC910">
        <v>1</v>
      </c>
      <c r="AD910" s="1" t="s">
        <v>44</v>
      </c>
      <c r="AE910">
        <v>0</v>
      </c>
      <c r="AF910">
        <v>1</v>
      </c>
      <c r="AG910">
        <v>30.986842105263161</v>
      </c>
    </row>
    <row r="911" spans="1:33">
      <c r="A911" s="1" t="s">
        <v>923</v>
      </c>
      <c r="B911" s="1" t="s">
        <v>1977</v>
      </c>
      <c r="C911" s="2">
        <v>46516</v>
      </c>
      <c r="D911" s="1" t="s">
        <v>34</v>
      </c>
      <c r="E911">
        <v>3342</v>
      </c>
      <c r="F911" s="2">
        <v>46081</v>
      </c>
      <c r="G911" s="1" t="s">
        <v>924</v>
      </c>
      <c r="H911" s="1" t="s">
        <v>837</v>
      </c>
      <c r="I911" s="1" t="s">
        <v>37</v>
      </c>
      <c r="J911" s="1" t="s">
        <v>916</v>
      </c>
      <c r="K911" s="1" t="s">
        <v>834</v>
      </c>
      <c r="L911">
        <v>50</v>
      </c>
      <c r="M911">
        <v>24.9</v>
      </c>
      <c r="N911">
        <v>29.7</v>
      </c>
      <c r="O911">
        <v>23.8</v>
      </c>
      <c r="P911">
        <v>1.7600000000000001E-2</v>
      </c>
      <c r="Q911">
        <v>4.26</v>
      </c>
      <c r="R911">
        <v>106.56</v>
      </c>
      <c r="S911">
        <v>16</v>
      </c>
      <c r="T911">
        <v>4</v>
      </c>
      <c r="U911">
        <v>64</v>
      </c>
      <c r="V911">
        <v>110.2</v>
      </c>
      <c r="W911">
        <v>297.64</v>
      </c>
      <c r="X911">
        <v>1.1264000000000001</v>
      </c>
      <c r="Y911">
        <v>66.84</v>
      </c>
      <c r="Z911">
        <v>1.1763840000000001</v>
      </c>
      <c r="AA911">
        <v>1.0443750000000001</v>
      </c>
      <c r="AB911">
        <v>356123.52</v>
      </c>
      <c r="AC911">
        <v>2</v>
      </c>
      <c r="AD911" s="1" t="s">
        <v>40</v>
      </c>
      <c r="AE911">
        <v>2</v>
      </c>
      <c r="AF911">
        <v>0</v>
      </c>
      <c r="AG911">
        <v>14.309210526315789</v>
      </c>
    </row>
    <row r="912" spans="1:33">
      <c r="A912" s="1" t="s">
        <v>923</v>
      </c>
      <c r="B912" s="1" t="s">
        <v>1978</v>
      </c>
      <c r="C912" s="2">
        <v>46554</v>
      </c>
      <c r="D912" s="1" t="s">
        <v>34</v>
      </c>
      <c r="E912">
        <v>23</v>
      </c>
      <c r="F912" s="2">
        <v>46081</v>
      </c>
      <c r="G912" s="1" t="s">
        <v>924</v>
      </c>
      <c r="H912" s="1" t="s">
        <v>837</v>
      </c>
      <c r="I912" s="1" t="s">
        <v>37</v>
      </c>
      <c r="J912" s="1" t="s">
        <v>916</v>
      </c>
      <c r="K912" s="1" t="s">
        <v>834</v>
      </c>
      <c r="L912">
        <v>50</v>
      </c>
      <c r="M912">
        <v>24.9</v>
      </c>
      <c r="N912">
        <v>29.7</v>
      </c>
      <c r="O912">
        <v>23.8</v>
      </c>
      <c r="P912">
        <v>1.7600000000000001E-2</v>
      </c>
      <c r="Q912">
        <v>4.26</v>
      </c>
      <c r="R912">
        <v>106.56</v>
      </c>
      <c r="S912">
        <v>16</v>
      </c>
      <c r="T912">
        <v>4</v>
      </c>
      <c r="U912">
        <v>64</v>
      </c>
      <c r="V912">
        <v>110.2</v>
      </c>
      <c r="W912">
        <v>297.64</v>
      </c>
      <c r="X912">
        <v>1.1264000000000001</v>
      </c>
      <c r="Y912">
        <v>0.46</v>
      </c>
      <c r="Z912">
        <v>8.0960000000000008E-3</v>
      </c>
      <c r="AA912">
        <v>7.1875000000000003E-3</v>
      </c>
      <c r="AB912">
        <v>2450.88</v>
      </c>
      <c r="AC912">
        <v>1</v>
      </c>
      <c r="AD912" s="1" t="s">
        <v>44</v>
      </c>
      <c r="AE912">
        <v>0</v>
      </c>
      <c r="AF912">
        <v>1</v>
      </c>
      <c r="AG912">
        <v>15.559210526315789</v>
      </c>
    </row>
    <row r="913" spans="1:33">
      <c r="A913" s="1" t="s">
        <v>923</v>
      </c>
      <c r="B913" s="1" t="s">
        <v>1979</v>
      </c>
      <c r="C913" s="2">
        <v>46357</v>
      </c>
      <c r="D913" s="1" t="s">
        <v>34</v>
      </c>
      <c r="E913">
        <v>1272</v>
      </c>
      <c r="F913" s="2">
        <v>46081</v>
      </c>
      <c r="G913" s="1" t="s">
        <v>924</v>
      </c>
      <c r="H913" s="1" t="s">
        <v>837</v>
      </c>
      <c r="I913" s="1" t="s">
        <v>37</v>
      </c>
      <c r="J913" s="1" t="s">
        <v>916</v>
      </c>
      <c r="K913" s="1" t="s">
        <v>834</v>
      </c>
      <c r="L913">
        <v>50</v>
      </c>
      <c r="M913">
        <v>24.9</v>
      </c>
      <c r="N913">
        <v>29.7</v>
      </c>
      <c r="O913">
        <v>23.8</v>
      </c>
      <c r="P913">
        <v>1.7600000000000001E-2</v>
      </c>
      <c r="Q913">
        <v>4.26</v>
      </c>
      <c r="R913">
        <v>106.56</v>
      </c>
      <c r="S913">
        <v>16</v>
      </c>
      <c r="T913">
        <v>4</v>
      </c>
      <c r="U913">
        <v>64</v>
      </c>
      <c r="V913">
        <v>110.2</v>
      </c>
      <c r="W913">
        <v>297.64</v>
      </c>
      <c r="X913">
        <v>1.1264000000000001</v>
      </c>
      <c r="Y913">
        <v>25.44</v>
      </c>
      <c r="Z913">
        <v>0.44774400000000003</v>
      </c>
      <c r="AA913">
        <v>0.39750000000000002</v>
      </c>
      <c r="AB913">
        <v>135544.32000000001</v>
      </c>
      <c r="AC913">
        <v>1</v>
      </c>
      <c r="AD913" s="1" t="s">
        <v>40</v>
      </c>
      <c r="AE913">
        <v>1</v>
      </c>
      <c r="AF913">
        <v>0</v>
      </c>
      <c r="AG913">
        <v>9.0789473684210531</v>
      </c>
    </row>
    <row r="914" spans="1:33">
      <c r="A914" s="1" t="s">
        <v>925</v>
      </c>
      <c r="B914" s="1" t="s">
        <v>1980</v>
      </c>
      <c r="C914" s="2">
        <v>46962</v>
      </c>
      <c r="D914" s="1" t="s">
        <v>34</v>
      </c>
      <c r="E914">
        <v>845</v>
      </c>
      <c r="F914" s="2">
        <v>46081</v>
      </c>
      <c r="G914" s="1" t="s">
        <v>926</v>
      </c>
      <c r="H914" s="1" t="s">
        <v>837</v>
      </c>
      <c r="I914" s="1" t="s">
        <v>37</v>
      </c>
      <c r="J914" s="1" t="s">
        <v>916</v>
      </c>
      <c r="K914" s="1" t="s">
        <v>834</v>
      </c>
      <c r="L914">
        <v>10</v>
      </c>
      <c r="M914">
        <v>32.9</v>
      </c>
      <c r="N914">
        <v>27.6</v>
      </c>
      <c r="O914">
        <v>22.5</v>
      </c>
      <c r="P914">
        <v>2.043E-2</v>
      </c>
      <c r="Q914">
        <v>3.24</v>
      </c>
      <c r="R914">
        <v>29.68</v>
      </c>
      <c r="S914">
        <v>12</v>
      </c>
      <c r="T914">
        <v>5</v>
      </c>
      <c r="U914">
        <v>60</v>
      </c>
      <c r="V914">
        <v>127.5</v>
      </c>
      <c r="W914">
        <v>219.4</v>
      </c>
      <c r="X914">
        <v>1.2258</v>
      </c>
      <c r="Y914">
        <v>84.5</v>
      </c>
      <c r="Z914">
        <v>1.726335</v>
      </c>
      <c r="AA914">
        <v>1.4083333333333334</v>
      </c>
      <c r="AB914">
        <v>25079.599999999999</v>
      </c>
      <c r="AC914">
        <v>2</v>
      </c>
      <c r="AD914" s="1" t="s">
        <v>40</v>
      </c>
      <c r="AE914">
        <v>2</v>
      </c>
      <c r="AF914">
        <v>0</v>
      </c>
      <c r="AG914">
        <v>28.98026315789474</v>
      </c>
    </row>
    <row r="915" spans="1:33">
      <c r="A915" s="1" t="s">
        <v>925</v>
      </c>
      <c r="B915" s="1" t="s">
        <v>1981</v>
      </c>
      <c r="C915" s="2">
        <v>47028</v>
      </c>
      <c r="D915" s="1" t="s">
        <v>34</v>
      </c>
      <c r="E915">
        <v>438</v>
      </c>
      <c r="F915" s="2">
        <v>46081</v>
      </c>
      <c r="G915" s="1" t="s">
        <v>926</v>
      </c>
      <c r="H915" s="1" t="s">
        <v>837</v>
      </c>
      <c r="I915" s="1" t="s">
        <v>37</v>
      </c>
      <c r="J915" s="1" t="s">
        <v>916</v>
      </c>
      <c r="K915" s="1" t="s">
        <v>834</v>
      </c>
      <c r="L915">
        <v>10</v>
      </c>
      <c r="M915">
        <v>32.9</v>
      </c>
      <c r="N915">
        <v>27.6</v>
      </c>
      <c r="O915">
        <v>22.5</v>
      </c>
      <c r="P915">
        <v>2.043E-2</v>
      </c>
      <c r="Q915">
        <v>3.24</v>
      </c>
      <c r="R915">
        <v>29.68</v>
      </c>
      <c r="S915">
        <v>12</v>
      </c>
      <c r="T915">
        <v>5</v>
      </c>
      <c r="U915">
        <v>60</v>
      </c>
      <c r="V915">
        <v>127.5</v>
      </c>
      <c r="W915">
        <v>219.4</v>
      </c>
      <c r="X915">
        <v>1.2258</v>
      </c>
      <c r="Y915">
        <v>43.8</v>
      </c>
      <c r="Z915">
        <v>0.89483399999999991</v>
      </c>
      <c r="AA915">
        <v>0.73</v>
      </c>
      <c r="AB915">
        <v>12999.84</v>
      </c>
      <c r="AC915">
        <v>1</v>
      </c>
      <c r="AD915" s="1" t="s">
        <v>40</v>
      </c>
      <c r="AE915">
        <v>1</v>
      </c>
      <c r="AF915">
        <v>0</v>
      </c>
      <c r="AG915">
        <v>31.151315789473685</v>
      </c>
    </row>
    <row r="916" spans="1:33">
      <c r="A916" s="1" t="s">
        <v>927</v>
      </c>
      <c r="B916" s="1" t="s">
        <v>1982</v>
      </c>
      <c r="C916" s="2">
        <v>46239</v>
      </c>
      <c r="D916" s="1" t="s">
        <v>34</v>
      </c>
      <c r="E916">
        <v>3067</v>
      </c>
      <c r="F916" s="2">
        <v>46081</v>
      </c>
      <c r="G916" s="1" t="s">
        <v>928</v>
      </c>
      <c r="H916" s="1" t="s">
        <v>837</v>
      </c>
      <c r="I916" s="1" t="s">
        <v>37</v>
      </c>
      <c r="J916" s="1" t="s">
        <v>916</v>
      </c>
      <c r="K916" s="1" t="s">
        <v>834</v>
      </c>
      <c r="L916">
        <v>10</v>
      </c>
      <c r="M916">
        <v>39.299999999999997</v>
      </c>
      <c r="N916">
        <v>27.7</v>
      </c>
      <c r="O916">
        <v>23.5</v>
      </c>
      <c r="P916">
        <v>2.5579999999999999E-2</v>
      </c>
      <c r="Q916">
        <v>4.87</v>
      </c>
      <c r="R916">
        <v>63.35</v>
      </c>
      <c r="S916">
        <v>9</v>
      </c>
      <c r="T916">
        <v>2</v>
      </c>
      <c r="U916">
        <v>18</v>
      </c>
      <c r="V916">
        <v>62</v>
      </c>
      <c r="W916">
        <v>112.66</v>
      </c>
      <c r="X916">
        <v>0.4604399999999999</v>
      </c>
      <c r="Y916">
        <v>306.7</v>
      </c>
      <c r="Z916">
        <v>7.8453859999999995</v>
      </c>
      <c r="AA916">
        <v>17.038888888888888</v>
      </c>
      <c r="AB916">
        <v>194294.45</v>
      </c>
      <c r="AC916">
        <v>18</v>
      </c>
      <c r="AD916" s="1" t="s">
        <v>40</v>
      </c>
      <c r="AE916">
        <v>18</v>
      </c>
      <c r="AF916">
        <v>0</v>
      </c>
      <c r="AG916">
        <v>5.1973684210526319</v>
      </c>
    </row>
    <row r="917" spans="1:33">
      <c r="A917" s="1" t="s">
        <v>929</v>
      </c>
      <c r="B917" s="1" t="s">
        <v>1983</v>
      </c>
      <c r="C917" s="2">
        <v>47087</v>
      </c>
      <c r="D917" s="1" t="s">
        <v>34</v>
      </c>
      <c r="E917">
        <v>122</v>
      </c>
      <c r="F917" s="2">
        <v>46081</v>
      </c>
      <c r="G917" s="1" t="s">
        <v>930</v>
      </c>
      <c r="H917" s="1" t="s">
        <v>837</v>
      </c>
      <c r="I917" s="1" t="s">
        <v>37</v>
      </c>
      <c r="J917" s="1" t="s">
        <v>916</v>
      </c>
      <c r="K917" s="1" t="s">
        <v>834</v>
      </c>
      <c r="L917">
        <v>50</v>
      </c>
      <c r="M917">
        <v>36.6</v>
      </c>
      <c r="N917">
        <v>23.3</v>
      </c>
      <c r="O917">
        <v>18.899999999999999</v>
      </c>
      <c r="P917">
        <v>1.6119999999999999E-2</v>
      </c>
      <c r="Q917">
        <v>4.8099999999999996</v>
      </c>
      <c r="R917">
        <v>69.13</v>
      </c>
      <c r="S917">
        <v>10</v>
      </c>
      <c r="T917">
        <v>5</v>
      </c>
      <c r="U917">
        <v>50</v>
      </c>
      <c r="V917">
        <v>109.5</v>
      </c>
      <c r="W917">
        <v>265.5</v>
      </c>
      <c r="X917">
        <v>0.80599999999999994</v>
      </c>
      <c r="Y917">
        <v>2.44</v>
      </c>
      <c r="Z917">
        <v>3.9332799999999994E-2</v>
      </c>
      <c r="AA917">
        <v>4.8799999999999996E-2</v>
      </c>
      <c r="AB917">
        <v>8433.8599999999988</v>
      </c>
      <c r="AC917">
        <v>1</v>
      </c>
      <c r="AD917" s="1" t="s">
        <v>44</v>
      </c>
      <c r="AE917">
        <v>0</v>
      </c>
      <c r="AF917">
        <v>1</v>
      </c>
      <c r="AG917">
        <v>33.092105263157897</v>
      </c>
    </row>
    <row r="918" spans="1:33">
      <c r="A918" s="1" t="s">
        <v>929</v>
      </c>
      <c r="B918" s="1" t="s">
        <v>1984</v>
      </c>
      <c r="C918" s="2">
        <v>46781</v>
      </c>
      <c r="D918" s="1" t="s">
        <v>34</v>
      </c>
      <c r="E918">
        <v>1878</v>
      </c>
      <c r="F918" s="2">
        <v>46081</v>
      </c>
      <c r="G918" s="1" t="s">
        <v>930</v>
      </c>
      <c r="H918" s="1" t="s">
        <v>837</v>
      </c>
      <c r="I918" s="1" t="s">
        <v>37</v>
      </c>
      <c r="J918" s="1" t="s">
        <v>916</v>
      </c>
      <c r="K918" s="1" t="s">
        <v>834</v>
      </c>
      <c r="L918">
        <v>50</v>
      </c>
      <c r="M918">
        <v>36.6</v>
      </c>
      <c r="N918">
        <v>23.3</v>
      </c>
      <c r="O918">
        <v>18.899999999999999</v>
      </c>
      <c r="P918">
        <v>1.6119999999999999E-2</v>
      </c>
      <c r="Q918">
        <v>4.8099999999999996</v>
      </c>
      <c r="R918">
        <v>69.13</v>
      </c>
      <c r="S918">
        <v>10</v>
      </c>
      <c r="T918">
        <v>5</v>
      </c>
      <c r="U918">
        <v>50</v>
      </c>
      <c r="V918">
        <v>109.5</v>
      </c>
      <c r="W918">
        <v>265.5</v>
      </c>
      <c r="X918">
        <v>0.80599999999999994</v>
      </c>
      <c r="Y918">
        <v>37.56</v>
      </c>
      <c r="Z918">
        <v>0.60546719999999998</v>
      </c>
      <c r="AA918">
        <v>0.75120000000000009</v>
      </c>
      <c r="AB918">
        <v>129826.13999999998</v>
      </c>
      <c r="AC918">
        <v>1</v>
      </c>
      <c r="AD918" s="1" t="s">
        <v>40</v>
      </c>
      <c r="AE918">
        <v>1</v>
      </c>
      <c r="AF918">
        <v>0</v>
      </c>
      <c r="AG918">
        <v>23.026315789473685</v>
      </c>
    </row>
    <row r="919" spans="1:33">
      <c r="A919" s="1" t="s">
        <v>929</v>
      </c>
      <c r="B919" s="1" t="s">
        <v>1985</v>
      </c>
      <c r="C919" s="2">
        <v>47154</v>
      </c>
      <c r="D919" s="1" t="s">
        <v>34</v>
      </c>
      <c r="E919">
        <v>255</v>
      </c>
      <c r="F919" s="2">
        <v>46081</v>
      </c>
      <c r="G919" s="1" t="s">
        <v>930</v>
      </c>
      <c r="H919" s="1" t="s">
        <v>837</v>
      </c>
      <c r="I919" s="1" t="s">
        <v>37</v>
      </c>
      <c r="J919" s="1" t="s">
        <v>916</v>
      </c>
      <c r="K919" s="1" t="s">
        <v>834</v>
      </c>
      <c r="L919">
        <v>50</v>
      </c>
      <c r="M919">
        <v>36.6</v>
      </c>
      <c r="N919">
        <v>23.3</v>
      </c>
      <c r="O919">
        <v>18.899999999999999</v>
      </c>
      <c r="P919">
        <v>1.6119999999999999E-2</v>
      </c>
      <c r="Q919">
        <v>4.8099999999999996</v>
      </c>
      <c r="R919">
        <v>69.13</v>
      </c>
      <c r="S919">
        <v>10</v>
      </c>
      <c r="T919">
        <v>5</v>
      </c>
      <c r="U919">
        <v>50</v>
      </c>
      <c r="V919">
        <v>109.5</v>
      </c>
      <c r="W919">
        <v>265.5</v>
      </c>
      <c r="X919">
        <v>0.80599999999999994</v>
      </c>
      <c r="Y919">
        <v>5.0999999999999996</v>
      </c>
      <c r="Z919">
        <v>8.2211999999999993E-2</v>
      </c>
      <c r="AA919">
        <v>0.10199999999999999</v>
      </c>
      <c r="AB919">
        <v>17628.149999999998</v>
      </c>
      <c r="AC919">
        <v>1</v>
      </c>
      <c r="AD919" s="1" t="s">
        <v>44</v>
      </c>
      <c r="AE919">
        <v>0</v>
      </c>
      <c r="AF919">
        <v>1</v>
      </c>
      <c r="AG919">
        <v>35.296052631578952</v>
      </c>
    </row>
    <row r="920" spans="1:33">
      <c r="A920" s="1" t="s">
        <v>931</v>
      </c>
      <c r="B920" s="1" t="s">
        <v>1986</v>
      </c>
      <c r="C920" s="2">
        <v>46685</v>
      </c>
      <c r="D920" s="1" t="s">
        <v>34</v>
      </c>
      <c r="E920">
        <v>1235</v>
      </c>
      <c r="F920" s="2">
        <v>46081</v>
      </c>
      <c r="G920" s="1" t="s">
        <v>932</v>
      </c>
      <c r="H920" s="1" t="s">
        <v>837</v>
      </c>
      <c r="I920" s="1" t="s">
        <v>37</v>
      </c>
      <c r="J920" s="1" t="s">
        <v>916</v>
      </c>
      <c r="K920" s="1" t="s">
        <v>834</v>
      </c>
      <c r="L920">
        <v>50</v>
      </c>
      <c r="M920">
        <v>33.1</v>
      </c>
      <c r="N920">
        <v>26.9</v>
      </c>
      <c r="O920">
        <v>13.1</v>
      </c>
      <c r="P920">
        <v>1.166E-2</v>
      </c>
      <c r="Q920">
        <v>3.41</v>
      </c>
      <c r="R920">
        <v>66.05</v>
      </c>
      <c r="S920">
        <v>12</v>
      </c>
      <c r="T920">
        <v>5</v>
      </c>
      <c r="U920">
        <v>60</v>
      </c>
      <c r="V920">
        <v>80.5</v>
      </c>
      <c r="W920">
        <v>229.6</v>
      </c>
      <c r="X920">
        <v>0.6996</v>
      </c>
      <c r="Y920">
        <v>24.7</v>
      </c>
      <c r="Z920">
        <v>0.28800199999999998</v>
      </c>
      <c r="AA920">
        <v>0.41166666666666668</v>
      </c>
      <c r="AB920">
        <v>81571.75</v>
      </c>
      <c r="AC920">
        <v>1</v>
      </c>
      <c r="AD920" s="1" t="s">
        <v>40</v>
      </c>
      <c r="AE920">
        <v>1</v>
      </c>
      <c r="AF920">
        <v>0</v>
      </c>
      <c r="AG920">
        <v>19.868421052631579</v>
      </c>
    </row>
    <row r="921" spans="1:33">
      <c r="A921" s="1" t="s">
        <v>931</v>
      </c>
      <c r="B921" s="1" t="s">
        <v>1987</v>
      </c>
      <c r="C921" s="2">
        <v>46397</v>
      </c>
      <c r="D921" s="1" t="s">
        <v>34</v>
      </c>
      <c r="E921">
        <v>2609</v>
      </c>
      <c r="F921" s="2">
        <v>46081</v>
      </c>
      <c r="G921" s="1" t="s">
        <v>932</v>
      </c>
      <c r="H921" s="1" t="s">
        <v>837</v>
      </c>
      <c r="I921" s="1" t="s">
        <v>37</v>
      </c>
      <c r="J921" s="1" t="s">
        <v>916</v>
      </c>
      <c r="K921" s="1" t="s">
        <v>834</v>
      </c>
      <c r="L921">
        <v>50</v>
      </c>
      <c r="M921">
        <v>33.1</v>
      </c>
      <c r="N921">
        <v>26.9</v>
      </c>
      <c r="O921">
        <v>13.1</v>
      </c>
      <c r="P921">
        <v>1.166E-2</v>
      </c>
      <c r="Q921">
        <v>3.41</v>
      </c>
      <c r="R921">
        <v>66.05</v>
      </c>
      <c r="S921">
        <v>12</v>
      </c>
      <c r="T921">
        <v>5</v>
      </c>
      <c r="U921">
        <v>60</v>
      </c>
      <c r="V921">
        <v>80.5</v>
      </c>
      <c r="W921">
        <v>229.6</v>
      </c>
      <c r="X921">
        <v>0.6996</v>
      </c>
      <c r="Y921">
        <v>52.18</v>
      </c>
      <c r="Z921">
        <v>0.60841880000000004</v>
      </c>
      <c r="AA921">
        <v>0.8696666666666667</v>
      </c>
      <c r="AB921">
        <v>172324.44999999998</v>
      </c>
      <c r="AC921">
        <v>1</v>
      </c>
      <c r="AD921" s="1" t="s">
        <v>40</v>
      </c>
      <c r="AE921">
        <v>1</v>
      </c>
      <c r="AF921">
        <v>0</v>
      </c>
      <c r="AG921">
        <v>10.394736842105264</v>
      </c>
    </row>
    <row r="922" spans="1:33">
      <c r="A922" s="1" t="s">
        <v>931</v>
      </c>
      <c r="B922" s="1" t="s">
        <v>1988</v>
      </c>
      <c r="C922" s="2">
        <v>46502</v>
      </c>
      <c r="D922" s="1" t="s">
        <v>34</v>
      </c>
      <c r="E922">
        <v>8074</v>
      </c>
      <c r="F922" s="2">
        <v>46081</v>
      </c>
      <c r="G922" s="1" t="s">
        <v>932</v>
      </c>
      <c r="H922" s="1" t="s">
        <v>837</v>
      </c>
      <c r="I922" s="1" t="s">
        <v>37</v>
      </c>
      <c r="J922" s="1" t="s">
        <v>916</v>
      </c>
      <c r="K922" s="1" t="s">
        <v>834</v>
      </c>
      <c r="L922">
        <v>50</v>
      </c>
      <c r="M922">
        <v>33.1</v>
      </c>
      <c r="N922">
        <v>26.9</v>
      </c>
      <c r="O922">
        <v>13.1</v>
      </c>
      <c r="P922">
        <v>1.166E-2</v>
      </c>
      <c r="Q922">
        <v>3.41</v>
      </c>
      <c r="R922">
        <v>66.05</v>
      </c>
      <c r="S922">
        <v>12</v>
      </c>
      <c r="T922">
        <v>5</v>
      </c>
      <c r="U922">
        <v>60</v>
      </c>
      <c r="V922">
        <v>80.5</v>
      </c>
      <c r="W922">
        <v>229.6</v>
      </c>
      <c r="X922">
        <v>0.6996</v>
      </c>
      <c r="Y922">
        <v>161.47999999999999</v>
      </c>
      <c r="Z922">
        <v>1.8828567999999999</v>
      </c>
      <c r="AA922">
        <v>2.6913333333333331</v>
      </c>
      <c r="AB922">
        <v>533287.69999999995</v>
      </c>
      <c r="AC922">
        <v>3</v>
      </c>
      <c r="AD922" s="1" t="s">
        <v>40</v>
      </c>
      <c r="AE922">
        <v>3</v>
      </c>
      <c r="AF922">
        <v>0</v>
      </c>
      <c r="AG922">
        <v>13.848684210526317</v>
      </c>
    </row>
    <row r="923" spans="1:33">
      <c r="A923" s="1" t="s">
        <v>931</v>
      </c>
      <c r="B923" s="1" t="s">
        <v>1989</v>
      </c>
      <c r="C923" s="2">
        <v>47063</v>
      </c>
      <c r="D923" s="1" t="s">
        <v>34</v>
      </c>
      <c r="E923">
        <v>881</v>
      </c>
      <c r="F923" s="2">
        <v>46081</v>
      </c>
      <c r="G923" s="1" t="s">
        <v>932</v>
      </c>
      <c r="H923" s="1" t="s">
        <v>837</v>
      </c>
      <c r="I923" s="1" t="s">
        <v>37</v>
      </c>
      <c r="J923" s="1" t="s">
        <v>916</v>
      </c>
      <c r="K923" s="1" t="s">
        <v>834</v>
      </c>
      <c r="L923">
        <v>50</v>
      </c>
      <c r="M923">
        <v>33.1</v>
      </c>
      <c r="N923">
        <v>26.9</v>
      </c>
      <c r="O923">
        <v>13.1</v>
      </c>
      <c r="P923">
        <v>1.166E-2</v>
      </c>
      <c r="Q923">
        <v>3.41</v>
      </c>
      <c r="R923">
        <v>66.05</v>
      </c>
      <c r="S923">
        <v>12</v>
      </c>
      <c r="T923">
        <v>5</v>
      </c>
      <c r="U923">
        <v>60</v>
      </c>
      <c r="V923">
        <v>80.5</v>
      </c>
      <c r="W923">
        <v>229.6</v>
      </c>
      <c r="X923">
        <v>0.6996</v>
      </c>
      <c r="Y923">
        <v>17.62</v>
      </c>
      <c r="Z923">
        <v>0.20544920000000003</v>
      </c>
      <c r="AA923">
        <v>0.29366666666666669</v>
      </c>
      <c r="AB923">
        <v>58190.049999999996</v>
      </c>
      <c r="AC923">
        <v>1</v>
      </c>
      <c r="AD923" s="1" t="s">
        <v>44</v>
      </c>
      <c r="AE923">
        <v>0</v>
      </c>
      <c r="AF923">
        <v>1</v>
      </c>
      <c r="AG923">
        <v>32.30263157894737</v>
      </c>
    </row>
    <row r="924" spans="1:33">
      <c r="A924" s="1" t="s">
        <v>933</v>
      </c>
      <c r="B924" s="1" t="s">
        <v>1990</v>
      </c>
      <c r="C924" s="2">
        <v>46198</v>
      </c>
      <c r="D924" s="1" t="s">
        <v>34</v>
      </c>
      <c r="E924">
        <v>15</v>
      </c>
      <c r="F924" s="2">
        <v>46081</v>
      </c>
      <c r="G924" s="1" t="s">
        <v>934</v>
      </c>
      <c r="H924" s="1" t="s">
        <v>837</v>
      </c>
      <c r="I924" s="1" t="s">
        <v>37</v>
      </c>
      <c r="J924" s="1" t="s">
        <v>916</v>
      </c>
      <c r="K924" s="1" t="s">
        <v>834</v>
      </c>
      <c r="L924">
        <v>10</v>
      </c>
      <c r="M924">
        <v>29.7</v>
      </c>
      <c r="N924">
        <v>16.100000000000001</v>
      </c>
      <c r="O924">
        <v>23.3</v>
      </c>
      <c r="P924">
        <v>1.1140000000000001E-2</v>
      </c>
      <c r="Q924">
        <v>2.39</v>
      </c>
      <c r="R924">
        <v>81.540000000000006</v>
      </c>
      <c r="S924">
        <v>24</v>
      </c>
      <c r="T924">
        <v>6</v>
      </c>
      <c r="U924">
        <v>144</v>
      </c>
      <c r="V924">
        <v>154.80000000000001</v>
      </c>
      <c r="W924">
        <v>369.16</v>
      </c>
      <c r="X924">
        <v>1.60416</v>
      </c>
      <c r="Y924">
        <v>1.5</v>
      </c>
      <c r="Z924">
        <v>1.6710000000000003E-2</v>
      </c>
      <c r="AA924">
        <v>1.0416666666666666E-2</v>
      </c>
      <c r="AB924">
        <v>1223.1000000000001</v>
      </c>
      <c r="AC924">
        <v>1</v>
      </c>
      <c r="AD924" s="1" t="s">
        <v>44</v>
      </c>
      <c r="AE924">
        <v>0</v>
      </c>
      <c r="AF924">
        <v>1</v>
      </c>
      <c r="AG924">
        <v>3.8486842105263159</v>
      </c>
    </row>
    <row r="925" spans="1:33">
      <c r="A925" s="1" t="s">
        <v>933</v>
      </c>
      <c r="B925" s="1" t="s">
        <v>1991</v>
      </c>
      <c r="C925" s="2">
        <v>46644</v>
      </c>
      <c r="D925" s="1" t="s">
        <v>34</v>
      </c>
      <c r="E925">
        <v>26</v>
      </c>
      <c r="F925" s="2">
        <v>46081</v>
      </c>
      <c r="G925" s="1" t="s">
        <v>934</v>
      </c>
      <c r="H925" s="1" t="s">
        <v>837</v>
      </c>
      <c r="I925" s="1" t="s">
        <v>37</v>
      </c>
      <c r="J925" s="1" t="s">
        <v>916</v>
      </c>
      <c r="K925" s="1" t="s">
        <v>834</v>
      </c>
      <c r="L925">
        <v>10</v>
      </c>
      <c r="M925">
        <v>29.7</v>
      </c>
      <c r="N925">
        <v>16.100000000000001</v>
      </c>
      <c r="O925">
        <v>23.3</v>
      </c>
      <c r="P925">
        <v>1.1140000000000001E-2</v>
      </c>
      <c r="Q925">
        <v>2.39</v>
      </c>
      <c r="R925">
        <v>81.540000000000006</v>
      </c>
      <c r="S925">
        <v>24</v>
      </c>
      <c r="T925">
        <v>6</v>
      </c>
      <c r="U925">
        <v>144</v>
      </c>
      <c r="V925">
        <v>154.80000000000001</v>
      </c>
      <c r="W925">
        <v>369.16</v>
      </c>
      <c r="X925">
        <v>1.60416</v>
      </c>
      <c r="Y925">
        <v>2.6</v>
      </c>
      <c r="Z925">
        <v>2.8964000000000004E-2</v>
      </c>
      <c r="AA925">
        <v>1.8055555555555557E-2</v>
      </c>
      <c r="AB925">
        <v>2120.04</v>
      </c>
      <c r="AC925">
        <v>1</v>
      </c>
      <c r="AD925" s="1" t="s">
        <v>44</v>
      </c>
      <c r="AE925">
        <v>0</v>
      </c>
      <c r="AF925">
        <v>1</v>
      </c>
      <c r="AG925">
        <v>18.519736842105264</v>
      </c>
    </row>
    <row r="926" spans="1:33">
      <c r="A926" s="1" t="s">
        <v>933</v>
      </c>
      <c r="B926" s="1" t="s">
        <v>1992</v>
      </c>
      <c r="C926" s="2">
        <v>46404</v>
      </c>
      <c r="D926" s="1" t="s">
        <v>153</v>
      </c>
      <c r="E926">
        <v>1</v>
      </c>
      <c r="F926" s="2">
        <v>46081</v>
      </c>
      <c r="G926" s="1" t="s">
        <v>934</v>
      </c>
      <c r="H926" s="1" t="s">
        <v>837</v>
      </c>
      <c r="I926" s="1" t="s">
        <v>37</v>
      </c>
      <c r="J926" s="1" t="s">
        <v>916</v>
      </c>
      <c r="K926" s="1" t="s">
        <v>834</v>
      </c>
      <c r="L926">
        <v>10</v>
      </c>
      <c r="M926">
        <v>29.7</v>
      </c>
      <c r="N926">
        <v>16.100000000000001</v>
      </c>
      <c r="O926">
        <v>23.3</v>
      </c>
      <c r="P926">
        <v>1.1140000000000001E-2</v>
      </c>
      <c r="Q926">
        <v>2.39</v>
      </c>
      <c r="R926">
        <v>81.540000000000006</v>
      </c>
      <c r="S926">
        <v>24</v>
      </c>
      <c r="T926">
        <v>6</v>
      </c>
      <c r="U926">
        <v>144</v>
      </c>
      <c r="V926">
        <v>154.80000000000001</v>
      </c>
      <c r="W926">
        <v>369.16</v>
      </c>
      <c r="X926">
        <v>1.60416</v>
      </c>
      <c r="Y926">
        <v>0.1</v>
      </c>
      <c r="Z926">
        <v>1.1140000000000002E-3</v>
      </c>
      <c r="AA926">
        <v>6.9444444444444447E-4</v>
      </c>
      <c r="AB926">
        <v>81.540000000000006</v>
      </c>
      <c r="AC926">
        <v>1</v>
      </c>
      <c r="AD926" s="1" t="s">
        <v>74</v>
      </c>
      <c r="AE926">
        <v>0</v>
      </c>
      <c r="AF926">
        <v>0</v>
      </c>
      <c r="AG926">
        <v>10.625</v>
      </c>
    </row>
    <row r="927" spans="1:33">
      <c r="A927" s="1" t="s">
        <v>935</v>
      </c>
      <c r="B927" s="1" t="s">
        <v>1993</v>
      </c>
      <c r="C927" s="2">
        <v>46413</v>
      </c>
      <c r="D927" s="1" t="s">
        <v>34</v>
      </c>
      <c r="E927">
        <v>5135</v>
      </c>
      <c r="F927" s="2">
        <v>46081</v>
      </c>
      <c r="G927" s="1" t="s">
        <v>936</v>
      </c>
      <c r="H927" s="1" t="s">
        <v>837</v>
      </c>
      <c r="I927" s="1" t="s">
        <v>37</v>
      </c>
      <c r="J927" s="1" t="s">
        <v>916</v>
      </c>
      <c r="K927" s="1" t="s">
        <v>834</v>
      </c>
      <c r="L927">
        <v>20</v>
      </c>
      <c r="M927">
        <v>29.9</v>
      </c>
      <c r="N927">
        <v>19.2</v>
      </c>
      <c r="O927">
        <v>11.9</v>
      </c>
      <c r="P927">
        <v>6.8300000000000001E-3</v>
      </c>
      <c r="Q927">
        <v>1.77</v>
      </c>
      <c r="R927">
        <v>30.94</v>
      </c>
      <c r="S927">
        <v>19</v>
      </c>
      <c r="T927">
        <v>7</v>
      </c>
      <c r="U927">
        <v>133</v>
      </c>
      <c r="V927">
        <v>98.3</v>
      </c>
      <c r="W927">
        <v>260.41000000000003</v>
      </c>
      <c r="X927">
        <v>0.90839000000000003</v>
      </c>
      <c r="Y927">
        <v>256.75</v>
      </c>
      <c r="Z927">
        <v>1.7536025</v>
      </c>
      <c r="AA927">
        <v>1.9304511278195489</v>
      </c>
      <c r="AB927">
        <v>158876.9</v>
      </c>
      <c r="AC927">
        <v>2</v>
      </c>
      <c r="AD927" s="1" t="s">
        <v>40</v>
      </c>
      <c r="AE927">
        <v>2</v>
      </c>
      <c r="AF927">
        <v>0</v>
      </c>
      <c r="AG927">
        <v>10.921052631578949</v>
      </c>
    </row>
    <row r="928" spans="1:33">
      <c r="A928" s="1" t="s">
        <v>935</v>
      </c>
      <c r="B928" s="1" t="s">
        <v>1994</v>
      </c>
      <c r="C928" s="2">
        <v>46194</v>
      </c>
      <c r="D928" s="1" t="s">
        <v>34</v>
      </c>
      <c r="E928">
        <v>4670</v>
      </c>
      <c r="F928" s="2">
        <v>46081</v>
      </c>
      <c r="G928" s="1" t="s">
        <v>936</v>
      </c>
      <c r="H928" s="1" t="s">
        <v>837</v>
      </c>
      <c r="I928" s="1" t="s">
        <v>37</v>
      </c>
      <c r="J928" s="1" t="s">
        <v>916</v>
      </c>
      <c r="K928" s="1" t="s">
        <v>834</v>
      </c>
      <c r="L928">
        <v>20</v>
      </c>
      <c r="M928">
        <v>29.9</v>
      </c>
      <c r="N928">
        <v>19.2</v>
      </c>
      <c r="O928">
        <v>11.9</v>
      </c>
      <c r="P928">
        <v>6.8300000000000001E-3</v>
      </c>
      <c r="Q928">
        <v>1.77</v>
      </c>
      <c r="R928">
        <v>30.94</v>
      </c>
      <c r="S928">
        <v>19</v>
      </c>
      <c r="T928">
        <v>7</v>
      </c>
      <c r="U928">
        <v>133</v>
      </c>
      <c r="V928">
        <v>98.3</v>
      </c>
      <c r="W928">
        <v>260.41000000000003</v>
      </c>
      <c r="X928">
        <v>0.90839000000000003</v>
      </c>
      <c r="Y928">
        <v>233.5</v>
      </c>
      <c r="Z928">
        <v>1.594805</v>
      </c>
      <c r="AA928">
        <v>1.755639097744361</v>
      </c>
      <c r="AB928">
        <v>144489.80000000002</v>
      </c>
      <c r="AC928">
        <v>2</v>
      </c>
      <c r="AD928" s="1" t="s">
        <v>40</v>
      </c>
      <c r="AE928">
        <v>2</v>
      </c>
      <c r="AF928">
        <v>0</v>
      </c>
      <c r="AG928">
        <v>3.7171052631578947</v>
      </c>
    </row>
    <row r="929" spans="1:33">
      <c r="A929" s="1" t="s">
        <v>935</v>
      </c>
      <c r="B929" s="1" t="s">
        <v>1995</v>
      </c>
      <c r="C929" s="2">
        <v>46423</v>
      </c>
      <c r="D929" s="1" t="s">
        <v>153</v>
      </c>
      <c r="E929">
        <v>294</v>
      </c>
      <c r="F929" s="2">
        <v>46081</v>
      </c>
      <c r="G929" s="1" t="s">
        <v>936</v>
      </c>
      <c r="H929" s="1" t="s">
        <v>837</v>
      </c>
      <c r="I929" s="1" t="s">
        <v>37</v>
      </c>
      <c r="J929" s="1" t="s">
        <v>916</v>
      </c>
      <c r="K929" s="1" t="s">
        <v>834</v>
      </c>
      <c r="L929">
        <v>20</v>
      </c>
      <c r="M929">
        <v>29.9</v>
      </c>
      <c r="N929">
        <v>19.2</v>
      </c>
      <c r="O929">
        <v>11.9</v>
      </c>
      <c r="P929">
        <v>6.8300000000000001E-3</v>
      </c>
      <c r="Q929">
        <v>1.77</v>
      </c>
      <c r="R929">
        <v>30.94</v>
      </c>
      <c r="S929">
        <v>19</v>
      </c>
      <c r="T929">
        <v>7</v>
      </c>
      <c r="U929">
        <v>133</v>
      </c>
      <c r="V929">
        <v>98.3</v>
      </c>
      <c r="W929">
        <v>260.41000000000003</v>
      </c>
      <c r="X929">
        <v>0.90839000000000003</v>
      </c>
      <c r="Y929">
        <v>14.7</v>
      </c>
      <c r="Z929">
        <v>0.10040099999999999</v>
      </c>
      <c r="AA929">
        <v>0.11052631578947368</v>
      </c>
      <c r="AB929">
        <v>9096.36</v>
      </c>
      <c r="AC929">
        <v>1</v>
      </c>
      <c r="AD929" s="1" t="s">
        <v>74</v>
      </c>
      <c r="AE929">
        <v>0</v>
      </c>
      <c r="AF929">
        <v>0</v>
      </c>
      <c r="AG929">
        <v>11.25</v>
      </c>
    </row>
    <row r="930" spans="1:33">
      <c r="A930" s="1" t="s">
        <v>937</v>
      </c>
      <c r="B930" s="1" t="s">
        <v>1996</v>
      </c>
      <c r="C930" s="2">
        <v>46321</v>
      </c>
      <c r="D930" s="1" t="s">
        <v>34</v>
      </c>
      <c r="E930">
        <v>1041</v>
      </c>
      <c r="F930" s="2">
        <v>46081</v>
      </c>
      <c r="G930" s="1" t="s">
        <v>938</v>
      </c>
      <c r="H930" s="1" t="s">
        <v>837</v>
      </c>
      <c r="I930" s="1" t="s">
        <v>37</v>
      </c>
      <c r="J930" s="1" t="s">
        <v>916</v>
      </c>
      <c r="K930" s="1" t="s">
        <v>834</v>
      </c>
      <c r="L930">
        <v>10</v>
      </c>
      <c r="M930">
        <v>31.2</v>
      </c>
      <c r="N930">
        <v>26.6</v>
      </c>
      <c r="O930">
        <v>10.6</v>
      </c>
      <c r="P930">
        <v>8.8000000000000005E-3</v>
      </c>
      <c r="Q930">
        <v>2.12</v>
      </c>
      <c r="R930">
        <v>83.05</v>
      </c>
      <c r="S930">
        <v>12</v>
      </c>
      <c r="T930">
        <v>12</v>
      </c>
      <c r="U930">
        <v>144</v>
      </c>
      <c r="V930">
        <v>142.19999999999999</v>
      </c>
      <c r="W930">
        <v>330.28000000000003</v>
      </c>
      <c r="X930">
        <v>1.2672000000000001</v>
      </c>
      <c r="Y930">
        <v>104.1</v>
      </c>
      <c r="Z930">
        <v>0.91608000000000001</v>
      </c>
      <c r="AA930">
        <v>0.72291666666666665</v>
      </c>
      <c r="AB930">
        <v>86455.05</v>
      </c>
      <c r="AC930">
        <v>1</v>
      </c>
      <c r="AD930" s="1" t="s">
        <v>40</v>
      </c>
      <c r="AE930">
        <v>1</v>
      </c>
      <c r="AF930">
        <v>0</v>
      </c>
      <c r="AG930">
        <v>7.8947368421052637</v>
      </c>
    </row>
    <row r="931" spans="1:33">
      <c r="A931" s="1" t="s">
        <v>939</v>
      </c>
      <c r="B931" s="1" t="s">
        <v>1997</v>
      </c>
      <c r="C931" s="2">
        <v>46229</v>
      </c>
      <c r="D931" s="1" t="s">
        <v>34</v>
      </c>
      <c r="E931">
        <v>115</v>
      </c>
      <c r="F931" s="2">
        <v>46081</v>
      </c>
      <c r="G931" s="1" t="s">
        <v>940</v>
      </c>
      <c r="H931" s="1" t="s">
        <v>837</v>
      </c>
      <c r="I931" s="1" t="s">
        <v>37</v>
      </c>
      <c r="J931" s="1" t="s">
        <v>916</v>
      </c>
      <c r="K931" s="1" t="s">
        <v>834</v>
      </c>
      <c r="L931">
        <v>50</v>
      </c>
      <c r="M931">
        <v>22.3</v>
      </c>
      <c r="N931">
        <v>28.1</v>
      </c>
      <c r="O931">
        <v>16</v>
      </c>
      <c r="P931">
        <v>1.0030000000000001E-2</v>
      </c>
      <c r="Q931">
        <v>1.92</v>
      </c>
      <c r="R931">
        <v>105.59</v>
      </c>
      <c r="S931">
        <v>16</v>
      </c>
      <c r="T931">
        <v>8</v>
      </c>
      <c r="U931">
        <v>128</v>
      </c>
      <c r="V931">
        <v>143</v>
      </c>
      <c r="W931">
        <v>270.76</v>
      </c>
      <c r="X931">
        <v>1.2838400000000001</v>
      </c>
      <c r="Y931">
        <v>2.2999999999999998</v>
      </c>
      <c r="Z931">
        <v>2.3068999999999999E-2</v>
      </c>
      <c r="AA931">
        <v>1.7968749999999999E-2</v>
      </c>
      <c r="AB931">
        <v>12142.85</v>
      </c>
      <c r="AC931">
        <v>1</v>
      </c>
      <c r="AD931" s="1" t="s">
        <v>44</v>
      </c>
      <c r="AE931">
        <v>0</v>
      </c>
      <c r="AF931">
        <v>1</v>
      </c>
      <c r="AG931">
        <v>4.8684210526315788</v>
      </c>
    </row>
    <row r="932" spans="1:33">
      <c r="A932" s="1" t="s">
        <v>939</v>
      </c>
      <c r="B932" s="1" t="s">
        <v>1998</v>
      </c>
      <c r="C932" s="2">
        <v>46787</v>
      </c>
      <c r="D932" s="1" t="s">
        <v>34</v>
      </c>
      <c r="E932">
        <v>218</v>
      </c>
      <c r="F932" s="2">
        <v>46081</v>
      </c>
      <c r="G932" s="1" t="s">
        <v>940</v>
      </c>
      <c r="H932" s="1" t="s">
        <v>837</v>
      </c>
      <c r="I932" s="1" t="s">
        <v>37</v>
      </c>
      <c r="J932" s="1" t="s">
        <v>916</v>
      </c>
      <c r="K932" s="1" t="s">
        <v>834</v>
      </c>
      <c r="L932">
        <v>50</v>
      </c>
      <c r="M932">
        <v>22.3</v>
      </c>
      <c r="N932">
        <v>28.1</v>
      </c>
      <c r="O932">
        <v>16</v>
      </c>
      <c r="P932">
        <v>1.0030000000000001E-2</v>
      </c>
      <c r="Q932">
        <v>1.92</v>
      </c>
      <c r="R932">
        <v>105.59</v>
      </c>
      <c r="S932">
        <v>16</v>
      </c>
      <c r="T932">
        <v>8</v>
      </c>
      <c r="U932">
        <v>128</v>
      </c>
      <c r="V932">
        <v>143</v>
      </c>
      <c r="W932">
        <v>270.76</v>
      </c>
      <c r="X932">
        <v>1.2838400000000001</v>
      </c>
      <c r="Y932">
        <v>4.3600000000000003</v>
      </c>
      <c r="Z932">
        <v>4.3730800000000007E-2</v>
      </c>
      <c r="AA932">
        <v>3.4062500000000002E-2</v>
      </c>
      <c r="AB932">
        <v>23018.62</v>
      </c>
      <c r="AC932">
        <v>1</v>
      </c>
      <c r="AD932" s="1" t="s">
        <v>44</v>
      </c>
      <c r="AE932">
        <v>0</v>
      </c>
      <c r="AF932">
        <v>1</v>
      </c>
      <c r="AG932">
        <v>23.223684210526319</v>
      </c>
    </row>
    <row r="933" spans="1:33">
      <c r="A933" s="1" t="s">
        <v>939</v>
      </c>
      <c r="B933" s="1" t="s">
        <v>1999</v>
      </c>
      <c r="C933" s="2">
        <v>46683</v>
      </c>
      <c r="D933" s="1" t="s">
        <v>45</v>
      </c>
      <c r="E933">
        <v>6</v>
      </c>
      <c r="F933" s="2">
        <v>46081</v>
      </c>
      <c r="G933" s="1" t="s">
        <v>940</v>
      </c>
      <c r="H933" s="1" t="s">
        <v>837</v>
      </c>
      <c r="I933" s="1" t="s">
        <v>37</v>
      </c>
      <c r="J933" s="1" t="s">
        <v>916</v>
      </c>
      <c r="K933" s="1" t="s">
        <v>834</v>
      </c>
      <c r="L933">
        <v>50</v>
      </c>
      <c r="M933">
        <v>22.3</v>
      </c>
      <c r="N933">
        <v>28.1</v>
      </c>
      <c r="O933">
        <v>16</v>
      </c>
      <c r="P933">
        <v>1.0030000000000001E-2</v>
      </c>
      <c r="Q933">
        <v>1.92</v>
      </c>
      <c r="R933">
        <v>105.59</v>
      </c>
      <c r="S933">
        <v>16</v>
      </c>
      <c r="T933">
        <v>8</v>
      </c>
      <c r="U933">
        <v>128</v>
      </c>
      <c r="V933">
        <v>143</v>
      </c>
      <c r="W933">
        <v>270.76</v>
      </c>
      <c r="X933">
        <v>1.2838400000000001</v>
      </c>
      <c r="Y933">
        <v>0.12</v>
      </c>
      <c r="Z933">
        <v>1.2036E-3</v>
      </c>
      <c r="AA933">
        <v>9.3749999999999997E-4</v>
      </c>
      <c r="AB933">
        <v>633.54</v>
      </c>
      <c r="AC933">
        <v>1</v>
      </c>
      <c r="AD933" s="1" t="s">
        <v>44</v>
      </c>
      <c r="AE933">
        <v>0</v>
      </c>
      <c r="AF933">
        <v>1</v>
      </c>
      <c r="AG933">
        <v>19.80263157894737</v>
      </c>
    </row>
    <row r="934" spans="1:33">
      <c r="A934" s="1" t="s">
        <v>941</v>
      </c>
      <c r="B934" s="1" t="s">
        <v>2000</v>
      </c>
      <c r="C934" s="2">
        <v>46240</v>
      </c>
      <c r="D934" s="1" t="s">
        <v>34</v>
      </c>
      <c r="E934">
        <v>4412</v>
      </c>
      <c r="F934" s="2">
        <v>46081</v>
      </c>
      <c r="G934" s="1" t="s">
        <v>942</v>
      </c>
      <c r="H934" s="1" t="s">
        <v>837</v>
      </c>
      <c r="I934" s="1" t="s">
        <v>37</v>
      </c>
      <c r="J934" s="1" t="s">
        <v>916</v>
      </c>
      <c r="K934" s="1" t="s">
        <v>834</v>
      </c>
      <c r="L934">
        <v>50</v>
      </c>
      <c r="M934">
        <v>24.3</v>
      </c>
      <c r="N934">
        <v>28.9</v>
      </c>
      <c r="O934">
        <v>14.6</v>
      </c>
      <c r="P934">
        <v>1.025E-2</v>
      </c>
      <c r="Q934">
        <v>2.71</v>
      </c>
      <c r="R934">
        <v>49.97</v>
      </c>
      <c r="S934">
        <v>14</v>
      </c>
      <c r="T934">
        <v>10</v>
      </c>
      <c r="U934">
        <v>140</v>
      </c>
      <c r="V934">
        <v>161</v>
      </c>
      <c r="W934">
        <v>404.4</v>
      </c>
      <c r="X934">
        <v>1.4350000000000001</v>
      </c>
      <c r="Y934">
        <v>88.24</v>
      </c>
      <c r="Z934">
        <v>0.90445999999999993</v>
      </c>
      <c r="AA934">
        <v>0.63028571428571423</v>
      </c>
      <c r="AB934">
        <v>220467.63999999998</v>
      </c>
      <c r="AC934">
        <v>1</v>
      </c>
      <c r="AD934" s="1" t="s">
        <v>40</v>
      </c>
      <c r="AE934">
        <v>1</v>
      </c>
      <c r="AF934">
        <v>0</v>
      </c>
      <c r="AG934">
        <v>5.2302631578947372</v>
      </c>
    </row>
    <row r="935" spans="1:33">
      <c r="A935" s="1" t="s">
        <v>943</v>
      </c>
      <c r="B935" s="1" t="s">
        <v>2001</v>
      </c>
      <c r="C935" s="2">
        <v>46345</v>
      </c>
      <c r="D935" s="1" t="s">
        <v>34</v>
      </c>
      <c r="E935">
        <v>190</v>
      </c>
      <c r="F935" s="2">
        <v>46081</v>
      </c>
      <c r="G935" s="1" t="s">
        <v>944</v>
      </c>
      <c r="H935" s="1" t="s">
        <v>837</v>
      </c>
      <c r="I935" s="1" t="s">
        <v>37</v>
      </c>
      <c r="J935" s="1" t="s">
        <v>916</v>
      </c>
      <c r="K935" s="1" t="s">
        <v>834</v>
      </c>
      <c r="L935">
        <v>20</v>
      </c>
      <c r="M935">
        <v>21.4</v>
      </c>
      <c r="N935">
        <v>20.7</v>
      </c>
      <c r="O935">
        <v>18.2</v>
      </c>
      <c r="P935">
        <v>8.0599999999999995E-3</v>
      </c>
      <c r="Q935">
        <v>1.92</v>
      </c>
      <c r="R935">
        <v>78.459999999999994</v>
      </c>
      <c r="S935">
        <v>19</v>
      </c>
      <c r="T935">
        <v>6</v>
      </c>
      <c r="U935">
        <v>114</v>
      </c>
      <c r="V935">
        <v>124.2</v>
      </c>
      <c r="W935">
        <v>243.88</v>
      </c>
      <c r="X935">
        <v>0.91883999999999999</v>
      </c>
      <c r="Y935">
        <v>9.5</v>
      </c>
      <c r="Z935">
        <v>7.6569999999999999E-2</v>
      </c>
      <c r="AA935">
        <v>8.3333333333333329E-2</v>
      </c>
      <c r="AB935">
        <v>14907.4</v>
      </c>
      <c r="AC935">
        <v>1</v>
      </c>
      <c r="AD935" s="1" t="s">
        <v>44</v>
      </c>
      <c r="AE935">
        <v>0</v>
      </c>
      <c r="AF935">
        <v>1</v>
      </c>
      <c r="AG935">
        <v>8.6842105263157894</v>
      </c>
    </row>
    <row r="936" spans="1:33">
      <c r="A936" s="1" t="s">
        <v>943</v>
      </c>
      <c r="B936" s="1" t="s">
        <v>2002</v>
      </c>
      <c r="C936" s="2">
        <v>46536</v>
      </c>
      <c r="D936" s="1" t="s">
        <v>45</v>
      </c>
      <c r="E936">
        <v>3</v>
      </c>
      <c r="F936" s="2">
        <v>46081</v>
      </c>
      <c r="G936" s="1" t="s">
        <v>944</v>
      </c>
      <c r="H936" s="1" t="s">
        <v>837</v>
      </c>
      <c r="I936" s="1" t="s">
        <v>37</v>
      </c>
      <c r="J936" s="1" t="s">
        <v>916</v>
      </c>
      <c r="K936" s="1" t="s">
        <v>834</v>
      </c>
      <c r="L936">
        <v>20</v>
      </c>
      <c r="M936">
        <v>21.4</v>
      </c>
      <c r="N936">
        <v>20.7</v>
      </c>
      <c r="O936">
        <v>18.2</v>
      </c>
      <c r="P936">
        <v>8.0599999999999995E-3</v>
      </c>
      <c r="Q936">
        <v>1.92</v>
      </c>
      <c r="R936">
        <v>78.459999999999994</v>
      </c>
      <c r="S936">
        <v>19</v>
      </c>
      <c r="T936">
        <v>6</v>
      </c>
      <c r="U936">
        <v>114</v>
      </c>
      <c r="V936">
        <v>124.2</v>
      </c>
      <c r="W936">
        <v>243.88</v>
      </c>
      <c r="X936">
        <v>0.91883999999999999</v>
      </c>
      <c r="Y936">
        <v>0.15</v>
      </c>
      <c r="Z936">
        <v>1.2089999999999998E-3</v>
      </c>
      <c r="AA936">
        <v>1.3157894736842105E-3</v>
      </c>
      <c r="AB936">
        <v>235.38</v>
      </c>
      <c r="AC936">
        <v>1</v>
      </c>
      <c r="AD936" s="1" t="s">
        <v>44</v>
      </c>
      <c r="AE936">
        <v>0</v>
      </c>
      <c r="AF936">
        <v>1</v>
      </c>
      <c r="AG936">
        <v>14.967105263157896</v>
      </c>
    </row>
    <row r="937" spans="1:33">
      <c r="A937" s="1" t="s">
        <v>945</v>
      </c>
      <c r="B937" s="1" t="s">
        <v>2003</v>
      </c>
      <c r="C937" s="2">
        <v>46610</v>
      </c>
      <c r="D937" s="1" t="s">
        <v>34</v>
      </c>
      <c r="E937">
        <v>261</v>
      </c>
      <c r="F937" s="2">
        <v>46081</v>
      </c>
      <c r="G937" s="1" t="s">
        <v>946</v>
      </c>
      <c r="H937" s="1" t="s">
        <v>837</v>
      </c>
      <c r="I937" s="1" t="s">
        <v>37</v>
      </c>
      <c r="J937" s="1" t="s">
        <v>916</v>
      </c>
      <c r="K937" s="1" t="s">
        <v>834</v>
      </c>
      <c r="L937">
        <v>10</v>
      </c>
      <c r="M937">
        <v>34.299999999999997</v>
      </c>
      <c r="N937">
        <v>19.5</v>
      </c>
      <c r="O937">
        <v>18.2</v>
      </c>
      <c r="P937">
        <v>1.217E-2</v>
      </c>
      <c r="Q937">
        <v>1.95</v>
      </c>
      <c r="R937">
        <v>84.83</v>
      </c>
      <c r="S937">
        <v>14</v>
      </c>
      <c r="T937">
        <v>6</v>
      </c>
      <c r="U937">
        <v>84</v>
      </c>
      <c r="V937">
        <v>124.2</v>
      </c>
      <c r="W937">
        <v>188.8</v>
      </c>
      <c r="X937">
        <v>1.0222800000000001</v>
      </c>
      <c r="Y937">
        <v>26.1</v>
      </c>
      <c r="Z937">
        <v>0.317637</v>
      </c>
      <c r="AA937">
        <v>0.31071428571428572</v>
      </c>
      <c r="AB937">
        <v>22140.63</v>
      </c>
      <c r="AC937">
        <v>1</v>
      </c>
      <c r="AD937" s="1" t="s">
        <v>40</v>
      </c>
      <c r="AE937">
        <v>1</v>
      </c>
      <c r="AF937">
        <v>0</v>
      </c>
      <c r="AG937">
        <v>17.401315789473685</v>
      </c>
    </row>
    <row r="938" spans="1:33">
      <c r="A938" s="1" t="s">
        <v>945</v>
      </c>
      <c r="B938" s="1" t="s">
        <v>2004</v>
      </c>
      <c r="C938" s="2">
        <v>46740</v>
      </c>
      <c r="D938" s="1" t="s">
        <v>34</v>
      </c>
      <c r="E938">
        <v>2969</v>
      </c>
      <c r="F938" s="2">
        <v>46081</v>
      </c>
      <c r="G938" s="1" t="s">
        <v>946</v>
      </c>
      <c r="H938" s="1" t="s">
        <v>837</v>
      </c>
      <c r="I938" s="1" t="s">
        <v>37</v>
      </c>
      <c r="J938" s="1" t="s">
        <v>916</v>
      </c>
      <c r="K938" s="1" t="s">
        <v>834</v>
      </c>
      <c r="L938">
        <v>10</v>
      </c>
      <c r="M938">
        <v>34.299999999999997</v>
      </c>
      <c r="N938">
        <v>19.5</v>
      </c>
      <c r="O938">
        <v>18.2</v>
      </c>
      <c r="P938">
        <v>1.217E-2</v>
      </c>
      <c r="Q938">
        <v>1.95</v>
      </c>
      <c r="R938">
        <v>84.83</v>
      </c>
      <c r="S938">
        <v>14</v>
      </c>
      <c r="T938">
        <v>6</v>
      </c>
      <c r="U938">
        <v>84</v>
      </c>
      <c r="V938">
        <v>124.2</v>
      </c>
      <c r="W938">
        <v>188.8</v>
      </c>
      <c r="X938">
        <v>1.0222800000000001</v>
      </c>
      <c r="Y938">
        <v>296.89999999999998</v>
      </c>
      <c r="Z938">
        <v>3.613273</v>
      </c>
      <c r="AA938">
        <v>3.5345238095238094</v>
      </c>
      <c r="AB938">
        <v>251860.27</v>
      </c>
      <c r="AC938">
        <v>4</v>
      </c>
      <c r="AD938" s="1" t="s">
        <v>40</v>
      </c>
      <c r="AE938">
        <v>4</v>
      </c>
      <c r="AF938">
        <v>0</v>
      </c>
      <c r="AG938">
        <v>21.67763157894737</v>
      </c>
    </row>
    <row r="939" spans="1:33">
      <c r="A939" s="1" t="s">
        <v>947</v>
      </c>
      <c r="B939" s="1" t="s">
        <v>2005</v>
      </c>
      <c r="C939" s="2">
        <v>46764</v>
      </c>
      <c r="D939" s="1" t="s">
        <v>34</v>
      </c>
      <c r="E939">
        <v>611</v>
      </c>
      <c r="F939" s="2">
        <v>46081</v>
      </c>
      <c r="G939" s="1" t="s">
        <v>948</v>
      </c>
      <c r="H939" s="1" t="s">
        <v>837</v>
      </c>
      <c r="I939" s="1" t="s">
        <v>37</v>
      </c>
      <c r="J939" s="1" t="s">
        <v>916</v>
      </c>
      <c r="K939" s="1" t="s">
        <v>834</v>
      </c>
      <c r="L939">
        <v>50</v>
      </c>
      <c r="M939">
        <v>23.8</v>
      </c>
      <c r="N939">
        <v>20.9</v>
      </c>
      <c r="O939">
        <v>16.899999999999999</v>
      </c>
      <c r="P939">
        <v>8.4100000000000008E-3</v>
      </c>
      <c r="Q939">
        <v>1.38</v>
      </c>
      <c r="R939">
        <v>46.14</v>
      </c>
      <c r="S939">
        <v>20</v>
      </c>
      <c r="T939">
        <v>8</v>
      </c>
      <c r="U939">
        <v>160</v>
      </c>
      <c r="V939">
        <v>150.19999999999999</v>
      </c>
      <c r="W939">
        <v>245.8</v>
      </c>
      <c r="X939">
        <v>1.3455999999999999</v>
      </c>
      <c r="Y939">
        <v>12.22</v>
      </c>
      <c r="Z939">
        <v>0.10277020000000002</v>
      </c>
      <c r="AA939">
        <v>7.6374999999999998E-2</v>
      </c>
      <c r="AB939">
        <v>28191.54</v>
      </c>
      <c r="AC939">
        <v>1</v>
      </c>
      <c r="AD939" s="1" t="s">
        <v>44</v>
      </c>
      <c r="AE939">
        <v>0</v>
      </c>
      <c r="AF939">
        <v>1</v>
      </c>
      <c r="AG939">
        <v>22.467105263157897</v>
      </c>
    </row>
    <row r="940" spans="1:33">
      <c r="A940" s="1" t="s">
        <v>947</v>
      </c>
      <c r="B940" s="1" t="s">
        <v>2006</v>
      </c>
      <c r="C940" s="2">
        <v>46422</v>
      </c>
      <c r="D940" s="1" t="s">
        <v>34</v>
      </c>
      <c r="E940">
        <v>581</v>
      </c>
      <c r="F940" s="2">
        <v>46081</v>
      </c>
      <c r="G940" s="1" t="s">
        <v>948</v>
      </c>
      <c r="H940" s="1" t="s">
        <v>837</v>
      </c>
      <c r="I940" s="1" t="s">
        <v>37</v>
      </c>
      <c r="J940" s="1" t="s">
        <v>916</v>
      </c>
      <c r="K940" s="1" t="s">
        <v>834</v>
      </c>
      <c r="L940">
        <v>50</v>
      </c>
      <c r="M940">
        <v>23.8</v>
      </c>
      <c r="N940">
        <v>20.9</v>
      </c>
      <c r="O940">
        <v>16.899999999999999</v>
      </c>
      <c r="P940">
        <v>8.4100000000000008E-3</v>
      </c>
      <c r="Q940">
        <v>1.38</v>
      </c>
      <c r="R940">
        <v>46.14</v>
      </c>
      <c r="S940">
        <v>20</v>
      </c>
      <c r="T940">
        <v>8</v>
      </c>
      <c r="U940">
        <v>160</v>
      </c>
      <c r="V940">
        <v>150.19999999999999</v>
      </c>
      <c r="W940">
        <v>245.8</v>
      </c>
      <c r="X940">
        <v>1.3455999999999999</v>
      </c>
      <c r="Y940">
        <v>11.62</v>
      </c>
      <c r="Z940">
        <v>9.7724199999999997E-2</v>
      </c>
      <c r="AA940">
        <v>7.2624999999999995E-2</v>
      </c>
      <c r="AB940">
        <v>26807.34</v>
      </c>
      <c r="AC940">
        <v>1</v>
      </c>
      <c r="AD940" s="1" t="s">
        <v>44</v>
      </c>
      <c r="AE940">
        <v>0</v>
      </c>
      <c r="AF940">
        <v>1</v>
      </c>
      <c r="AG940">
        <v>11.217105263157896</v>
      </c>
    </row>
    <row r="941" spans="1:33">
      <c r="A941" s="1" t="s">
        <v>947</v>
      </c>
      <c r="B941" s="1" t="s">
        <v>2007</v>
      </c>
      <c r="C941" s="2">
        <v>46631</v>
      </c>
      <c r="D941" s="1" t="s">
        <v>49</v>
      </c>
      <c r="E941">
        <v>59</v>
      </c>
      <c r="F941" s="2">
        <v>46081</v>
      </c>
      <c r="G941" s="1" t="s">
        <v>948</v>
      </c>
      <c r="H941" s="1" t="s">
        <v>837</v>
      </c>
      <c r="I941" s="1" t="s">
        <v>37</v>
      </c>
      <c r="J941" s="1" t="s">
        <v>916</v>
      </c>
      <c r="K941" s="1" t="s">
        <v>834</v>
      </c>
      <c r="L941">
        <v>50</v>
      </c>
      <c r="M941">
        <v>23.8</v>
      </c>
      <c r="N941">
        <v>20.9</v>
      </c>
      <c r="O941">
        <v>16.899999999999999</v>
      </c>
      <c r="P941">
        <v>8.4100000000000008E-3</v>
      </c>
      <c r="Q941">
        <v>1.38</v>
      </c>
      <c r="R941">
        <v>46.14</v>
      </c>
      <c r="S941">
        <v>20</v>
      </c>
      <c r="T941">
        <v>8</v>
      </c>
      <c r="U941">
        <v>160</v>
      </c>
      <c r="V941">
        <v>150.19999999999999</v>
      </c>
      <c r="W941">
        <v>245.8</v>
      </c>
      <c r="X941">
        <v>1.3455999999999999</v>
      </c>
      <c r="Y941">
        <v>1.18</v>
      </c>
      <c r="Z941">
        <v>9.9238E-3</v>
      </c>
      <c r="AA941">
        <v>7.3749999999999996E-3</v>
      </c>
      <c r="AB941">
        <v>2722.26</v>
      </c>
      <c r="AC941">
        <v>1</v>
      </c>
      <c r="AD941" s="1" t="s">
        <v>44</v>
      </c>
      <c r="AE941">
        <v>0</v>
      </c>
      <c r="AF941">
        <v>1</v>
      </c>
      <c r="AG941">
        <v>18.092105263157897</v>
      </c>
    </row>
    <row r="942" spans="1:33">
      <c r="A942" s="1" t="s">
        <v>949</v>
      </c>
      <c r="B942" s="1" t="s">
        <v>2008</v>
      </c>
      <c r="C942" s="2">
        <v>46172</v>
      </c>
      <c r="D942" s="1" t="s">
        <v>34</v>
      </c>
      <c r="E942">
        <v>36</v>
      </c>
      <c r="F942" s="2">
        <v>46081</v>
      </c>
      <c r="G942" s="1" t="s">
        <v>950</v>
      </c>
      <c r="H942" s="1" t="s">
        <v>837</v>
      </c>
      <c r="I942" s="1" t="s">
        <v>37</v>
      </c>
      <c r="J942" s="1" t="s">
        <v>916</v>
      </c>
      <c r="K942" s="1" t="s">
        <v>834</v>
      </c>
      <c r="L942">
        <v>20</v>
      </c>
      <c r="M942">
        <v>34.4</v>
      </c>
      <c r="N942">
        <v>19.600000000000001</v>
      </c>
      <c r="O942">
        <v>18.2</v>
      </c>
      <c r="P942">
        <v>1.227E-2</v>
      </c>
      <c r="Q942">
        <v>2.92</v>
      </c>
      <c r="R942">
        <v>21.35</v>
      </c>
      <c r="S942">
        <v>15</v>
      </c>
      <c r="T942">
        <v>4</v>
      </c>
      <c r="U942">
        <v>60</v>
      </c>
      <c r="V942">
        <v>87.8</v>
      </c>
      <c r="W942">
        <v>200.2</v>
      </c>
      <c r="X942">
        <v>0.73619999999999997</v>
      </c>
      <c r="Y942">
        <v>1.8</v>
      </c>
      <c r="Z942">
        <v>2.2086000000000001E-2</v>
      </c>
      <c r="AA942">
        <v>3.0000000000000002E-2</v>
      </c>
      <c r="AB942">
        <v>768.6</v>
      </c>
      <c r="AC942">
        <v>1</v>
      </c>
      <c r="AD942" s="1" t="s">
        <v>44</v>
      </c>
      <c r="AE942">
        <v>0</v>
      </c>
      <c r="AF942">
        <v>1</v>
      </c>
      <c r="AG942">
        <v>2.9934210526315792</v>
      </c>
    </row>
    <row r="943" spans="1:33">
      <c r="A943" s="1" t="s">
        <v>949</v>
      </c>
      <c r="B943" s="1" t="s">
        <v>2009</v>
      </c>
      <c r="C943" s="2">
        <v>46911</v>
      </c>
      <c r="D943" s="1" t="s">
        <v>34</v>
      </c>
      <c r="E943">
        <v>278</v>
      </c>
      <c r="F943" s="2">
        <v>46081</v>
      </c>
      <c r="G943" s="1" t="s">
        <v>950</v>
      </c>
      <c r="H943" s="1" t="s">
        <v>837</v>
      </c>
      <c r="I943" s="1" t="s">
        <v>37</v>
      </c>
      <c r="J943" s="1" t="s">
        <v>916</v>
      </c>
      <c r="K943" s="1" t="s">
        <v>834</v>
      </c>
      <c r="L943">
        <v>20</v>
      </c>
      <c r="M943">
        <v>34.4</v>
      </c>
      <c r="N943">
        <v>19.600000000000001</v>
      </c>
      <c r="O943">
        <v>18.2</v>
      </c>
      <c r="P943">
        <v>1.227E-2</v>
      </c>
      <c r="Q943">
        <v>2.92</v>
      </c>
      <c r="R943">
        <v>21.35</v>
      </c>
      <c r="S943">
        <v>15</v>
      </c>
      <c r="T943">
        <v>4</v>
      </c>
      <c r="U943">
        <v>60</v>
      </c>
      <c r="V943">
        <v>87.8</v>
      </c>
      <c r="W943">
        <v>200.2</v>
      </c>
      <c r="X943">
        <v>0.73619999999999997</v>
      </c>
      <c r="Y943">
        <v>13.9</v>
      </c>
      <c r="Z943">
        <v>0.17055300000000001</v>
      </c>
      <c r="AA943">
        <v>0.23166666666666666</v>
      </c>
      <c r="AB943">
        <v>5935.3</v>
      </c>
      <c r="AC943">
        <v>1</v>
      </c>
      <c r="AD943" s="1" t="s">
        <v>44</v>
      </c>
      <c r="AE943">
        <v>0</v>
      </c>
      <c r="AF943">
        <v>1</v>
      </c>
      <c r="AG943">
        <v>27.30263157894737</v>
      </c>
    </row>
    <row r="944" spans="1:33">
      <c r="A944" s="1" t="s">
        <v>951</v>
      </c>
      <c r="B944" s="1" t="s">
        <v>2010</v>
      </c>
      <c r="C944" s="2">
        <v>47135</v>
      </c>
      <c r="D944" s="1" t="s">
        <v>34</v>
      </c>
      <c r="E944">
        <v>63</v>
      </c>
      <c r="F944" s="2">
        <v>46081</v>
      </c>
      <c r="G944" s="1" t="s">
        <v>952</v>
      </c>
      <c r="H944" s="1" t="s">
        <v>837</v>
      </c>
      <c r="I944" s="1" t="s">
        <v>37</v>
      </c>
      <c r="J944" s="1" t="s">
        <v>916</v>
      </c>
      <c r="K944" s="1" t="s">
        <v>834</v>
      </c>
      <c r="L944">
        <v>50</v>
      </c>
      <c r="M944">
        <v>31</v>
      </c>
      <c r="N944">
        <v>29.4</v>
      </c>
      <c r="O944">
        <v>23.3</v>
      </c>
      <c r="P944">
        <v>2.1239999999999998E-2</v>
      </c>
      <c r="Q944">
        <v>3.73</v>
      </c>
      <c r="R944">
        <v>104.28</v>
      </c>
      <c r="S944">
        <v>11</v>
      </c>
      <c r="T944">
        <v>5</v>
      </c>
      <c r="U944">
        <v>55</v>
      </c>
      <c r="V944">
        <v>131.5</v>
      </c>
      <c r="W944">
        <v>230.15</v>
      </c>
      <c r="X944">
        <v>1.1681999999999999</v>
      </c>
      <c r="Y944">
        <v>1.26</v>
      </c>
      <c r="Z944">
        <v>2.6762399999999999E-2</v>
      </c>
      <c r="AA944">
        <v>2.290909090909091E-2</v>
      </c>
      <c r="AB944">
        <v>6569.64</v>
      </c>
      <c r="AC944">
        <v>1</v>
      </c>
      <c r="AD944" s="1" t="s">
        <v>44</v>
      </c>
      <c r="AE944">
        <v>0</v>
      </c>
      <c r="AF944">
        <v>1</v>
      </c>
      <c r="AG944">
        <v>34.671052631578952</v>
      </c>
    </row>
    <row r="945" spans="1:33">
      <c r="A945" s="1" t="s">
        <v>951</v>
      </c>
      <c r="B945" s="1" t="s">
        <v>2011</v>
      </c>
      <c r="C945" s="2">
        <v>47037</v>
      </c>
      <c r="D945" s="1" t="s">
        <v>34</v>
      </c>
      <c r="E945">
        <v>86</v>
      </c>
      <c r="F945" s="2">
        <v>46081</v>
      </c>
      <c r="G945" s="1" t="s">
        <v>952</v>
      </c>
      <c r="H945" s="1" t="s">
        <v>837</v>
      </c>
      <c r="I945" s="1" t="s">
        <v>37</v>
      </c>
      <c r="J945" s="1" t="s">
        <v>916</v>
      </c>
      <c r="K945" s="1" t="s">
        <v>834</v>
      </c>
      <c r="L945">
        <v>50</v>
      </c>
      <c r="M945">
        <v>31</v>
      </c>
      <c r="N945">
        <v>29.4</v>
      </c>
      <c r="O945">
        <v>23.3</v>
      </c>
      <c r="P945">
        <v>2.1239999999999998E-2</v>
      </c>
      <c r="Q945">
        <v>3.73</v>
      </c>
      <c r="R945">
        <v>104.28</v>
      </c>
      <c r="S945">
        <v>11</v>
      </c>
      <c r="T945">
        <v>5</v>
      </c>
      <c r="U945">
        <v>55</v>
      </c>
      <c r="V945">
        <v>131.5</v>
      </c>
      <c r="W945">
        <v>230.15</v>
      </c>
      <c r="X945">
        <v>1.1681999999999999</v>
      </c>
      <c r="Y945">
        <v>1.72</v>
      </c>
      <c r="Z945">
        <v>3.6532799999999997E-2</v>
      </c>
      <c r="AA945">
        <v>3.1272727272727271E-2</v>
      </c>
      <c r="AB945">
        <v>8968.08</v>
      </c>
      <c r="AC945">
        <v>1</v>
      </c>
      <c r="AD945" s="1" t="s">
        <v>44</v>
      </c>
      <c r="AE945">
        <v>0</v>
      </c>
      <c r="AF945">
        <v>1</v>
      </c>
      <c r="AG945">
        <v>31.447368421052634</v>
      </c>
    </row>
    <row r="946" spans="1:33">
      <c r="A946" s="1" t="s">
        <v>953</v>
      </c>
      <c r="B946" s="1" t="s">
        <v>2012</v>
      </c>
      <c r="C946" s="2">
        <v>46236</v>
      </c>
      <c r="D946" s="1" t="s">
        <v>34</v>
      </c>
      <c r="E946">
        <v>38983</v>
      </c>
      <c r="F946" s="2">
        <v>46081</v>
      </c>
      <c r="G946" s="1" t="s">
        <v>954</v>
      </c>
      <c r="H946" s="1" t="s">
        <v>48</v>
      </c>
      <c r="I946" s="1" t="s">
        <v>37</v>
      </c>
      <c r="J946" s="1" t="s">
        <v>955</v>
      </c>
      <c r="K946" s="1" t="s">
        <v>39</v>
      </c>
      <c r="L946">
        <v>72</v>
      </c>
      <c r="M946">
        <v>41.8</v>
      </c>
      <c r="N946">
        <v>35</v>
      </c>
      <c r="O946">
        <v>24</v>
      </c>
      <c r="P946">
        <v>3.5110000000000002E-2</v>
      </c>
      <c r="Q946">
        <v>10.94</v>
      </c>
      <c r="R946">
        <v>13.63</v>
      </c>
      <c r="S946">
        <v>6</v>
      </c>
      <c r="T946">
        <v>3</v>
      </c>
      <c r="U946">
        <v>18</v>
      </c>
      <c r="V946">
        <v>87</v>
      </c>
      <c r="W946">
        <v>221.92</v>
      </c>
      <c r="X946">
        <v>0.63197999999999999</v>
      </c>
      <c r="Y946">
        <v>541.43055555555554</v>
      </c>
      <c r="Z946">
        <v>19.009626805555556</v>
      </c>
      <c r="AA946">
        <v>30.079475308641975</v>
      </c>
      <c r="AB946">
        <v>531338.29</v>
      </c>
      <c r="AC946">
        <v>31</v>
      </c>
      <c r="AD946" s="1" t="s">
        <v>40</v>
      </c>
      <c r="AE946">
        <v>31</v>
      </c>
      <c r="AF946">
        <v>0</v>
      </c>
      <c r="AG946">
        <v>5.0986842105263159</v>
      </c>
    </row>
    <row r="947" spans="1:33">
      <c r="A947" s="1" t="s">
        <v>956</v>
      </c>
      <c r="B947" s="1" t="s">
        <v>2013</v>
      </c>
      <c r="C947" s="2">
        <v>46605</v>
      </c>
      <c r="D947" s="1" t="s">
        <v>34</v>
      </c>
      <c r="E947">
        <v>16557</v>
      </c>
      <c r="F947" s="2">
        <v>46081</v>
      </c>
      <c r="G947" s="1" t="s">
        <v>957</v>
      </c>
      <c r="H947" s="1" t="s">
        <v>577</v>
      </c>
      <c r="I947" s="1" t="s">
        <v>37</v>
      </c>
      <c r="J947" s="1" t="s">
        <v>955</v>
      </c>
      <c r="K947" s="1" t="s">
        <v>39</v>
      </c>
      <c r="L947">
        <v>96</v>
      </c>
      <c r="M947">
        <v>44.8</v>
      </c>
      <c r="N947">
        <v>24.3</v>
      </c>
      <c r="O947">
        <v>16.600000000000001</v>
      </c>
      <c r="P947">
        <v>1.8069999999999999E-2</v>
      </c>
      <c r="Q947">
        <v>6.49</v>
      </c>
      <c r="R947">
        <v>4.3499999999999996</v>
      </c>
      <c r="S947">
        <v>8</v>
      </c>
      <c r="T947">
        <v>5</v>
      </c>
      <c r="U947">
        <v>40</v>
      </c>
      <c r="V947">
        <v>98</v>
      </c>
      <c r="W947">
        <v>284.60000000000002</v>
      </c>
      <c r="X947">
        <v>0.7228</v>
      </c>
      <c r="Y947">
        <v>172.46875</v>
      </c>
      <c r="Z947">
        <v>3.1165103125</v>
      </c>
      <c r="AA947">
        <v>4.3117187499999998</v>
      </c>
      <c r="AB947">
        <v>72022.95</v>
      </c>
      <c r="AC947">
        <v>5</v>
      </c>
      <c r="AD947" s="1" t="s">
        <v>40</v>
      </c>
      <c r="AE947">
        <v>5</v>
      </c>
      <c r="AF947">
        <v>0</v>
      </c>
      <c r="AG947">
        <v>17.236842105263158</v>
      </c>
    </row>
    <row r="948" spans="1:33">
      <c r="A948" s="1" t="s">
        <v>958</v>
      </c>
      <c r="B948" s="1" t="s">
        <v>2014</v>
      </c>
      <c r="C948" s="2">
        <v>46293</v>
      </c>
      <c r="D948" s="1" t="s">
        <v>34</v>
      </c>
      <c r="E948">
        <v>52</v>
      </c>
      <c r="F948" s="2">
        <v>46081</v>
      </c>
      <c r="G948" s="1" t="s">
        <v>959</v>
      </c>
      <c r="H948" s="1" t="s">
        <v>960</v>
      </c>
      <c r="I948" s="1" t="s">
        <v>37</v>
      </c>
      <c r="J948" s="1" t="s">
        <v>955</v>
      </c>
      <c r="K948" s="1" t="s">
        <v>39</v>
      </c>
      <c r="L948">
        <v>72</v>
      </c>
      <c r="M948">
        <v>43.6</v>
      </c>
      <c r="N948">
        <v>21.5</v>
      </c>
      <c r="O948">
        <v>21.7</v>
      </c>
      <c r="P948">
        <v>2.034E-2</v>
      </c>
      <c r="Q948">
        <v>9.34</v>
      </c>
      <c r="R948">
        <v>6.13</v>
      </c>
      <c r="S948">
        <v>10</v>
      </c>
      <c r="T948">
        <v>5</v>
      </c>
      <c r="U948">
        <v>50</v>
      </c>
      <c r="V948">
        <v>123.5</v>
      </c>
      <c r="W948">
        <v>492</v>
      </c>
      <c r="X948">
        <v>1.0169999999999999</v>
      </c>
      <c r="Y948">
        <v>0.72222222222222221</v>
      </c>
      <c r="Z948">
        <v>1.469E-2</v>
      </c>
      <c r="AA948">
        <v>1.4444444444444444E-2</v>
      </c>
      <c r="AB948">
        <v>318.76</v>
      </c>
      <c r="AC948">
        <v>1</v>
      </c>
      <c r="AD948" s="1" t="s">
        <v>44</v>
      </c>
      <c r="AE948">
        <v>0</v>
      </c>
      <c r="AF948">
        <v>1</v>
      </c>
      <c r="AG948">
        <v>6.9736842105263159</v>
      </c>
    </row>
    <row r="949" spans="1:33">
      <c r="A949" s="1" t="s">
        <v>958</v>
      </c>
      <c r="B949" s="1" t="s">
        <v>2015</v>
      </c>
      <c r="C949" s="2">
        <v>47149</v>
      </c>
      <c r="D949" s="1" t="s">
        <v>34</v>
      </c>
      <c r="E949">
        <v>4</v>
      </c>
      <c r="F949" s="2">
        <v>46081</v>
      </c>
      <c r="G949" s="1" t="s">
        <v>959</v>
      </c>
      <c r="H949" s="1" t="s">
        <v>960</v>
      </c>
      <c r="I949" s="1" t="s">
        <v>37</v>
      </c>
      <c r="J949" s="1" t="s">
        <v>955</v>
      </c>
      <c r="K949" s="1" t="s">
        <v>39</v>
      </c>
      <c r="L949">
        <v>72</v>
      </c>
      <c r="M949">
        <v>43.6</v>
      </c>
      <c r="N949">
        <v>21.5</v>
      </c>
      <c r="O949">
        <v>21.7</v>
      </c>
      <c r="P949">
        <v>2.034E-2</v>
      </c>
      <c r="Q949">
        <v>9.34</v>
      </c>
      <c r="R949">
        <v>6.13</v>
      </c>
      <c r="S949">
        <v>10</v>
      </c>
      <c r="T949">
        <v>5</v>
      </c>
      <c r="U949">
        <v>50</v>
      </c>
      <c r="V949">
        <v>123.5</v>
      </c>
      <c r="W949">
        <v>492</v>
      </c>
      <c r="X949">
        <v>1.0169999999999999</v>
      </c>
      <c r="Y949">
        <v>5.5555555555555552E-2</v>
      </c>
      <c r="Z949">
        <v>1.1299999999999999E-3</v>
      </c>
      <c r="AA949">
        <v>1.1111111111111111E-3</v>
      </c>
      <c r="AB949">
        <v>24.52</v>
      </c>
      <c r="AC949">
        <v>1</v>
      </c>
      <c r="AD949" s="1" t="s">
        <v>44</v>
      </c>
      <c r="AE949">
        <v>0</v>
      </c>
      <c r="AF949">
        <v>1</v>
      </c>
      <c r="AG949">
        <v>35.131578947368425</v>
      </c>
    </row>
    <row r="950" spans="1:33">
      <c r="A950" s="1" t="s">
        <v>961</v>
      </c>
      <c r="B950" s="1" t="s">
        <v>2016</v>
      </c>
      <c r="C950" s="2">
        <v>46292</v>
      </c>
      <c r="D950" s="1" t="s">
        <v>34</v>
      </c>
      <c r="E950">
        <v>1400</v>
      </c>
      <c r="F950" s="2">
        <v>46081</v>
      </c>
      <c r="G950" s="1" t="s">
        <v>962</v>
      </c>
      <c r="H950" s="1" t="s">
        <v>960</v>
      </c>
      <c r="I950" s="1" t="s">
        <v>37</v>
      </c>
      <c r="J950" s="1" t="s">
        <v>955</v>
      </c>
      <c r="K950" s="1" t="s">
        <v>39</v>
      </c>
      <c r="L950">
        <v>96</v>
      </c>
      <c r="M950">
        <v>33.799999999999997</v>
      </c>
      <c r="N950">
        <v>24.5</v>
      </c>
      <c r="O950">
        <v>20.3</v>
      </c>
      <c r="P950">
        <v>1.6809999999999999E-2</v>
      </c>
      <c r="Q950">
        <v>5.4</v>
      </c>
      <c r="R950">
        <v>10.53</v>
      </c>
      <c r="S950">
        <v>12</v>
      </c>
      <c r="T950">
        <v>5</v>
      </c>
      <c r="U950">
        <v>60</v>
      </c>
      <c r="V950">
        <v>116.5</v>
      </c>
      <c r="W950">
        <v>349</v>
      </c>
      <c r="X950">
        <v>1.0085999999999999</v>
      </c>
      <c r="Y950">
        <v>14.583333333333334</v>
      </c>
      <c r="Z950">
        <v>0.24514583333333331</v>
      </c>
      <c r="AA950">
        <v>0.24305555555555555</v>
      </c>
      <c r="AB950">
        <v>14742</v>
      </c>
      <c r="AC950">
        <v>1</v>
      </c>
      <c r="AD950" s="1" t="s">
        <v>44</v>
      </c>
      <c r="AE950">
        <v>0</v>
      </c>
      <c r="AF950">
        <v>1</v>
      </c>
      <c r="AG950">
        <v>6.9407894736842106</v>
      </c>
    </row>
    <row r="951" spans="1:33">
      <c r="A951" s="1" t="s">
        <v>963</v>
      </c>
      <c r="B951" s="1" t="s">
        <v>2017</v>
      </c>
      <c r="C951" s="2">
        <v>46258</v>
      </c>
      <c r="D951" s="1" t="s">
        <v>34</v>
      </c>
      <c r="E951">
        <v>32</v>
      </c>
      <c r="F951" s="2">
        <v>46081</v>
      </c>
      <c r="G951" s="1" t="s">
        <v>964</v>
      </c>
      <c r="H951" s="1" t="s">
        <v>48</v>
      </c>
      <c r="I951" s="1" t="s">
        <v>37</v>
      </c>
      <c r="J951" s="1" t="s">
        <v>955</v>
      </c>
      <c r="K951" s="1" t="s">
        <v>39</v>
      </c>
      <c r="L951">
        <v>72</v>
      </c>
      <c r="M951">
        <v>33</v>
      </c>
      <c r="N951">
        <v>23.7</v>
      </c>
      <c r="O951">
        <v>15.3</v>
      </c>
      <c r="P951">
        <v>1.197E-2</v>
      </c>
      <c r="Q951">
        <v>4.09</v>
      </c>
      <c r="R951">
        <v>14.78</v>
      </c>
      <c r="S951">
        <v>15</v>
      </c>
      <c r="T951">
        <v>8</v>
      </c>
      <c r="U951">
        <v>120</v>
      </c>
      <c r="V951">
        <v>137.4</v>
      </c>
      <c r="W951">
        <v>515.79999999999995</v>
      </c>
      <c r="X951">
        <v>1.4363999999999999</v>
      </c>
      <c r="Y951">
        <v>0.44444444444444442</v>
      </c>
      <c r="Z951">
        <v>5.3199999999999992E-3</v>
      </c>
      <c r="AA951">
        <v>3.7037037037037034E-3</v>
      </c>
      <c r="AB951">
        <v>472.96</v>
      </c>
      <c r="AC951">
        <v>1</v>
      </c>
      <c r="AD951" s="1" t="s">
        <v>44</v>
      </c>
      <c r="AE951">
        <v>0</v>
      </c>
      <c r="AF951">
        <v>1</v>
      </c>
      <c r="AG951">
        <v>5.8223684210526319</v>
      </c>
    </row>
    <row r="952" spans="1:33">
      <c r="A952" s="1" t="s">
        <v>963</v>
      </c>
      <c r="B952" s="1" t="s">
        <v>2018</v>
      </c>
      <c r="C952" s="2">
        <v>47012</v>
      </c>
      <c r="D952" s="1" t="s">
        <v>34</v>
      </c>
      <c r="E952">
        <v>9</v>
      </c>
      <c r="F952" s="2">
        <v>46081</v>
      </c>
      <c r="G952" s="1" t="s">
        <v>964</v>
      </c>
      <c r="H952" s="1" t="s">
        <v>48</v>
      </c>
      <c r="I952" s="1" t="s">
        <v>37</v>
      </c>
      <c r="J952" s="1" t="s">
        <v>955</v>
      </c>
      <c r="K952" s="1" t="s">
        <v>39</v>
      </c>
      <c r="L952">
        <v>72</v>
      </c>
      <c r="M952">
        <v>33</v>
      </c>
      <c r="N952">
        <v>23.7</v>
      </c>
      <c r="O952">
        <v>15.3</v>
      </c>
      <c r="P952">
        <v>1.197E-2</v>
      </c>
      <c r="Q952">
        <v>4.09</v>
      </c>
      <c r="R952">
        <v>14.78</v>
      </c>
      <c r="S952">
        <v>15</v>
      </c>
      <c r="T952">
        <v>8</v>
      </c>
      <c r="U952">
        <v>120</v>
      </c>
      <c r="V952">
        <v>137.4</v>
      </c>
      <c r="W952">
        <v>515.79999999999995</v>
      </c>
      <c r="X952">
        <v>1.4363999999999999</v>
      </c>
      <c r="Y952">
        <v>0.125</v>
      </c>
      <c r="Z952">
        <v>1.49625E-3</v>
      </c>
      <c r="AA952">
        <v>1.0416666666666667E-3</v>
      </c>
      <c r="AB952">
        <v>133.01999999999998</v>
      </c>
      <c r="AC952">
        <v>1</v>
      </c>
      <c r="AD952" s="1" t="s">
        <v>44</v>
      </c>
      <c r="AE952">
        <v>0</v>
      </c>
      <c r="AF952">
        <v>1</v>
      </c>
      <c r="AG952">
        <v>30.625</v>
      </c>
    </row>
    <row r="953" spans="1:33">
      <c r="A953" s="1" t="s">
        <v>963</v>
      </c>
      <c r="B953" s="1" t="s">
        <v>2019</v>
      </c>
      <c r="C953" s="2">
        <v>46246</v>
      </c>
      <c r="D953" s="1" t="s">
        <v>34</v>
      </c>
      <c r="E953">
        <v>9</v>
      </c>
      <c r="F953" s="2">
        <v>46081</v>
      </c>
      <c r="G953" s="1" t="s">
        <v>964</v>
      </c>
      <c r="H953" s="1" t="s">
        <v>48</v>
      </c>
      <c r="I953" s="1" t="s">
        <v>37</v>
      </c>
      <c r="J953" s="1" t="s">
        <v>955</v>
      </c>
      <c r="K953" s="1" t="s">
        <v>39</v>
      </c>
      <c r="L953">
        <v>72</v>
      </c>
      <c r="M953">
        <v>33</v>
      </c>
      <c r="N953">
        <v>23.7</v>
      </c>
      <c r="O953">
        <v>15.3</v>
      </c>
      <c r="P953">
        <v>1.197E-2</v>
      </c>
      <c r="Q953">
        <v>4.09</v>
      </c>
      <c r="R953">
        <v>14.78</v>
      </c>
      <c r="S953">
        <v>15</v>
      </c>
      <c r="T953">
        <v>8</v>
      </c>
      <c r="U953">
        <v>120</v>
      </c>
      <c r="V953">
        <v>137.4</v>
      </c>
      <c r="W953">
        <v>515.79999999999995</v>
      </c>
      <c r="X953">
        <v>1.4363999999999999</v>
      </c>
      <c r="Y953">
        <v>0.125</v>
      </c>
      <c r="Z953">
        <v>1.49625E-3</v>
      </c>
      <c r="AA953">
        <v>1.0416666666666667E-3</v>
      </c>
      <c r="AB953">
        <v>133.01999999999998</v>
      </c>
      <c r="AC953">
        <v>1</v>
      </c>
      <c r="AD953" s="1" t="s">
        <v>44</v>
      </c>
      <c r="AE953">
        <v>0</v>
      </c>
      <c r="AF953">
        <v>1</v>
      </c>
      <c r="AG953">
        <v>5.427631578947369</v>
      </c>
    </row>
    <row r="954" spans="1:33">
      <c r="A954" s="1" t="s">
        <v>963</v>
      </c>
      <c r="B954" s="1" t="s">
        <v>2020</v>
      </c>
      <c r="C954" s="2">
        <v>46893</v>
      </c>
      <c r="D954" s="1" t="s">
        <v>34</v>
      </c>
      <c r="E954">
        <v>2</v>
      </c>
      <c r="F954" s="2">
        <v>46081</v>
      </c>
      <c r="G954" s="1" t="s">
        <v>964</v>
      </c>
      <c r="H954" s="1" t="s">
        <v>48</v>
      </c>
      <c r="I954" s="1" t="s">
        <v>37</v>
      </c>
      <c r="J954" s="1" t="s">
        <v>955</v>
      </c>
      <c r="K954" s="1" t="s">
        <v>39</v>
      </c>
      <c r="L954">
        <v>72</v>
      </c>
      <c r="M954">
        <v>33</v>
      </c>
      <c r="N954">
        <v>23.7</v>
      </c>
      <c r="O954">
        <v>15.3</v>
      </c>
      <c r="P954">
        <v>1.197E-2</v>
      </c>
      <c r="Q954">
        <v>4.09</v>
      </c>
      <c r="R954">
        <v>14.78</v>
      </c>
      <c r="S954">
        <v>15</v>
      </c>
      <c r="T954">
        <v>8</v>
      </c>
      <c r="U954">
        <v>120</v>
      </c>
      <c r="V954">
        <v>137.4</v>
      </c>
      <c r="W954">
        <v>515.79999999999995</v>
      </c>
      <c r="X954">
        <v>1.4363999999999999</v>
      </c>
      <c r="Y954">
        <v>2.7777777777777776E-2</v>
      </c>
      <c r="Z954">
        <v>3.3249999999999995E-4</v>
      </c>
      <c r="AA954">
        <v>2.3148148148148146E-4</v>
      </c>
      <c r="AB954">
        <v>29.56</v>
      </c>
      <c r="AC954">
        <v>1</v>
      </c>
      <c r="AD954" s="1" t="s">
        <v>44</v>
      </c>
      <c r="AE954">
        <v>0</v>
      </c>
      <c r="AF954">
        <v>1</v>
      </c>
      <c r="AG954">
        <v>26.710526315789476</v>
      </c>
    </row>
    <row r="955" spans="1:33">
      <c r="A955" s="1" t="s">
        <v>963</v>
      </c>
      <c r="B955" s="1" t="s">
        <v>2021</v>
      </c>
      <c r="C955" s="2">
        <v>46387</v>
      </c>
      <c r="D955" s="1" t="s">
        <v>34</v>
      </c>
      <c r="E955">
        <v>60</v>
      </c>
      <c r="F955" s="2">
        <v>46081</v>
      </c>
      <c r="G955" s="1" t="s">
        <v>964</v>
      </c>
      <c r="H955" s="1" t="s">
        <v>48</v>
      </c>
      <c r="I955" s="1" t="s">
        <v>37</v>
      </c>
      <c r="J955" s="1" t="s">
        <v>955</v>
      </c>
      <c r="K955" s="1" t="s">
        <v>39</v>
      </c>
      <c r="L955">
        <v>72</v>
      </c>
      <c r="M955">
        <v>33</v>
      </c>
      <c r="N955">
        <v>23.7</v>
      </c>
      <c r="O955">
        <v>15.3</v>
      </c>
      <c r="P955">
        <v>1.197E-2</v>
      </c>
      <c r="Q955">
        <v>4.09</v>
      </c>
      <c r="R955">
        <v>14.78</v>
      </c>
      <c r="S955">
        <v>15</v>
      </c>
      <c r="T955">
        <v>8</v>
      </c>
      <c r="U955">
        <v>120</v>
      </c>
      <c r="V955">
        <v>137.4</v>
      </c>
      <c r="W955">
        <v>515.79999999999995</v>
      </c>
      <c r="X955">
        <v>1.4363999999999999</v>
      </c>
      <c r="Y955">
        <v>0.83333333333333337</v>
      </c>
      <c r="Z955">
        <v>9.9749999999999995E-3</v>
      </c>
      <c r="AA955">
        <v>6.9444444444444449E-3</v>
      </c>
      <c r="AB955">
        <v>886.8</v>
      </c>
      <c r="AC955">
        <v>1</v>
      </c>
      <c r="AD955" s="1" t="s">
        <v>44</v>
      </c>
      <c r="AE955">
        <v>0</v>
      </c>
      <c r="AF955">
        <v>1</v>
      </c>
      <c r="AG955">
        <v>10.065789473684211</v>
      </c>
    </row>
    <row r="956" spans="1:33">
      <c r="A956" s="1" t="s">
        <v>963</v>
      </c>
      <c r="B956" s="1" t="s">
        <v>2022</v>
      </c>
      <c r="C956" s="2">
        <v>46242</v>
      </c>
      <c r="D956" s="1" t="s">
        <v>49</v>
      </c>
      <c r="E956">
        <v>5</v>
      </c>
      <c r="F956" s="2">
        <v>46081</v>
      </c>
      <c r="G956" s="1" t="s">
        <v>964</v>
      </c>
      <c r="H956" s="1" t="s">
        <v>48</v>
      </c>
      <c r="I956" s="1" t="s">
        <v>37</v>
      </c>
      <c r="J956" s="1" t="s">
        <v>955</v>
      </c>
      <c r="K956" s="1" t="s">
        <v>39</v>
      </c>
      <c r="L956">
        <v>72</v>
      </c>
      <c r="M956">
        <v>33</v>
      </c>
      <c r="N956">
        <v>23.7</v>
      </c>
      <c r="O956">
        <v>15.3</v>
      </c>
      <c r="P956">
        <v>1.197E-2</v>
      </c>
      <c r="Q956">
        <v>4.09</v>
      </c>
      <c r="R956">
        <v>14.78</v>
      </c>
      <c r="S956">
        <v>15</v>
      </c>
      <c r="T956">
        <v>8</v>
      </c>
      <c r="U956">
        <v>120</v>
      </c>
      <c r="V956">
        <v>137.4</v>
      </c>
      <c r="W956">
        <v>515.79999999999995</v>
      </c>
      <c r="X956">
        <v>1.4363999999999999</v>
      </c>
      <c r="Y956">
        <v>6.9444444444444448E-2</v>
      </c>
      <c r="Z956">
        <v>8.3125000000000007E-4</v>
      </c>
      <c r="AA956">
        <v>5.7870370370370378E-4</v>
      </c>
      <c r="AB956">
        <v>73.899999999999991</v>
      </c>
      <c r="AC956">
        <v>1</v>
      </c>
      <c r="AD956" s="1" t="s">
        <v>44</v>
      </c>
      <c r="AE956">
        <v>0</v>
      </c>
      <c r="AF956">
        <v>1</v>
      </c>
      <c r="AG956">
        <v>5.2960526315789478</v>
      </c>
    </row>
    <row r="957" spans="1:33">
      <c r="A957" s="1" t="s">
        <v>965</v>
      </c>
      <c r="B957" s="1" t="s">
        <v>2023</v>
      </c>
      <c r="C957" s="2">
        <v>46700</v>
      </c>
      <c r="D957" s="1" t="s">
        <v>34</v>
      </c>
      <c r="E957">
        <v>19</v>
      </c>
      <c r="F957" s="2">
        <v>46081</v>
      </c>
      <c r="G957" s="1" t="s">
        <v>966</v>
      </c>
      <c r="H957" s="1" t="s">
        <v>960</v>
      </c>
      <c r="I957" s="1" t="s">
        <v>37</v>
      </c>
      <c r="J957" s="1" t="s">
        <v>955</v>
      </c>
      <c r="K957" s="1" t="s">
        <v>39</v>
      </c>
      <c r="L957">
        <v>72</v>
      </c>
      <c r="M957">
        <v>43.6</v>
      </c>
      <c r="N957">
        <v>29.8</v>
      </c>
      <c r="O957">
        <v>16.899999999999999</v>
      </c>
      <c r="P957">
        <v>2.196E-2</v>
      </c>
      <c r="Q957">
        <v>6.73</v>
      </c>
      <c r="R957">
        <v>6.45</v>
      </c>
      <c r="S957">
        <v>8</v>
      </c>
      <c r="T957">
        <v>8</v>
      </c>
      <c r="U957">
        <v>64</v>
      </c>
      <c r="V957">
        <v>150.19999999999999</v>
      </c>
      <c r="W957">
        <v>455.72</v>
      </c>
      <c r="X957">
        <v>1.40544</v>
      </c>
      <c r="Y957">
        <v>0.2638888888888889</v>
      </c>
      <c r="Z957">
        <v>5.7949999999999998E-3</v>
      </c>
      <c r="AA957">
        <v>4.123263888888889E-3</v>
      </c>
      <c r="AB957">
        <v>122.55</v>
      </c>
      <c r="AC957">
        <v>1</v>
      </c>
      <c r="AD957" s="1" t="s">
        <v>44</v>
      </c>
      <c r="AE957">
        <v>0</v>
      </c>
      <c r="AF957">
        <v>1</v>
      </c>
      <c r="AG957">
        <v>20.361842105263158</v>
      </c>
    </row>
    <row r="958" spans="1:33">
      <c r="A958" s="1" t="s">
        <v>965</v>
      </c>
      <c r="B958" s="1" t="s">
        <v>2024</v>
      </c>
      <c r="C958" s="2">
        <v>47078</v>
      </c>
      <c r="D958" s="1" t="s">
        <v>34</v>
      </c>
      <c r="E958">
        <v>329</v>
      </c>
      <c r="F958" s="2">
        <v>46081</v>
      </c>
      <c r="G958" s="1" t="s">
        <v>966</v>
      </c>
      <c r="H958" s="1" t="s">
        <v>960</v>
      </c>
      <c r="I958" s="1" t="s">
        <v>37</v>
      </c>
      <c r="J958" s="1" t="s">
        <v>955</v>
      </c>
      <c r="K958" s="1" t="s">
        <v>39</v>
      </c>
      <c r="L958">
        <v>72</v>
      </c>
      <c r="M958">
        <v>43.6</v>
      </c>
      <c r="N958">
        <v>29.8</v>
      </c>
      <c r="O958">
        <v>16.899999999999999</v>
      </c>
      <c r="P958">
        <v>2.196E-2</v>
      </c>
      <c r="Q958">
        <v>6.73</v>
      </c>
      <c r="R958">
        <v>6.45</v>
      </c>
      <c r="S958">
        <v>8</v>
      </c>
      <c r="T958">
        <v>8</v>
      </c>
      <c r="U958">
        <v>64</v>
      </c>
      <c r="V958">
        <v>150.19999999999999</v>
      </c>
      <c r="W958">
        <v>455.72</v>
      </c>
      <c r="X958">
        <v>1.40544</v>
      </c>
      <c r="Y958">
        <v>4.5694444444444446</v>
      </c>
      <c r="Z958">
        <v>0.100345</v>
      </c>
      <c r="AA958">
        <v>7.1397569444444448E-2</v>
      </c>
      <c r="AB958">
        <v>2122.0500000000002</v>
      </c>
      <c r="AC958">
        <v>1</v>
      </c>
      <c r="AD958" s="1" t="s">
        <v>44</v>
      </c>
      <c r="AE958">
        <v>0</v>
      </c>
      <c r="AF958">
        <v>1</v>
      </c>
      <c r="AG958">
        <v>32.796052631578952</v>
      </c>
    </row>
    <row r="959" spans="1:33">
      <c r="A959" s="1" t="s">
        <v>965</v>
      </c>
      <c r="B959" s="1" t="s">
        <v>2025</v>
      </c>
      <c r="C959" s="2">
        <v>46757</v>
      </c>
      <c r="D959" s="1" t="s">
        <v>34</v>
      </c>
      <c r="E959">
        <v>868</v>
      </c>
      <c r="F959" s="2">
        <v>46081</v>
      </c>
      <c r="G959" s="1" t="s">
        <v>966</v>
      </c>
      <c r="H959" s="1" t="s">
        <v>960</v>
      </c>
      <c r="I959" s="1" t="s">
        <v>37</v>
      </c>
      <c r="J959" s="1" t="s">
        <v>955</v>
      </c>
      <c r="K959" s="1" t="s">
        <v>39</v>
      </c>
      <c r="L959">
        <v>72</v>
      </c>
      <c r="M959">
        <v>43.6</v>
      </c>
      <c r="N959">
        <v>29.8</v>
      </c>
      <c r="O959">
        <v>16.899999999999999</v>
      </c>
      <c r="P959">
        <v>2.196E-2</v>
      </c>
      <c r="Q959">
        <v>6.73</v>
      </c>
      <c r="R959">
        <v>6.45</v>
      </c>
      <c r="S959">
        <v>8</v>
      </c>
      <c r="T959">
        <v>8</v>
      </c>
      <c r="U959">
        <v>64</v>
      </c>
      <c r="V959">
        <v>150.19999999999999</v>
      </c>
      <c r="W959">
        <v>455.72</v>
      </c>
      <c r="X959">
        <v>1.40544</v>
      </c>
      <c r="Y959">
        <v>12.055555555555555</v>
      </c>
      <c r="Z959">
        <v>0.26473999999999998</v>
      </c>
      <c r="AA959">
        <v>0.18836805555555555</v>
      </c>
      <c r="AB959">
        <v>5598.6</v>
      </c>
      <c r="AC959">
        <v>1</v>
      </c>
      <c r="AD959" s="1" t="s">
        <v>40</v>
      </c>
      <c r="AE959">
        <v>1</v>
      </c>
      <c r="AF959">
        <v>0</v>
      </c>
      <c r="AG959">
        <v>22.236842105263158</v>
      </c>
    </row>
    <row r="960" spans="1:33">
      <c r="A960" s="1" t="s">
        <v>965</v>
      </c>
      <c r="B960" s="1" t="s">
        <v>2026</v>
      </c>
      <c r="C960" s="2">
        <v>46035</v>
      </c>
      <c r="D960" s="1" t="s">
        <v>73</v>
      </c>
      <c r="E960">
        <v>97</v>
      </c>
      <c r="F960" s="2">
        <v>46081</v>
      </c>
      <c r="G960" s="1" t="s">
        <v>966</v>
      </c>
      <c r="H960" s="1" t="s">
        <v>960</v>
      </c>
      <c r="I960" s="1" t="s">
        <v>37</v>
      </c>
      <c r="J960" s="1" t="s">
        <v>955</v>
      </c>
      <c r="K960" s="1" t="s">
        <v>39</v>
      </c>
      <c r="L960">
        <v>72</v>
      </c>
      <c r="M960">
        <v>43.6</v>
      </c>
      <c r="N960">
        <v>29.8</v>
      </c>
      <c r="O960">
        <v>16.899999999999999</v>
      </c>
      <c r="P960">
        <v>2.196E-2</v>
      </c>
      <c r="Q960">
        <v>6.73</v>
      </c>
      <c r="R960">
        <v>6.45</v>
      </c>
      <c r="S960">
        <v>8</v>
      </c>
      <c r="T960">
        <v>8</v>
      </c>
      <c r="U960">
        <v>64</v>
      </c>
      <c r="V960">
        <v>150.19999999999999</v>
      </c>
      <c r="W960">
        <v>455.72</v>
      </c>
      <c r="X960">
        <v>1.40544</v>
      </c>
      <c r="Y960">
        <v>1.3472222222222223</v>
      </c>
      <c r="Z960">
        <v>2.9585000000000004E-2</v>
      </c>
      <c r="AA960">
        <v>2.1050347222222224E-2</v>
      </c>
      <c r="AB960">
        <v>625.65</v>
      </c>
      <c r="AC960">
        <v>1</v>
      </c>
      <c r="AD960" s="1" t="s">
        <v>74</v>
      </c>
      <c r="AE960">
        <v>0</v>
      </c>
      <c r="AF960">
        <v>0</v>
      </c>
      <c r="AG960">
        <v>-1.5131578947368423</v>
      </c>
    </row>
    <row r="961" spans="1:33">
      <c r="A961" s="1" t="s">
        <v>965</v>
      </c>
      <c r="B961" s="1" t="s">
        <v>2027</v>
      </c>
      <c r="C961" s="2">
        <v>46770</v>
      </c>
      <c r="D961" s="1" t="s">
        <v>153</v>
      </c>
      <c r="E961">
        <v>36</v>
      </c>
      <c r="F961" s="2">
        <v>46081</v>
      </c>
      <c r="G961" s="1" t="s">
        <v>966</v>
      </c>
      <c r="H961" s="1" t="s">
        <v>960</v>
      </c>
      <c r="I961" s="1" t="s">
        <v>37</v>
      </c>
      <c r="J961" s="1" t="s">
        <v>955</v>
      </c>
      <c r="K961" s="1" t="s">
        <v>39</v>
      </c>
      <c r="L961">
        <v>72</v>
      </c>
      <c r="M961">
        <v>43.6</v>
      </c>
      <c r="N961">
        <v>29.8</v>
      </c>
      <c r="O961">
        <v>16.899999999999999</v>
      </c>
      <c r="P961">
        <v>2.196E-2</v>
      </c>
      <c r="Q961">
        <v>6.73</v>
      </c>
      <c r="R961">
        <v>6.45</v>
      </c>
      <c r="S961">
        <v>8</v>
      </c>
      <c r="T961">
        <v>8</v>
      </c>
      <c r="U961">
        <v>64</v>
      </c>
      <c r="V961">
        <v>150.19999999999999</v>
      </c>
      <c r="W961">
        <v>455.72</v>
      </c>
      <c r="X961">
        <v>1.40544</v>
      </c>
      <c r="Y961">
        <v>0.5</v>
      </c>
      <c r="Z961">
        <v>1.098E-2</v>
      </c>
      <c r="AA961">
        <v>7.8125E-3</v>
      </c>
      <c r="AB961">
        <v>232.20000000000002</v>
      </c>
      <c r="AC961">
        <v>1</v>
      </c>
      <c r="AD961" s="1" t="s">
        <v>74</v>
      </c>
      <c r="AE961">
        <v>0</v>
      </c>
      <c r="AF961">
        <v>0</v>
      </c>
      <c r="AG961">
        <v>22.664473684210527</v>
      </c>
    </row>
    <row r="962" spans="1:33">
      <c r="A962" s="1" t="s">
        <v>967</v>
      </c>
      <c r="B962" s="1" t="s">
        <v>2028</v>
      </c>
      <c r="C962" s="2">
        <v>47087</v>
      </c>
      <c r="D962" s="1" t="s">
        <v>34</v>
      </c>
      <c r="E962">
        <v>49458</v>
      </c>
      <c r="F962" s="2">
        <v>46081</v>
      </c>
      <c r="G962" s="1" t="s">
        <v>968</v>
      </c>
      <c r="H962" s="1" t="s">
        <v>577</v>
      </c>
      <c r="I962" s="1" t="s">
        <v>37</v>
      </c>
      <c r="J962" s="1" t="s">
        <v>955</v>
      </c>
      <c r="K962" s="1" t="s">
        <v>39</v>
      </c>
      <c r="L962">
        <v>48</v>
      </c>
      <c r="M962">
        <v>33.6</v>
      </c>
      <c r="N962">
        <v>20.7</v>
      </c>
      <c r="O962">
        <v>19.5</v>
      </c>
      <c r="P962">
        <v>1.3559999999999999E-2</v>
      </c>
      <c r="Q962">
        <v>5.95</v>
      </c>
      <c r="R962">
        <v>9.7799999999999994</v>
      </c>
      <c r="S962">
        <v>11</v>
      </c>
      <c r="T962">
        <v>7</v>
      </c>
      <c r="U962">
        <v>77</v>
      </c>
      <c r="V962">
        <v>151.5</v>
      </c>
      <c r="W962">
        <v>483.15</v>
      </c>
      <c r="X962">
        <v>1.0441199999999999</v>
      </c>
      <c r="Y962">
        <v>1030.375</v>
      </c>
      <c r="Z962">
        <v>13.971884999999999</v>
      </c>
      <c r="AA962">
        <v>13.381493506493506</v>
      </c>
      <c r="AB962">
        <v>483699.24</v>
      </c>
      <c r="AC962">
        <v>14</v>
      </c>
      <c r="AD962" s="1" t="s">
        <v>40</v>
      </c>
      <c r="AE962">
        <v>14</v>
      </c>
      <c r="AF962">
        <v>0</v>
      </c>
      <c r="AG962">
        <v>33.092105263157897</v>
      </c>
    </row>
    <row r="963" spans="1:33">
      <c r="A963" s="1" t="s">
        <v>967</v>
      </c>
      <c r="B963" s="1" t="s">
        <v>2029</v>
      </c>
      <c r="C963" s="2">
        <v>47040</v>
      </c>
      <c r="D963" s="1" t="s">
        <v>34</v>
      </c>
      <c r="E963">
        <v>7042</v>
      </c>
      <c r="F963" s="2">
        <v>46081</v>
      </c>
      <c r="G963" s="1" t="s">
        <v>968</v>
      </c>
      <c r="H963" s="1" t="s">
        <v>577</v>
      </c>
      <c r="I963" s="1" t="s">
        <v>37</v>
      </c>
      <c r="J963" s="1" t="s">
        <v>955</v>
      </c>
      <c r="K963" s="1" t="s">
        <v>39</v>
      </c>
      <c r="L963">
        <v>48</v>
      </c>
      <c r="M963">
        <v>33.6</v>
      </c>
      <c r="N963">
        <v>20.7</v>
      </c>
      <c r="O963">
        <v>19.5</v>
      </c>
      <c r="P963">
        <v>1.3559999999999999E-2</v>
      </c>
      <c r="Q963">
        <v>5.95</v>
      </c>
      <c r="R963">
        <v>9.7799999999999994</v>
      </c>
      <c r="S963">
        <v>11</v>
      </c>
      <c r="T963">
        <v>7</v>
      </c>
      <c r="U963">
        <v>77</v>
      </c>
      <c r="V963">
        <v>151.5</v>
      </c>
      <c r="W963">
        <v>483.15</v>
      </c>
      <c r="X963">
        <v>1.0441199999999999</v>
      </c>
      <c r="Y963">
        <v>146.70833333333334</v>
      </c>
      <c r="Z963">
        <v>1.989365</v>
      </c>
      <c r="AA963">
        <v>1.9053030303030305</v>
      </c>
      <c r="AB963">
        <v>68870.759999999995</v>
      </c>
      <c r="AC963">
        <v>2</v>
      </c>
      <c r="AD963" s="1" t="s">
        <v>40</v>
      </c>
      <c r="AE963">
        <v>2</v>
      </c>
      <c r="AF963">
        <v>0</v>
      </c>
      <c r="AG963">
        <v>31.546052631578949</v>
      </c>
    </row>
    <row r="964" spans="1:33">
      <c r="A964" s="1" t="s">
        <v>967</v>
      </c>
      <c r="B964" s="1" t="s">
        <v>2030</v>
      </c>
      <c r="C964" s="2">
        <v>46769</v>
      </c>
      <c r="D964" s="1" t="s">
        <v>34</v>
      </c>
      <c r="E964">
        <v>2118</v>
      </c>
      <c r="F964" s="2">
        <v>46081</v>
      </c>
      <c r="G964" s="1" t="s">
        <v>968</v>
      </c>
      <c r="H964" s="1" t="s">
        <v>577</v>
      </c>
      <c r="I964" s="1" t="s">
        <v>37</v>
      </c>
      <c r="J964" s="1" t="s">
        <v>955</v>
      </c>
      <c r="K964" s="1" t="s">
        <v>39</v>
      </c>
      <c r="L964">
        <v>48</v>
      </c>
      <c r="M964">
        <v>33.6</v>
      </c>
      <c r="N964">
        <v>20.7</v>
      </c>
      <c r="O964">
        <v>19.5</v>
      </c>
      <c r="P964">
        <v>1.3559999999999999E-2</v>
      </c>
      <c r="Q964">
        <v>5.95</v>
      </c>
      <c r="R964">
        <v>9.7799999999999994</v>
      </c>
      <c r="S964">
        <v>11</v>
      </c>
      <c r="T964">
        <v>7</v>
      </c>
      <c r="U964">
        <v>77</v>
      </c>
      <c r="V964">
        <v>151.5</v>
      </c>
      <c r="W964">
        <v>483.15</v>
      </c>
      <c r="X964">
        <v>1.0441199999999999</v>
      </c>
      <c r="Y964">
        <v>44.125</v>
      </c>
      <c r="Z964">
        <v>0.59833499999999995</v>
      </c>
      <c r="AA964">
        <v>0.57305194805194803</v>
      </c>
      <c r="AB964">
        <v>20714.039999999997</v>
      </c>
      <c r="AC964">
        <v>1</v>
      </c>
      <c r="AD964" s="1" t="s">
        <v>40</v>
      </c>
      <c r="AE964">
        <v>1</v>
      </c>
      <c r="AF964">
        <v>0</v>
      </c>
      <c r="AG964">
        <v>22.631578947368421</v>
      </c>
    </row>
    <row r="965" spans="1:33">
      <c r="A965" s="1" t="s">
        <v>969</v>
      </c>
      <c r="B965" s="1" t="s">
        <v>2031</v>
      </c>
      <c r="C965" s="2">
        <v>46661</v>
      </c>
      <c r="D965" s="1" t="s">
        <v>34</v>
      </c>
      <c r="E965">
        <v>684</v>
      </c>
      <c r="F965" s="2">
        <v>46081</v>
      </c>
      <c r="G965" s="1" t="s">
        <v>970</v>
      </c>
      <c r="H965" s="1" t="s">
        <v>960</v>
      </c>
      <c r="I965" s="1" t="s">
        <v>37</v>
      </c>
      <c r="J965" s="1" t="s">
        <v>955</v>
      </c>
      <c r="K965" s="1" t="s">
        <v>39</v>
      </c>
      <c r="L965">
        <v>144</v>
      </c>
      <c r="M965">
        <v>36.4</v>
      </c>
      <c r="N965">
        <v>24.7</v>
      </c>
      <c r="O965">
        <v>23</v>
      </c>
      <c r="P965">
        <v>2.068E-2</v>
      </c>
      <c r="Q965">
        <v>8.7799999999999994</v>
      </c>
      <c r="R965">
        <v>14.9</v>
      </c>
      <c r="S965">
        <v>12</v>
      </c>
      <c r="T965">
        <v>4</v>
      </c>
      <c r="U965">
        <v>48</v>
      </c>
      <c r="V965">
        <v>107</v>
      </c>
      <c r="W965">
        <v>446.44</v>
      </c>
      <c r="X965">
        <v>0.99263999999999997</v>
      </c>
      <c r="Y965">
        <v>4.75</v>
      </c>
      <c r="Z965">
        <v>9.8229999999999998E-2</v>
      </c>
      <c r="AA965">
        <v>9.8958333333333329E-2</v>
      </c>
      <c r="AB965">
        <v>10191.6</v>
      </c>
      <c r="AC965">
        <v>1</v>
      </c>
      <c r="AD965" s="1" t="s">
        <v>44</v>
      </c>
      <c r="AE965">
        <v>0</v>
      </c>
      <c r="AF965">
        <v>1</v>
      </c>
      <c r="AG965">
        <v>19.078947368421055</v>
      </c>
    </row>
    <row r="966" spans="1:33">
      <c r="A966" s="1" t="s">
        <v>971</v>
      </c>
      <c r="B966" s="1" t="s">
        <v>2032</v>
      </c>
      <c r="C966" s="2">
        <v>46641</v>
      </c>
      <c r="D966" s="1" t="s">
        <v>34</v>
      </c>
      <c r="E966">
        <v>821</v>
      </c>
      <c r="F966" s="2">
        <v>46081</v>
      </c>
      <c r="G966" s="1" t="s">
        <v>972</v>
      </c>
      <c r="H966" s="1" t="s">
        <v>577</v>
      </c>
      <c r="I966" s="1" t="s">
        <v>37</v>
      </c>
      <c r="J966" s="1" t="s">
        <v>955</v>
      </c>
      <c r="K966" s="1" t="s">
        <v>39</v>
      </c>
      <c r="L966">
        <v>96</v>
      </c>
      <c r="M966">
        <v>40.9</v>
      </c>
      <c r="N966">
        <v>26.7</v>
      </c>
      <c r="O966">
        <v>23.6</v>
      </c>
      <c r="P966">
        <v>2.5770000000000001E-2</v>
      </c>
      <c r="Q966">
        <v>8.74</v>
      </c>
      <c r="R966">
        <v>11.75</v>
      </c>
      <c r="S966">
        <v>8</v>
      </c>
      <c r="T966">
        <v>5</v>
      </c>
      <c r="U966">
        <v>40</v>
      </c>
      <c r="V966">
        <v>133</v>
      </c>
      <c r="W966">
        <v>374.6</v>
      </c>
      <c r="X966">
        <v>1.0308000000000002</v>
      </c>
      <c r="Y966">
        <v>8.5520833333333339</v>
      </c>
      <c r="Z966">
        <v>0.22038718750000003</v>
      </c>
      <c r="AA966">
        <v>0.21380208333333334</v>
      </c>
      <c r="AB966">
        <v>9646.75</v>
      </c>
      <c r="AC966">
        <v>1</v>
      </c>
      <c r="AD966" s="1" t="s">
        <v>44</v>
      </c>
      <c r="AE966">
        <v>0</v>
      </c>
      <c r="AF966">
        <v>1</v>
      </c>
      <c r="AG966">
        <v>18.421052631578949</v>
      </c>
    </row>
    <row r="967" spans="1:33">
      <c r="A967" s="1" t="s">
        <v>971</v>
      </c>
      <c r="B967" s="1" t="s">
        <v>2033</v>
      </c>
      <c r="C967" s="2">
        <v>46754</v>
      </c>
      <c r="D967" s="1" t="s">
        <v>34</v>
      </c>
      <c r="E967">
        <v>110</v>
      </c>
      <c r="F967" s="2">
        <v>46081</v>
      </c>
      <c r="G967" s="1" t="s">
        <v>972</v>
      </c>
      <c r="H967" s="1" t="s">
        <v>577</v>
      </c>
      <c r="I967" s="1" t="s">
        <v>37</v>
      </c>
      <c r="J967" s="1" t="s">
        <v>955</v>
      </c>
      <c r="K967" s="1" t="s">
        <v>39</v>
      </c>
      <c r="L967">
        <v>96</v>
      </c>
      <c r="M967">
        <v>40.9</v>
      </c>
      <c r="N967">
        <v>26.7</v>
      </c>
      <c r="O967">
        <v>23.6</v>
      </c>
      <c r="P967">
        <v>2.5770000000000001E-2</v>
      </c>
      <c r="Q967">
        <v>8.74</v>
      </c>
      <c r="R967">
        <v>11.75</v>
      </c>
      <c r="S967">
        <v>8</v>
      </c>
      <c r="T967">
        <v>5</v>
      </c>
      <c r="U967">
        <v>40</v>
      </c>
      <c r="V967">
        <v>133</v>
      </c>
      <c r="W967">
        <v>374.6</v>
      </c>
      <c r="X967">
        <v>1.0308000000000002</v>
      </c>
      <c r="Y967">
        <v>1.1458333333333333</v>
      </c>
      <c r="Z967">
        <v>2.9528124999999999E-2</v>
      </c>
      <c r="AA967">
        <v>2.8645833333333332E-2</v>
      </c>
      <c r="AB967">
        <v>1292.5</v>
      </c>
      <c r="AC967">
        <v>1</v>
      </c>
      <c r="AD967" s="1" t="s">
        <v>44</v>
      </c>
      <c r="AE967">
        <v>0</v>
      </c>
      <c r="AF967">
        <v>1</v>
      </c>
      <c r="AG967">
        <v>22.138157894736842</v>
      </c>
    </row>
    <row r="968" spans="1:33">
      <c r="A968" s="1" t="s">
        <v>971</v>
      </c>
      <c r="B968" s="1" t="s">
        <v>2034</v>
      </c>
      <c r="C968" s="2">
        <v>46250</v>
      </c>
      <c r="D968" s="1" t="s">
        <v>49</v>
      </c>
      <c r="E968">
        <v>46</v>
      </c>
      <c r="F968" s="2">
        <v>46081</v>
      </c>
      <c r="G968" s="1" t="s">
        <v>972</v>
      </c>
      <c r="H968" s="1" t="s">
        <v>577</v>
      </c>
      <c r="I968" s="1" t="s">
        <v>37</v>
      </c>
      <c r="J968" s="1" t="s">
        <v>955</v>
      </c>
      <c r="K968" s="1" t="s">
        <v>39</v>
      </c>
      <c r="L968">
        <v>96</v>
      </c>
      <c r="M968">
        <v>40.9</v>
      </c>
      <c r="N968">
        <v>26.7</v>
      </c>
      <c r="O968">
        <v>23.6</v>
      </c>
      <c r="P968">
        <v>2.5770000000000001E-2</v>
      </c>
      <c r="Q968">
        <v>8.74</v>
      </c>
      <c r="R968">
        <v>11.75</v>
      </c>
      <c r="S968">
        <v>8</v>
      </c>
      <c r="T968">
        <v>5</v>
      </c>
      <c r="U968">
        <v>40</v>
      </c>
      <c r="V968">
        <v>133</v>
      </c>
      <c r="W968">
        <v>374.6</v>
      </c>
      <c r="X968">
        <v>1.0308000000000002</v>
      </c>
      <c r="Y968">
        <v>0.47916666666666669</v>
      </c>
      <c r="Z968">
        <v>1.2348125000000001E-2</v>
      </c>
      <c r="AA968">
        <v>1.1979166666666667E-2</v>
      </c>
      <c r="AB968">
        <v>540.5</v>
      </c>
      <c r="AC968">
        <v>1</v>
      </c>
      <c r="AD968" s="1" t="s">
        <v>44</v>
      </c>
      <c r="AE968">
        <v>0</v>
      </c>
      <c r="AF968">
        <v>1</v>
      </c>
      <c r="AG968">
        <v>5.5592105263157894</v>
      </c>
    </row>
    <row r="969" spans="1:33">
      <c r="A969" s="1" t="s">
        <v>973</v>
      </c>
      <c r="B969" s="1" t="s">
        <v>2035</v>
      </c>
      <c r="C969" s="2">
        <v>46556</v>
      </c>
      <c r="D969" s="1" t="s">
        <v>34</v>
      </c>
      <c r="E969">
        <v>5042</v>
      </c>
      <c r="F969" s="2">
        <v>46081</v>
      </c>
      <c r="G969" s="1" t="s">
        <v>974</v>
      </c>
      <c r="H969" s="1" t="s">
        <v>960</v>
      </c>
      <c r="I969" s="1" t="s">
        <v>37</v>
      </c>
      <c r="J969" s="1" t="s">
        <v>955</v>
      </c>
      <c r="K969" s="1" t="s">
        <v>39</v>
      </c>
      <c r="L969">
        <v>72</v>
      </c>
      <c r="M969">
        <v>32.4</v>
      </c>
      <c r="N969">
        <v>23.9</v>
      </c>
      <c r="O969">
        <v>21.2</v>
      </c>
      <c r="P969">
        <v>1.6420000000000001E-2</v>
      </c>
      <c r="Q969">
        <v>5.25</v>
      </c>
      <c r="R969">
        <v>10.57</v>
      </c>
      <c r="S969">
        <v>14</v>
      </c>
      <c r="T969">
        <v>4</v>
      </c>
      <c r="U969">
        <v>56</v>
      </c>
      <c r="V969">
        <v>99.8</v>
      </c>
      <c r="W969">
        <v>319</v>
      </c>
      <c r="X969">
        <v>0.91952</v>
      </c>
      <c r="Y969">
        <v>70.027777777777771</v>
      </c>
      <c r="Z969">
        <v>1.149856111111111</v>
      </c>
      <c r="AA969">
        <v>1.2504960317460316</v>
      </c>
      <c r="AB969">
        <v>53293.94</v>
      </c>
      <c r="AC969">
        <v>2</v>
      </c>
      <c r="AD969" s="1" t="s">
        <v>40</v>
      </c>
      <c r="AE969">
        <v>2</v>
      </c>
      <c r="AF969">
        <v>0</v>
      </c>
      <c r="AG969">
        <v>15.625</v>
      </c>
    </row>
    <row r="970" spans="1:33">
      <c r="A970" s="1" t="s">
        <v>975</v>
      </c>
      <c r="B970" s="1" t="s">
        <v>2036</v>
      </c>
      <c r="C970" s="2">
        <v>46764</v>
      </c>
      <c r="D970" s="1" t="s">
        <v>34</v>
      </c>
      <c r="E970">
        <v>58</v>
      </c>
      <c r="F970" s="2">
        <v>46081</v>
      </c>
      <c r="G970" s="1" t="s">
        <v>976</v>
      </c>
      <c r="H970" s="1" t="s">
        <v>960</v>
      </c>
      <c r="I970" s="1" t="s">
        <v>37</v>
      </c>
      <c r="J970" s="1" t="s">
        <v>955</v>
      </c>
      <c r="K970" s="1" t="s">
        <v>39</v>
      </c>
      <c r="L970">
        <v>144</v>
      </c>
      <c r="M970">
        <v>39.5</v>
      </c>
      <c r="N970">
        <v>27.4</v>
      </c>
      <c r="O970">
        <v>20.9</v>
      </c>
      <c r="P970">
        <v>2.2620000000000001E-2</v>
      </c>
      <c r="Q970">
        <v>8.23</v>
      </c>
      <c r="R970">
        <v>6.04</v>
      </c>
      <c r="S970">
        <v>9</v>
      </c>
      <c r="T970">
        <v>5</v>
      </c>
      <c r="U970">
        <v>45</v>
      </c>
      <c r="V970">
        <v>119.5</v>
      </c>
      <c r="W970">
        <v>395.35</v>
      </c>
      <c r="X970">
        <v>1.0179</v>
      </c>
      <c r="Y970">
        <v>0.40277777777777779</v>
      </c>
      <c r="Z970">
        <v>9.1108333333333336E-3</v>
      </c>
      <c r="AA970">
        <v>8.9506172839506175E-3</v>
      </c>
      <c r="AB970">
        <v>350.32</v>
      </c>
      <c r="AC970">
        <v>1</v>
      </c>
      <c r="AD970" s="1" t="s">
        <v>44</v>
      </c>
      <c r="AE970">
        <v>0</v>
      </c>
      <c r="AF970">
        <v>1</v>
      </c>
      <c r="AG970">
        <v>22.467105263157897</v>
      </c>
    </row>
    <row r="971" spans="1:33">
      <c r="A971" s="1" t="s">
        <v>975</v>
      </c>
      <c r="B971" s="1" t="s">
        <v>2037</v>
      </c>
      <c r="C971" s="2">
        <v>46322</v>
      </c>
      <c r="D971" s="1" t="s">
        <v>34</v>
      </c>
      <c r="E971">
        <v>263</v>
      </c>
      <c r="F971" s="2">
        <v>46081</v>
      </c>
      <c r="G971" s="1" t="s">
        <v>976</v>
      </c>
      <c r="H971" s="1" t="s">
        <v>960</v>
      </c>
      <c r="I971" s="1" t="s">
        <v>37</v>
      </c>
      <c r="J971" s="1" t="s">
        <v>955</v>
      </c>
      <c r="K971" s="1" t="s">
        <v>39</v>
      </c>
      <c r="L971">
        <v>144</v>
      </c>
      <c r="M971">
        <v>39.5</v>
      </c>
      <c r="N971">
        <v>27.4</v>
      </c>
      <c r="O971">
        <v>20.9</v>
      </c>
      <c r="P971">
        <v>2.2620000000000001E-2</v>
      </c>
      <c r="Q971">
        <v>8.23</v>
      </c>
      <c r="R971">
        <v>6.04</v>
      </c>
      <c r="S971">
        <v>9</v>
      </c>
      <c r="T971">
        <v>5</v>
      </c>
      <c r="U971">
        <v>45</v>
      </c>
      <c r="V971">
        <v>119.5</v>
      </c>
      <c r="W971">
        <v>395.35</v>
      </c>
      <c r="X971">
        <v>1.0179</v>
      </c>
      <c r="Y971">
        <v>1.8263888888888888</v>
      </c>
      <c r="Z971">
        <v>4.1312916666666664E-2</v>
      </c>
      <c r="AA971">
        <v>4.0586419753086418E-2</v>
      </c>
      <c r="AB971">
        <v>1588.52</v>
      </c>
      <c r="AC971">
        <v>1</v>
      </c>
      <c r="AD971" s="1" t="s">
        <v>44</v>
      </c>
      <c r="AE971">
        <v>0</v>
      </c>
      <c r="AF971">
        <v>1</v>
      </c>
      <c r="AG971">
        <v>7.927631578947369</v>
      </c>
    </row>
    <row r="972" spans="1:33">
      <c r="A972" s="1" t="s">
        <v>975</v>
      </c>
      <c r="B972" s="1" t="s">
        <v>2038</v>
      </c>
      <c r="C972" s="2">
        <v>46745</v>
      </c>
      <c r="D972" s="1" t="s">
        <v>34</v>
      </c>
      <c r="E972">
        <v>380</v>
      </c>
      <c r="F972" s="2">
        <v>46081</v>
      </c>
      <c r="G972" s="1" t="s">
        <v>976</v>
      </c>
      <c r="H972" s="1" t="s">
        <v>960</v>
      </c>
      <c r="I972" s="1" t="s">
        <v>37</v>
      </c>
      <c r="J972" s="1" t="s">
        <v>955</v>
      </c>
      <c r="K972" s="1" t="s">
        <v>39</v>
      </c>
      <c r="L972">
        <v>144</v>
      </c>
      <c r="M972">
        <v>39.5</v>
      </c>
      <c r="N972">
        <v>27.4</v>
      </c>
      <c r="O972">
        <v>20.9</v>
      </c>
      <c r="P972">
        <v>2.2620000000000001E-2</v>
      </c>
      <c r="Q972">
        <v>8.23</v>
      </c>
      <c r="R972">
        <v>6.04</v>
      </c>
      <c r="S972">
        <v>9</v>
      </c>
      <c r="T972">
        <v>5</v>
      </c>
      <c r="U972">
        <v>45</v>
      </c>
      <c r="V972">
        <v>119.5</v>
      </c>
      <c r="W972">
        <v>395.35</v>
      </c>
      <c r="X972">
        <v>1.0179</v>
      </c>
      <c r="Y972">
        <v>2.6388888888888888</v>
      </c>
      <c r="Z972">
        <v>5.9691666666666671E-2</v>
      </c>
      <c r="AA972">
        <v>5.8641975308641972E-2</v>
      </c>
      <c r="AB972">
        <v>2295.1999999999998</v>
      </c>
      <c r="AC972">
        <v>1</v>
      </c>
      <c r="AD972" s="1" t="s">
        <v>44</v>
      </c>
      <c r="AE972">
        <v>0</v>
      </c>
      <c r="AF972">
        <v>1</v>
      </c>
      <c r="AG972">
        <v>21.842105263157897</v>
      </c>
    </row>
    <row r="973" spans="1:33">
      <c r="A973" s="1" t="s">
        <v>975</v>
      </c>
      <c r="B973" s="1" t="s">
        <v>2039</v>
      </c>
      <c r="C973" s="2">
        <v>46434</v>
      </c>
      <c r="D973" s="1" t="s">
        <v>49</v>
      </c>
      <c r="E973">
        <v>35</v>
      </c>
      <c r="F973" s="2">
        <v>46081</v>
      </c>
      <c r="G973" s="1" t="s">
        <v>976</v>
      </c>
      <c r="H973" s="1" t="s">
        <v>960</v>
      </c>
      <c r="I973" s="1" t="s">
        <v>37</v>
      </c>
      <c r="J973" s="1" t="s">
        <v>955</v>
      </c>
      <c r="K973" s="1" t="s">
        <v>39</v>
      </c>
      <c r="L973">
        <v>144</v>
      </c>
      <c r="M973">
        <v>39.5</v>
      </c>
      <c r="N973">
        <v>27.4</v>
      </c>
      <c r="O973">
        <v>20.9</v>
      </c>
      <c r="P973">
        <v>2.2620000000000001E-2</v>
      </c>
      <c r="Q973">
        <v>8.23</v>
      </c>
      <c r="R973">
        <v>6.04</v>
      </c>
      <c r="S973">
        <v>9</v>
      </c>
      <c r="T973">
        <v>5</v>
      </c>
      <c r="U973">
        <v>45</v>
      </c>
      <c r="V973">
        <v>119.5</v>
      </c>
      <c r="W973">
        <v>395.35</v>
      </c>
      <c r="X973">
        <v>1.0179</v>
      </c>
      <c r="Y973">
        <v>0.24305555555555555</v>
      </c>
      <c r="Z973">
        <v>5.4979166666666666E-3</v>
      </c>
      <c r="AA973">
        <v>5.4012345679012343E-3</v>
      </c>
      <c r="AB973">
        <v>211.4</v>
      </c>
      <c r="AC973">
        <v>1</v>
      </c>
      <c r="AD973" s="1" t="s">
        <v>44</v>
      </c>
      <c r="AE973">
        <v>0</v>
      </c>
      <c r="AF973">
        <v>1</v>
      </c>
      <c r="AG973">
        <v>11.611842105263159</v>
      </c>
    </row>
    <row r="974" spans="1:33">
      <c r="A974" s="1" t="s">
        <v>977</v>
      </c>
      <c r="B974" s="1" t="s">
        <v>2040</v>
      </c>
      <c r="C974" s="2">
        <v>46576</v>
      </c>
      <c r="D974" s="1" t="s">
        <v>34</v>
      </c>
      <c r="E974">
        <v>2718</v>
      </c>
      <c r="F974" s="2">
        <v>46081</v>
      </c>
      <c r="G974" s="1" t="s">
        <v>978</v>
      </c>
      <c r="H974" s="1" t="s">
        <v>960</v>
      </c>
      <c r="I974" s="1" t="s">
        <v>37</v>
      </c>
      <c r="J974" s="1" t="s">
        <v>955</v>
      </c>
      <c r="K974" s="1" t="s">
        <v>39</v>
      </c>
      <c r="L974">
        <v>72</v>
      </c>
      <c r="M974">
        <v>31.1</v>
      </c>
      <c r="N974">
        <v>31.7</v>
      </c>
      <c r="O974">
        <v>18.3</v>
      </c>
      <c r="P974">
        <v>1.804E-2</v>
      </c>
      <c r="Q974">
        <v>6.6</v>
      </c>
      <c r="R974">
        <v>9.85</v>
      </c>
      <c r="S974">
        <v>9</v>
      </c>
      <c r="T974">
        <v>4</v>
      </c>
      <c r="U974">
        <v>36</v>
      </c>
      <c r="V974">
        <v>88.2</v>
      </c>
      <c r="W974">
        <v>262.60000000000002</v>
      </c>
      <c r="X974">
        <v>0.64944000000000002</v>
      </c>
      <c r="Y974">
        <v>37.75</v>
      </c>
      <c r="Z974">
        <v>0.68101</v>
      </c>
      <c r="AA974">
        <v>1.0486111111111112</v>
      </c>
      <c r="AB974">
        <v>26772.3</v>
      </c>
      <c r="AC974">
        <v>2</v>
      </c>
      <c r="AD974" s="1" t="s">
        <v>40</v>
      </c>
      <c r="AE974">
        <v>2</v>
      </c>
      <c r="AF974">
        <v>0</v>
      </c>
      <c r="AG974">
        <v>16.282894736842106</v>
      </c>
    </row>
    <row r="975" spans="1:33">
      <c r="A975" s="1" t="s">
        <v>977</v>
      </c>
      <c r="B975" s="1" t="s">
        <v>2041</v>
      </c>
      <c r="C975" s="2">
        <v>46229</v>
      </c>
      <c r="D975" s="1" t="s">
        <v>49</v>
      </c>
      <c r="E975">
        <v>135</v>
      </c>
      <c r="F975" s="2">
        <v>46081</v>
      </c>
      <c r="G975" s="1" t="s">
        <v>978</v>
      </c>
      <c r="H975" s="1" t="s">
        <v>960</v>
      </c>
      <c r="I975" s="1" t="s">
        <v>37</v>
      </c>
      <c r="J975" s="1" t="s">
        <v>955</v>
      </c>
      <c r="K975" s="1" t="s">
        <v>39</v>
      </c>
      <c r="L975">
        <v>72</v>
      </c>
      <c r="M975">
        <v>31.1</v>
      </c>
      <c r="N975">
        <v>31.7</v>
      </c>
      <c r="O975">
        <v>18.3</v>
      </c>
      <c r="P975">
        <v>1.804E-2</v>
      </c>
      <c r="Q975">
        <v>6.6</v>
      </c>
      <c r="R975">
        <v>9.85</v>
      </c>
      <c r="S975">
        <v>9</v>
      </c>
      <c r="T975">
        <v>4</v>
      </c>
      <c r="U975">
        <v>36</v>
      </c>
      <c r="V975">
        <v>88.2</v>
      </c>
      <c r="W975">
        <v>262.60000000000002</v>
      </c>
      <c r="X975">
        <v>0.64944000000000002</v>
      </c>
      <c r="Y975">
        <v>1.875</v>
      </c>
      <c r="Z975">
        <v>3.3825000000000001E-2</v>
      </c>
      <c r="AA975">
        <v>5.2083333333333336E-2</v>
      </c>
      <c r="AB975">
        <v>1329.75</v>
      </c>
      <c r="AC975">
        <v>1</v>
      </c>
      <c r="AD975" s="1" t="s">
        <v>44</v>
      </c>
      <c r="AE975">
        <v>0</v>
      </c>
      <c r="AF975">
        <v>1</v>
      </c>
      <c r="AG975">
        <v>4.8684210526315788</v>
      </c>
    </row>
    <row r="976" spans="1:33">
      <c r="A976" s="1" t="s">
        <v>979</v>
      </c>
      <c r="B976" s="1" t="s">
        <v>2042</v>
      </c>
      <c r="C976" s="2">
        <v>46296</v>
      </c>
      <c r="D976" s="1" t="s">
        <v>34</v>
      </c>
      <c r="E976">
        <v>872</v>
      </c>
      <c r="F976" s="2">
        <v>46081</v>
      </c>
      <c r="G976" s="1" t="s">
        <v>980</v>
      </c>
      <c r="H976" s="1" t="s">
        <v>577</v>
      </c>
      <c r="I976" s="1" t="s">
        <v>37</v>
      </c>
      <c r="J976" s="1" t="s">
        <v>955</v>
      </c>
      <c r="K976" s="1" t="s">
        <v>39</v>
      </c>
      <c r="L976">
        <v>96</v>
      </c>
      <c r="M976">
        <v>37.1</v>
      </c>
      <c r="N976">
        <v>23.3</v>
      </c>
      <c r="O976">
        <v>17.5</v>
      </c>
      <c r="P976">
        <v>1.5129999999999999E-2</v>
      </c>
      <c r="Q976">
        <v>4.84</v>
      </c>
      <c r="R976">
        <v>4.2699999999999996</v>
      </c>
      <c r="S976">
        <v>12</v>
      </c>
      <c r="T976">
        <v>8</v>
      </c>
      <c r="U976">
        <v>96</v>
      </c>
      <c r="V976">
        <v>155</v>
      </c>
      <c r="W976">
        <v>489.64</v>
      </c>
      <c r="X976">
        <v>1.45248</v>
      </c>
      <c r="Y976">
        <v>9.0833333333333339</v>
      </c>
      <c r="Z976">
        <v>0.13743083333333334</v>
      </c>
      <c r="AA976">
        <v>9.4618055555555566E-2</v>
      </c>
      <c r="AB976">
        <v>3723.4399999999996</v>
      </c>
      <c r="AC976">
        <v>1</v>
      </c>
      <c r="AD976" s="1" t="s">
        <v>44</v>
      </c>
      <c r="AE976">
        <v>0</v>
      </c>
      <c r="AF976">
        <v>1</v>
      </c>
      <c r="AG976">
        <v>7.0723684210526319</v>
      </c>
    </row>
    <row r="977" spans="1:33">
      <c r="A977" s="1" t="s">
        <v>981</v>
      </c>
      <c r="B977" s="1" t="s">
        <v>2043</v>
      </c>
      <c r="C977" s="2">
        <v>46211</v>
      </c>
      <c r="D977" s="1" t="s">
        <v>34</v>
      </c>
      <c r="E977">
        <v>1131</v>
      </c>
      <c r="F977" s="2">
        <v>46081</v>
      </c>
      <c r="G977" s="1" t="s">
        <v>982</v>
      </c>
      <c r="H977" s="1" t="s">
        <v>577</v>
      </c>
      <c r="I977" s="1" t="s">
        <v>37</v>
      </c>
      <c r="J977" s="1" t="s">
        <v>955</v>
      </c>
      <c r="K977" s="1" t="s">
        <v>39</v>
      </c>
      <c r="L977">
        <v>72</v>
      </c>
      <c r="M977">
        <v>35.299999999999997</v>
      </c>
      <c r="N977">
        <v>29.6</v>
      </c>
      <c r="O977">
        <v>16.2</v>
      </c>
      <c r="P977">
        <v>1.6930000000000001E-2</v>
      </c>
      <c r="Q977">
        <v>7.08</v>
      </c>
      <c r="R977">
        <v>7.28</v>
      </c>
      <c r="S977">
        <v>9</v>
      </c>
      <c r="T977">
        <v>5</v>
      </c>
      <c r="U977">
        <v>45</v>
      </c>
      <c r="V977">
        <v>96</v>
      </c>
      <c r="W977">
        <v>343.6</v>
      </c>
      <c r="X977">
        <v>0.76185000000000003</v>
      </c>
      <c r="Y977">
        <v>15.708333333333334</v>
      </c>
      <c r="Z977">
        <v>0.26594208333333336</v>
      </c>
      <c r="AA977">
        <v>0.34907407407407409</v>
      </c>
      <c r="AB977">
        <v>8233.68</v>
      </c>
      <c r="AC977">
        <v>1</v>
      </c>
      <c r="AD977" s="1" t="s">
        <v>40</v>
      </c>
      <c r="AE977">
        <v>1</v>
      </c>
      <c r="AF977">
        <v>0</v>
      </c>
      <c r="AG977">
        <v>4.2763157894736841</v>
      </c>
    </row>
    <row r="978" spans="1:33">
      <c r="A978" s="1" t="s">
        <v>981</v>
      </c>
      <c r="B978" s="1" t="s">
        <v>2044</v>
      </c>
      <c r="C978" s="2">
        <v>46543</v>
      </c>
      <c r="D978" s="1" t="s">
        <v>34</v>
      </c>
      <c r="E978">
        <v>596</v>
      </c>
      <c r="F978" s="2">
        <v>46081</v>
      </c>
      <c r="G978" s="1" t="s">
        <v>982</v>
      </c>
      <c r="H978" s="1" t="s">
        <v>577</v>
      </c>
      <c r="I978" s="1" t="s">
        <v>37</v>
      </c>
      <c r="J978" s="1" t="s">
        <v>955</v>
      </c>
      <c r="K978" s="1" t="s">
        <v>39</v>
      </c>
      <c r="L978">
        <v>72</v>
      </c>
      <c r="M978">
        <v>35.299999999999997</v>
      </c>
      <c r="N978">
        <v>29.6</v>
      </c>
      <c r="O978">
        <v>16.2</v>
      </c>
      <c r="P978">
        <v>1.6930000000000001E-2</v>
      </c>
      <c r="Q978">
        <v>7.08</v>
      </c>
      <c r="R978">
        <v>7.28</v>
      </c>
      <c r="S978">
        <v>9</v>
      </c>
      <c r="T978">
        <v>5</v>
      </c>
      <c r="U978">
        <v>45</v>
      </c>
      <c r="V978">
        <v>96</v>
      </c>
      <c r="W978">
        <v>343.6</v>
      </c>
      <c r="X978">
        <v>0.76185000000000003</v>
      </c>
      <c r="Y978">
        <v>8.2777777777777786</v>
      </c>
      <c r="Z978">
        <v>0.14014277777777778</v>
      </c>
      <c r="AA978">
        <v>0.18395061728395062</v>
      </c>
      <c r="AB978">
        <v>4338.88</v>
      </c>
      <c r="AC978">
        <v>1</v>
      </c>
      <c r="AD978" s="1" t="s">
        <v>44</v>
      </c>
      <c r="AE978">
        <v>0</v>
      </c>
      <c r="AF978">
        <v>1</v>
      </c>
      <c r="AG978">
        <v>15.197368421052632</v>
      </c>
    </row>
    <row r="979" spans="1:33">
      <c r="A979" s="1" t="s">
        <v>983</v>
      </c>
      <c r="B979" s="1" t="s">
        <v>2045</v>
      </c>
      <c r="C979" s="2">
        <v>46659</v>
      </c>
      <c r="D979" s="1" t="s">
        <v>34</v>
      </c>
      <c r="E979">
        <v>1961</v>
      </c>
      <c r="F979" s="2">
        <v>46081</v>
      </c>
      <c r="G979" s="1" t="s">
        <v>984</v>
      </c>
      <c r="H979" s="1" t="s">
        <v>577</v>
      </c>
      <c r="I979" s="1" t="s">
        <v>37</v>
      </c>
      <c r="J979" s="1" t="s">
        <v>955</v>
      </c>
      <c r="K979" s="1" t="s">
        <v>39</v>
      </c>
      <c r="L979">
        <v>96</v>
      </c>
      <c r="M979">
        <v>30.6</v>
      </c>
      <c r="N979">
        <v>32.799999999999997</v>
      </c>
      <c r="O979">
        <v>18.3</v>
      </c>
      <c r="P979">
        <v>1.8370000000000001E-2</v>
      </c>
      <c r="Q979">
        <v>9.14</v>
      </c>
      <c r="R979">
        <v>8.56</v>
      </c>
      <c r="S979">
        <v>8</v>
      </c>
      <c r="T979">
        <v>4</v>
      </c>
      <c r="U979">
        <v>32</v>
      </c>
      <c r="V979">
        <v>88.2</v>
      </c>
      <c r="W979">
        <v>317.48</v>
      </c>
      <c r="X979">
        <v>0.58784000000000003</v>
      </c>
      <c r="Y979">
        <v>20.427083333333332</v>
      </c>
      <c r="Z979">
        <v>0.37524552083333335</v>
      </c>
      <c r="AA979">
        <v>0.63834635416666663</v>
      </c>
      <c r="AB979">
        <v>16786.16</v>
      </c>
      <c r="AC979">
        <v>1</v>
      </c>
      <c r="AD979" s="1" t="s">
        <v>40</v>
      </c>
      <c r="AE979">
        <v>1</v>
      </c>
      <c r="AF979">
        <v>0</v>
      </c>
      <c r="AG979">
        <v>19.013157894736842</v>
      </c>
    </row>
    <row r="980" spans="1:33">
      <c r="A980" s="1" t="s">
        <v>983</v>
      </c>
      <c r="B980" s="1" t="s">
        <v>2046</v>
      </c>
      <c r="C980" s="2">
        <v>46482</v>
      </c>
      <c r="D980" s="1" t="s">
        <v>34</v>
      </c>
      <c r="E980">
        <v>1714</v>
      </c>
      <c r="F980" s="2">
        <v>46081</v>
      </c>
      <c r="G980" s="1" t="s">
        <v>984</v>
      </c>
      <c r="H980" s="1" t="s">
        <v>577</v>
      </c>
      <c r="I980" s="1" t="s">
        <v>37</v>
      </c>
      <c r="J980" s="1" t="s">
        <v>955</v>
      </c>
      <c r="K980" s="1" t="s">
        <v>39</v>
      </c>
      <c r="L980">
        <v>96</v>
      </c>
      <c r="M980">
        <v>30.6</v>
      </c>
      <c r="N980">
        <v>32.799999999999997</v>
      </c>
      <c r="O980">
        <v>18.3</v>
      </c>
      <c r="P980">
        <v>1.8370000000000001E-2</v>
      </c>
      <c r="Q980">
        <v>9.14</v>
      </c>
      <c r="R980">
        <v>8.56</v>
      </c>
      <c r="S980">
        <v>8</v>
      </c>
      <c r="T980">
        <v>4</v>
      </c>
      <c r="U980">
        <v>32</v>
      </c>
      <c r="V980">
        <v>88.2</v>
      </c>
      <c r="W980">
        <v>317.48</v>
      </c>
      <c r="X980">
        <v>0.58784000000000003</v>
      </c>
      <c r="Y980">
        <v>17.854166666666668</v>
      </c>
      <c r="Z980">
        <v>0.3279810416666667</v>
      </c>
      <c r="AA980">
        <v>0.55794270833333337</v>
      </c>
      <c r="AB980">
        <v>14671.84</v>
      </c>
      <c r="AC980">
        <v>1</v>
      </c>
      <c r="AD980" s="1" t="s">
        <v>40</v>
      </c>
      <c r="AE980">
        <v>1</v>
      </c>
      <c r="AF980">
        <v>0</v>
      </c>
      <c r="AG980">
        <v>13.190789473684211</v>
      </c>
    </row>
    <row r="981" spans="1:33">
      <c r="A981" s="1" t="s">
        <v>985</v>
      </c>
      <c r="B981" s="1" t="s">
        <v>2047</v>
      </c>
      <c r="C981" s="2">
        <v>46428</v>
      </c>
      <c r="D981" s="1" t="s">
        <v>34</v>
      </c>
      <c r="E981">
        <v>2079</v>
      </c>
      <c r="F981" s="2">
        <v>46081</v>
      </c>
      <c r="G981" s="1" t="s">
        <v>986</v>
      </c>
      <c r="H981" s="1" t="s">
        <v>577</v>
      </c>
      <c r="I981" s="1" t="s">
        <v>37</v>
      </c>
      <c r="J981" s="1" t="s">
        <v>955</v>
      </c>
      <c r="K981" s="1" t="s">
        <v>39</v>
      </c>
      <c r="L981">
        <v>144</v>
      </c>
      <c r="M981">
        <v>38.700000000000003</v>
      </c>
      <c r="N981">
        <v>29.2</v>
      </c>
      <c r="O981">
        <v>17.100000000000001</v>
      </c>
      <c r="P981">
        <v>1.932E-2</v>
      </c>
      <c r="Q981">
        <v>9.26</v>
      </c>
      <c r="R981">
        <v>11.27</v>
      </c>
      <c r="S981">
        <v>9</v>
      </c>
      <c r="T981">
        <v>8</v>
      </c>
      <c r="U981">
        <v>72</v>
      </c>
      <c r="V981">
        <v>151.80000000000001</v>
      </c>
      <c r="W981">
        <v>691.72</v>
      </c>
      <c r="X981">
        <v>1.3910400000000001</v>
      </c>
      <c r="Y981">
        <v>14.4375</v>
      </c>
      <c r="Z981">
        <v>0.27893250000000003</v>
      </c>
      <c r="AA981">
        <v>0.20052083333333334</v>
      </c>
      <c r="AB981">
        <v>23430.329999999998</v>
      </c>
      <c r="AC981">
        <v>1</v>
      </c>
      <c r="AD981" s="1" t="s">
        <v>40</v>
      </c>
      <c r="AE981">
        <v>1</v>
      </c>
      <c r="AF981">
        <v>0</v>
      </c>
      <c r="AG981">
        <v>11.414473684210527</v>
      </c>
    </row>
    <row r="982" spans="1:33">
      <c r="A982" s="1" t="s">
        <v>987</v>
      </c>
      <c r="B982" s="1" t="s">
        <v>2048</v>
      </c>
      <c r="C982" s="2">
        <v>46643</v>
      </c>
      <c r="D982" s="1" t="s">
        <v>34</v>
      </c>
      <c r="E982">
        <v>214</v>
      </c>
      <c r="F982" s="2">
        <v>46081</v>
      </c>
      <c r="G982" s="1" t="s">
        <v>988</v>
      </c>
      <c r="H982" s="1" t="s">
        <v>960</v>
      </c>
      <c r="I982" s="1" t="s">
        <v>37</v>
      </c>
      <c r="J982" s="1" t="s">
        <v>955</v>
      </c>
      <c r="K982" s="1" t="s">
        <v>39</v>
      </c>
      <c r="L982">
        <v>48</v>
      </c>
      <c r="M982">
        <v>32.1</v>
      </c>
      <c r="N982">
        <v>21.6</v>
      </c>
      <c r="O982">
        <v>18.8</v>
      </c>
      <c r="P982">
        <v>1.304E-2</v>
      </c>
      <c r="Q982">
        <v>5.32</v>
      </c>
      <c r="R982">
        <v>9.9600000000000009</v>
      </c>
      <c r="S982">
        <v>15</v>
      </c>
      <c r="T982">
        <v>5</v>
      </c>
      <c r="U982">
        <v>75</v>
      </c>
      <c r="V982">
        <v>109</v>
      </c>
      <c r="W982">
        <v>424</v>
      </c>
      <c r="X982">
        <v>0.97799999999999998</v>
      </c>
      <c r="Y982">
        <v>4.458333333333333</v>
      </c>
      <c r="Z982">
        <v>5.8136666666666663E-2</v>
      </c>
      <c r="AA982">
        <v>5.9444444444444439E-2</v>
      </c>
      <c r="AB982">
        <v>2131.44</v>
      </c>
      <c r="AC982">
        <v>1</v>
      </c>
      <c r="AD982" s="1" t="s">
        <v>44</v>
      </c>
      <c r="AE982">
        <v>0</v>
      </c>
      <c r="AF982">
        <v>1</v>
      </c>
      <c r="AG982">
        <v>18.486842105263158</v>
      </c>
    </row>
    <row r="983" spans="1:33">
      <c r="A983" s="1" t="s">
        <v>989</v>
      </c>
      <c r="B983" s="1" t="s">
        <v>2049</v>
      </c>
      <c r="C983" s="2">
        <v>47008</v>
      </c>
      <c r="D983" s="1" t="s">
        <v>34</v>
      </c>
      <c r="E983">
        <v>6594</v>
      </c>
      <c r="F983" s="2">
        <v>46081</v>
      </c>
      <c r="G983" s="1" t="s">
        <v>990</v>
      </c>
      <c r="H983" s="1" t="s">
        <v>960</v>
      </c>
      <c r="I983" s="1" t="s">
        <v>37</v>
      </c>
      <c r="J983" s="1" t="s">
        <v>955</v>
      </c>
      <c r="K983" s="1" t="s">
        <v>39</v>
      </c>
      <c r="L983">
        <v>48</v>
      </c>
      <c r="M983">
        <v>40.6</v>
      </c>
      <c r="N983">
        <v>27.5</v>
      </c>
      <c r="O983">
        <v>17.8</v>
      </c>
      <c r="P983">
        <v>1.9869999999999999E-2</v>
      </c>
      <c r="Q983">
        <v>8.65</v>
      </c>
      <c r="R983">
        <v>7.37</v>
      </c>
      <c r="S983">
        <v>8</v>
      </c>
      <c r="T983">
        <v>3</v>
      </c>
      <c r="U983">
        <v>24</v>
      </c>
      <c r="V983">
        <v>68.400000000000006</v>
      </c>
      <c r="W983">
        <v>232.6</v>
      </c>
      <c r="X983">
        <v>0.47687999999999992</v>
      </c>
      <c r="Y983">
        <v>137.375</v>
      </c>
      <c r="Z983">
        <v>2.7296412499999998</v>
      </c>
      <c r="AA983">
        <v>5.723958333333333</v>
      </c>
      <c r="AB983">
        <v>48597.78</v>
      </c>
      <c r="AC983">
        <v>6</v>
      </c>
      <c r="AD983" s="1" t="s">
        <v>40</v>
      </c>
      <c r="AE983">
        <v>6</v>
      </c>
      <c r="AF983">
        <v>0</v>
      </c>
      <c r="AG983">
        <v>30.493421052631579</v>
      </c>
    </row>
    <row r="984" spans="1:33">
      <c r="A984" s="1" t="s">
        <v>989</v>
      </c>
      <c r="B984" s="1" t="s">
        <v>2050</v>
      </c>
      <c r="C984" s="2">
        <v>46978</v>
      </c>
      <c r="D984" s="1" t="s">
        <v>34</v>
      </c>
      <c r="E984">
        <v>52</v>
      </c>
      <c r="F984" s="2">
        <v>46081</v>
      </c>
      <c r="G984" s="1" t="s">
        <v>990</v>
      </c>
      <c r="H984" s="1" t="s">
        <v>960</v>
      </c>
      <c r="I984" s="1" t="s">
        <v>37</v>
      </c>
      <c r="J984" s="1" t="s">
        <v>955</v>
      </c>
      <c r="K984" s="1" t="s">
        <v>39</v>
      </c>
      <c r="L984">
        <v>48</v>
      </c>
      <c r="M984">
        <v>40.6</v>
      </c>
      <c r="N984">
        <v>27.5</v>
      </c>
      <c r="O984">
        <v>17.8</v>
      </c>
      <c r="P984">
        <v>1.9869999999999999E-2</v>
      </c>
      <c r="Q984">
        <v>8.65</v>
      </c>
      <c r="R984">
        <v>7.37</v>
      </c>
      <c r="S984">
        <v>8</v>
      </c>
      <c r="T984">
        <v>3</v>
      </c>
      <c r="U984">
        <v>24</v>
      </c>
      <c r="V984">
        <v>68.400000000000006</v>
      </c>
      <c r="W984">
        <v>232.6</v>
      </c>
      <c r="X984">
        <v>0.47687999999999992</v>
      </c>
      <c r="Y984">
        <v>1.0833333333333333</v>
      </c>
      <c r="Z984">
        <v>2.1525833333333331E-2</v>
      </c>
      <c r="AA984">
        <v>4.5138888888888888E-2</v>
      </c>
      <c r="AB984">
        <v>383.24</v>
      </c>
      <c r="AC984">
        <v>1</v>
      </c>
      <c r="AD984" s="1" t="s">
        <v>44</v>
      </c>
      <c r="AE984">
        <v>0</v>
      </c>
      <c r="AF984">
        <v>1</v>
      </c>
      <c r="AG984">
        <v>29.506578947368421</v>
      </c>
    </row>
    <row r="985" spans="1:33">
      <c r="A985" s="1" t="s">
        <v>991</v>
      </c>
      <c r="B985" s="1" t="s">
        <v>2051</v>
      </c>
      <c r="C985" s="2">
        <v>46299</v>
      </c>
      <c r="D985" s="1" t="s">
        <v>34</v>
      </c>
      <c r="E985">
        <v>307</v>
      </c>
      <c r="F985" s="2">
        <v>46081</v>
      </c>
      <c r="G985" s="1" t="s">
        <v>992</v>
      </c>
      <c r="H985" s="1" t="s">
        <v>577</v>
      </c>
      <c r="I985" s="1" t="s">
        <v>37</v>
      </c>
      <c r="J985" s="1" t="s">
        <v>955</v>
      </c>
      <c r="K985" s="1" t="s">
        <v>39</v>
      </c>
      <c r="L985">
        <v>48</v>
      </c>
      <c r="M985">
        <v>38.1</v>
      </c>
      <c r="N985">
        <v>24.8</v>
      </c>
      <c r="O985">
        <v>22.5</v>
      </c>
      <c r="P985">
        <v>2.1260000000000001E-2</v>
      </c>
      <c r="Q985">
        <v>7.79</v>
      </c>
      <c r="R985">
        <v>5.55</v>
      </c>
      <c r="S985">
        <v>10</v>
      </c>
      <c r="T985">
        <v>4</v>
      </c>
      <c r="U985">
        <v>40</v>
      </c>
      <c r="V985">
        <v>105</v>
      </c>
      <c r="W985">
        <v>336.6</v>
      </c>
      <c r="X985">
        <v>0.85040000000000004</v>
      </c>
      <c r="Y985">
        <v>6.395833333333333</v>
      </c>
      <c r="Z985">
        <v>0.13597541666666665</v>
      </c>
      <c r="AA985">
        <v>0.15989583333333332</v>
      </c>
      <c r="AB985">
        <v>1703.85</v>
      </c>
      <c r="AC985">
        <v>1</v>
      </c>
      <c r="AD985" s="1" t="s">
        <v>44</v>
      </c>
      <c r="AE985">
        <v>0</v>
      </c>
      <c r="AF985">
        <v>1</v>
      </c>
      <c r="AG985">
        <v>7.1710526315789478</v>
      </c>
    </row>
    <row r="986" spans="1:33">
      <c r="A986" s="1" t="s">
        <v>993</v>
      </c>
      <c r="B986" s="1" t="s">
        <v>2052</v>
      </c>
      <c r="C986" s="2">
        <v>47044</v>
      </c>
      <c r="D986" s="1" t="s">
        <v>34</v>
      </c>
      <c r="E986">
        <v>24</v>
      </c>
      <c r="F986" s="2">
        <v>46081</v>
      </c>
      <c r="G986" s="1" t="s">
        <v>994</v>
      </c>
      <c r="H986" s="1" t="s">
        <v>960</v>
      </c>
      <c r="I986" s="1" t="s">
        <v>37</v>
      </c>
      <c r="J986" s="1" t="s">
        <v>955</v>
      </c>
      <c r="K986" s="1" t="s">
        <v>39</v>
      </c>
      <c r="L986">
        <v>96</v>
      </c>
      <c r="M986">
        <v>31.7</v>
      </c>
      <c r="N986">
        <v>30.1</v>
      </c>
      <c r="O986">
        <v>23.9</v>
      </c>
      <c r="P986">
        <v>2.2800000000000001E-2</v>
      </c>
      <c r="Q986">
        <v>9.06</v>
      </c>
      <c r="R986">
        <v>5.87</v>
      </c>
      <c r="S986">
        <v>9</v>
      </c>
      <c r="T986">
        <v>6</v>
      </c>
      <c r="U986">
        <v>54</v>
      </c>
      <c r="V986">
        <v>158.39999999999998</v>
      </c>
      <c r="W986">
        <v>514.24</v>
      </c>
      <c r="X986">
        <v>1.2312000000000001</v>
      </c>
      <c r="Y986">
        <v>0.25</v>
      </c>
      <c r="Z986">
        <v>5.7000000000000002E-3</v>
      </c>
      <c r="AA986">
        <v>4.6296296296296294E-3</v>
      </c>
      <c r="AB986">
        <v>140.88</v>
      </c>
      <c r="AC986">
        <v>1</v>
      </c>
      <c r="AD986" s="1" t="s">
        <v>44</v>
      </c>
      <c r="AE986">
        <v>0</v>
      </c>
      <c r="AF986">
        <v>1</v>
      </c>
      <c r="AG986">
        <v>31.67763157894737</v>
      </c>
    </row>
    <row r="987" spans="1:33">
      <c r="A987" s="1" t="s">
        <v>995</v>
      </c>
      <c r="B987" s="1" t="s">
        <v>2053</v>
      </c>
      <c r="C987" s="2">
        <v>46581</v>
      </c>
      <c r="D987" s="1" t="s">
        <v>34</v>
      </c>
      <c r="E987">
        <v>763</v>
      </c>
      <c r="F987" s="2">
        <v>46081</v>
      </c>
      <c r="G987" s="1" t="s">
        <v>996</v>
      </c>
      <c r="H987" s="1" t="s">
        <v>960</v>
      </c>
      <c r="I987" s="1" t="s">
        <v>37</v>
      </c>
      <c r="J987" s="1" t="s">
        <v>955</v>
      </c>
      <c r="K987" s="1" t="s">
        <v>39</v>
      </c>
      <c r="L987">
        <v>96</v>
      </c>
      <c r="M987">
        <v>43.1</v>
      </c>
      <c r="N987">
        <v>29.3</v>
      </c>
      <c r="O987">
        <v>22.6</v>
      </c>
      <c r="P987">
        <v>2.8539999999999999E-2</v>
      </c>
      <c r="Q987">
        <v>14.06</v>
      </c>
      <c r="R987">
        <v>12.62</v>
      </c>
      <c r="S987">
        <v>8</v>
      </c>
      <c r="T987">
        <v>3</v>
      </c>
      <c r="U987">
        <v>24</v>
      </c>
      <c r="V987">
        <v>82.800000000000011</v>
      </c>
      <c r="W987">
        <v>362.44</v>
      </c>
      <c r="X987">
        <v>0.68496000000000001</v>
      </c>
      <c r="Y987">
        <v>7.947916666666667</v>
      </c>
      <c r="Z987">
        <v>0.22683354166666667</v>
      </c>
      <c r="AA987">
        <v>0.33116319444444448</v>
      </c>
      <c r="AB987">
        <v>9629.06</v>
      </c>
      <c r="AC987">
        <v>1</v>
      </c>
      <c r="AD987" s="1" t="s">
        <v>44</v>
      </c>
      <c r="AE987">
        <v>0</v>
      </c>
      <c r="AF987">
        <v>1</v>
      </c>
      <c r="AG987">
        <v>16.447368421052634</v>
      </c>
    </row>
    <row r="988" spans="1:33">
      <c r="A988" s="1" t="s">
        <v>995</v>
      </c>
      <c r="B988" s="1" t="s">
        <v>2054</v>
      </c>
      <c r="C988" s="2">
        <v>46868</v>
      </c>
      <c r="D988" s="1" t="s">
        <v>34</v>
      </c>
      <c r="E988">
        <v>850</v>
      </c>
      <c r="F988" s="2">
        <v>46081</v>
      </c>
      <c r="G988" s="1" t="s">
        <v>996</v>
      </c>
      <c r="H988" s="1" t="s">
        <v>960</v>
      </c>
      <c r="I988" s="1" t="s">
        <v>37</v>
      </c>
      <c r="J988" s="1" t="s">
        <v>955</v>
      </c>
      <c r="K988" s="1" t="s">
        <v>39</v>
      </c>
      <c r="L988">
        <v>96</v>
      </c>
      <c r="M988">
        <v>43.1</v>
      </c>
      <c r="N988">
        <v>29.3</v>
      </c>
      <c r="O988">
        <v>22.6</v>
      </c>
      <c r="P988">
        <v>2.8539999999999999E-2</v>
      </c>
      <c r="Q988">
        <v>14.06</v>
      </c>
      <c r="R988">
        <v>12.62</v>
      </c>
      <c r="S988">
        <v>8</v>
      </c>
      <c r="T988">
        <v>3</v>
      </c>
      <c r="U988">
        <v>24</v>
      </c>
      <c r="V988">
        <v>82.800000000000011</v>
      </c>
      <c r="W988">
        <v>362.44</v>
      </c>
      <c r="X988">
        <v>0.68496000000000001</v>
      </c>
      <c r="Y988">
        <v>8.8541666666666661</v>
      </c>
      <c r="Z988">
        <v>0.25269791666666663</v>
      </c>
      <c r="AA988">
        <v>0.3689236111111111</v>
      </c>
      <c r="AB988">
        <v>10727</v>
      </c>
      <c r="AC988">
        <v>1</v>
      </c>
      <c r="AD988" s="1" t="s">
        <v>40</v>
      </c>
      <c r="AE988">
        <v>1</v>
      </c>
      <c r="AF988">
        <v>0</v>
      </c>
      <c r="AG988">
        <v>25.888157894736842</v>
      </c>
    </row>
    <row r="989" spans="1:33">
      <c r="A989" s="1" t="s">
        <v>995</v>
      </c>
      <c r="B989" s="1" t="s">
        <v>2055</v>
      </c>
      <c r="C989" s="2">
        <v>46457</v>
      </c>
      <c r="D989" s="1" t="s">
        <v>49</v>
      </c>
      <c r="E989">
        <v>80</v>
      </c>
      <c r="F989" s="2">
        <v>46081</v>
      </c>
      <c r="G989" s="1" t="s">
        <v>996</v>
      </c>
      <c r="H989" s="1" t="s">
        <v>960</v>
      </c>
      <c r="I989" s="1" t="s">
        <v>37</v>
      </c>
      <c r="J989" s="1" t="s">
        <v>955</v>
      </c>
      <c r="K989" s="1" t="s">
        <v>39</v>
      </c>
      <c r="L989">
        <v>96</v>
      </c>
      <c r="M989">
        <v>43.1</v>
      </c>
      <c r="N989">
        <v>29.3</v>
      </c>
      <c r="O989">
        <v>22.6</v>
      </c>
      <c r="P989">
        <v>2.8539999999999999E-2</v>
      </c>
      <c r="Q989">
        <v>14.06</v>
      </c>
      <c r="R989">
        <v>12.62</v>
      </c>
      <c r="S989">
        <v>8</v>
      </c>
      <c r="T989">
        <v>3</v>
      </c>
      <c r="U989">
        <v>24</v>
      </c>
      <c r="V989">
        <v>82.800000000000011</v>
      </c>
      <c r="W989">
        <v>362.44</v>
      </c>
      <c r="X989">
        <v>0.68496000000000001</v>
      </c>
      <c r="Y989">
        <v>0.83333333333333337</v>
      </c>
      <c r="Z989">
        <v>2.3783333333333333E-2</v>
      </c>
      <c r="AA989">
        <v>3.4722222222222224E-2</v>
      </c>
      <c r="AB989">
        <v>1009.5999999999999</v>
      </c>
      <c r="AC989">
        <v>1</v>
      </c>
      <c r="AD989" s="1" t="s">
        <v>44</v>
      </c>
      <c r="AE989">
        <v>0</v>
      </c>
      <c r="AF989">
        <v>1</v>
      </c>
      <c r="AG989">
        <v>12.368421052631579</v>
      </c>
    </row>
    <row r="990" spans="1:33">
      <c r="A990" s="1" t="s">
        <v>997</v>
      </c>
      <c r="B990" s="1" t="s">
        <v>2056</v>
      </c>
      <c r="C990" s="2">
        <v>46540</v>
      </c>
      <c r="D990" s="1" t="s">
        <v>34</v>
      </c>
      <c r="E990">
        <v>2269</v>
      </c>
      <c r="F990" s="2">
        <v>46081</v>
      </c>
      <c r="G990" s="1" t="s">
        <v>998</v>
      </c>
      <c r="H990" s="1" t="s">
        <v>577</v>
      </c>
      <c r="I990" s="1" t="s">
        <v>37</v>
      </c>
      <c r="J990" s="1" t="s">
        <v>955</v>
      </c>
      <c r="K990" s="1" t="s">
        <v>39</v>
      </c>
      <c r="L990">
        <v>96</v>
      </c>
      <c r="M990">
        <v>40</v>
      </c>
      <c r="N990">
        <v>31.9</v>
      </c>
      <c r="O990">
        <v>19.5</v>
      </c>
      <c r="P990">
        <v>2.4879999999999999E-2</v>
      </c>
      <c r="Q990">
        <v>10.29</v>
      </c>
      <c r="R990">
        <v>13.96</v>
      </c>
      <c r="S990">
        <v>9</v>
      </c>
      <c r="T990">
        <v>5</v>
      </c>
      <c r="U990">
        <v>45</v>
      </c>
      <c r="V990">
        <v>112.5</v>
      </c>
      <c r="W990">
        <v>488.05</v>
      </c>
      <c r="X990">
        <v>1.1195999999999999</v>
      </c>
      <c r="Y990">
        <v>23.635416666666668</v>
      </c>
      <c r="Z990">
        <v>0.58804916666666673</v>
      </c>
      <c r="AA990">
        <v>0.52523148148148147</v>
      </c>
      <c r="AB990">
        <v>31675.24</v>
      </c>
      <c r="AC990">
        <v>1</v>
      </c>
      <c r="AD990" s="1" t="s">
        <v>40</v>
      </c>
      <c r="AE990">
        <v>1</v>
      </c>
      <c r="AF990">
        <v>0</v>
      </c>
      <c r="AG990">
        <v>15.098684210526317</v>
      </c>
    </row>
    <row r="991" spans="1:33">
      <c r="A991" s="1" t="s">
        <v>997</v>
      </c>
      <c r="B991" s="1" t="s">
        <v>2057</v>
      </c>
      <c r="C991" s="2">
        <v>46701</v>
      </c>
      <c r="D991" s="1" t="s">
        <v>34</v>
      </c>
      <c r="E991">
        <v>5080</v>
      </c>
      <c r="F991" s="2">
        <v>46081</v>
      </c>
      <c r="G991" s="1" t="s">
        <v>998</v>
      </c>
      <c r="H991" s="1" t="s">
        <v>577</v>
      </c>
      <c r="I991" s="1" t="s">
        <v>37</v>
      </c>
      <c r="J991" s="1" t="s">
        <v>955</v>
      </c>
      <c r="K991" s="1" t="s">
        <v>39</v>
      </c>
      <c r="L991">
        <v>96</v>
      </c>
      <c r="M991">
        <v>40</v>
      </c>
      <c r="N991">
        <v>31.9</v>
      </c>
      <c r="O991">
        <v>19.5</v>
      </c>
      <c r="P991">
        <v>2.4879999999999999E-2</v>
      </c>
      <c r="Q991">
        <v>10.29</v>
      </c>
      <c r="R991">
        <v>13.96</v>
      </c>
      <c r="S991">
        <v>9</v>
      </c>
      <c r="T991">
        <v>5</v>
      </c>
      <c r="U991">
        <v>45</v>
      </c>
      <c r="V991">
        <v>112.5</v>
      </c>
      <c r="W991">
        <v>488.05</v>
      </c>
      <c r="X991">
        <v>1.1195999999999999</v>
      </c>
      <c r="Y991">
        <v>52.916666666666664</v>
      </c>
      <c r="Z991">
        <v>1.3165666666666667</v>
      </c>
      <c r="AA991">
        <v>1.1759259259259258</v>
      </c>
      <c r="AB991">
        <v>70916.800000000003</v>
      </c>
      <c r="AC991">
        <v>2</v>
      </c>
      <c r="AD991" s="1" t="s">
        <v>40</v>
      </c>
      <c r="AE991">
        <v>2</v>
      </c>
      <c r="AF991">
        <v>0</v>
      </c>
      <c r="AG991">
        <v>20.394736842105264</v>
      </c>
    </row>
    <row r="992" spans="1:33">
      <c r="A992" s="1" t="s">
        <v>997</v>
      </c>
      <c r="B992" s="1" t="s">
        <v>2058</v>
      </c>
      <c r="C992" s="2">
        <v>46437</v>
      </c>
      <c r="D992" s="1" t="s">
        <v>34</v>
      </c>
      <c r="E992">
        <v>3573</v>
      </c>
      <c r="F992" s="2">
        <v>46081</v>
      </c>
      <c r="G992" s="1" t="s">
        <v>998</v>
      </c>
      <c r="H992" s="1" t="s">
        <v>577</v>
      </c>
      <c r="I992" s="1" t="s">
        <v>37</v>
      </c>
      <c r="J992" s="1" t="s">
        <v>955</v>
      </c>
      <c r="K992" s="1" t="s">
        <v>39</v>
      </c>
      <c r="L992">
        <v>96</v>
      </c>
      <c r="M992">
        <v>40</v>
      </c>
      <c r="N992">
        <v>31.9</v>
      </c>
      <c r="O992">
        <v>19.5</v>
      </c>
      <c r="P992">
        <v>2.4879999999999999E-2</v>
      </c>
      <c r="Q992">
        <v>10.29</v>
      </c>
      <c r="R992">
        <v>13.96</v>
      </c>
      <c r="S992">
        <v>9</v>
      </c>
      <c r="T992">
        <v>5</v>
      </c>
      <c r="U992">
        <v>45</v>
      </c>
      <c r="V992">
        <v>112.5</v>
      </c>
      <c r="W992">
        <v>488.05</v>
      </c>
      <c r="X992">
        <v>1.1195999999999999</v>
      </c>
      <c r="Y992">
        <v>37.21875</v>
      </c>
      <c r="Z992">
        <v>0.92600249999999995</v>
      </c>
      <c r="AA992">
        <v>0.82708333333333328</v>
      </c>
      <c r="AB992">
        <v>49879.08</v>
      </c>
      <c r="AC992">
        <v>1</v>
      </c>
      <c r="AD992" s="1" t="s">
        <v>40</v>
      </c>
      <c r="AE992">
        <v>1</v>
      </c>
      <c r="AF992">
        <v>0</v>
      </c>
      <c r="AG992">
        <v>11.710526315789474</v>
      </c>
    </row>
    <row r="993" spans="1:33">
      <c r="A993" s="1" t="s">
        <v>997</v>
      </c>
      <c r="B993" s="1" t="s">
        <v>2059</v>
      </c>
      <c r="C993" s="2">
        <v>45750</v>
      </c>
      <c r="D993" s="1" t="s">
        <v>73</v>
      </c>
      <c r="E993">
        <v>873</v>
      </c>
      <c r="F993" s="2">
        <v>46081</v>
      </c>
      <c r="G993" s="1" t="s">
        <v>998</v>
      </c>
      <c r="H993" s="1" t="s">
        <v>577</v>
      </c>
      <c r="I993" s="1" t="s">
        <v>37</v>
      </c>
      <c r="J993" s="1" t="s">
        <v>955</v>
      </c>
      <c r="K993" s="1" t="s">
        <v>39</v>
      </c>
      <c r="L993">
        <v>96</v>
      </c>
      <c r="M993">
        <v>40</v>
      </c>
      <c r="N993">
        <v>31.9</v>
      </c>
      <c r="O993">
        <v>19.5</v>
      </c>
      <c r="P993">
        <v>2.4879999999999999E-2</v>
      </c>
      <c r="Q993">
        <v>10.29</v>
      </c>
      <c r="R993">
        <v>13.96</v>
      </c>
      <c r="S993">
        <v>9</v>
      </c>
      <c r="T993">
        <v>5</v>
      </c>
      <c r="U993">
        <v>45</v>
      </c>
      <c r="V993">
        <v>112.5</v>
      </c>
      <c r="W993">
        <v>488.05</v>
      </c>
      <c r="X993">
        <v>1.1195999999999999</v>
      </c>
      <c r="Y993">
        <v>9.09375</v>
      </c>
      <c r="Z993">
        <v>0.2262525</v>
      </c>
      <c r="AA993">
        <v>0.20208333333333334</v>
      </c>
      <c r="AB993">
        <v>12187.08</v>
      </c>
      <c r="AC993">
        <v>1</v>
      </c>
      <c r="AD993" s="1" t="s">
        <v>74</v>
      </c>
      <c r="AE993">
        <v>0</v>
      </c>
      <c r="AF993">
        <v>0</v>
      </c>
      <c r="AG993">
        <v>-10.888157894736842</v>
      </c>
    </row>
    <row r="994" spans="1:33">
      <c r="A994" s="1" t="s">
        <v>999</v>
      </c>
      <c r="B994" s="1" t="s">
        <v>2060</v>
      </c>
      <c r="C994" s="2">
        <v>46844</v>
      </c>
      <c r="D994" s="1" t="s">
        <v>34</v>
      </c>
      <c r="E994">
        <v>9421</v>
      </c>
      <c r="F994" s="2">
        <v>46081</v>
      </c>
      <c r="G994" s="1" t="s">
        <v>1000</v>
      </c>
      <c r="H994" s="1" t="s">
        <v>577</v>
      </c>
      <c r="I994" s="1" t="s">
        <v>37</v>
      </c>
      <c r="J994" s="1" t="s">
        <v>955</v>
      </c>
      <c r="K994" s="1" t="s">
        <v>39</v>
      </c>
      <c r="L994">
        <v>48</v>
      </c>
      <c r="M994">
        <v>31.6</v>
      </c>
      <c r="N994">
        <v>23.2</v>
      </c>
      <c r="O994">
        <v>19.5</v>
      </c>
      <c r="P994">
        <v>1.43E-2</v>
      </c>
      <c r="Q994">
        <v>4.58</v>
      </c>
      <c r="R994">
        <v>14.71</v>
      </c>
      <c r="S994">
        <v>15</v>
      </c>
      <c r="T994">
        <v>4</v>
      </c>
      <c r="U994">
        <v>60</v>
      </c>
      <c r="V994">
        <v>93</v>
      </c>
      <c r="W994">
        <v>299.8</v>
      </c>
      <c r="X994">
        <v>0.85799999999999998</v>
      </c>
      <c r="Y994">
        <v>196.27083333333334</v>
      </c>
      <c r="Z994">
        <v>2.8066729166666669</v>
      </c>
      <c r="AA994">
        <v>3.2711805555555555</v>
      </c>
      <c r="AB994">
        <v>138582.91</v>
      </c>
      <c r="AC994">
        <v>4</v>
      </c>
      <c r="AD994" s="1" t="s">
        <v>40</v>
      </c>
      <c r="AE994">
        <v>4</v>
      </c>
      <c r="AF994">
        <v>0</v>
      </c>
      <c r="AG994">
        <v>25.098684210526319</v>
      </c>
    </row>
    <row r="995" spans="1:33">
      <c r="A995" s="1" t="s">
        <v>999</v>
      </c>
      <c r="B995" s="1" t="s">
        <v>2061</v>
      </c>
      <c r="C995" s="2">
        <v>46384</v>
      </c>
      <c r="D995" s="1" t="s">
        <v>34</v>
      </c>
      <c r="E995">
        <v>2438</v>
      </c>
      <c r="F995" s="2">
        <v>46081</v>
      </c>
      <c r="G995" s="1" t="s">
        <v>1000</v>
      </c>
      <c r="H995" s="1" t="s">
        <v>577</v>
      </c>
      <c r="I995" s="1" t="s">
        <v>37</v>
      </c>
      <c r="J995" s="1" t="s">
        <v>955</v>
      </c>
      <c r="K995" s="1" t="s">
        <v>39</v>
      </c>
      <c r="L995">
        <v>48</v>
      </c>
      <c r="M995">
        <v>31.6</v>
      </c>
      <c r="N995">
        <v>23.2</v>
      </c>
      <c r="O995">
        <v>19.5</v>
      </c>
      <c r="P995">
        <v>1.43E-2</v>
      </c>
      <c r="Q995">
        <v>4.58</v>
      </c>
      <c r="R995">
        <v>14.71</v>
      </c>
      <c r="S995">
        <v>15</v>
      </c>
      <c r="T995">
        <v>4</v>
      </c>
      <c r="U995">
        <v>60</v>
      </c>
      <c r="V995">
        <v>93</v>
      </c>
      <c r="W995">
        <v>299.8</v>
      </c>
      <c r="X995">
        <v>0.85799999999999998</v>
      </c>
      <c r="Y995">
        <v>50.791666666666664</v>
      </c>
      <c r="Z995">
        <v>0.7263208333333333</v>
      </c>
      <c r="AA995">
        <v>0.84652777777777777</v>
      </c>
      <c r="AB995">
        <v>35862.980000000003</v>
      </c>
      <c r="AC995">
        <v>1</v>
      </c>
      <c r="AD995" s="1" t="s">
        <v>40</v>
      </c>
      <c r="AE995">
        <v>1</v>
      </c>
      <c r="AF995">
        <v>0</v>
      </c>
      <c r="AG995">
        <v>9.9671052631578956</v>
      </c>
    </row>
    <row r="996" spans="1:33">
      <c r="A996" s="1" t="s">
        <v>1001</v>
      </c>
      <c r="B996" s="1" t="s">
        <v>2062</v>
      </c>
      <c r="C996" s="2">
        <v>47101</v>
      </c>
      <c r="D996" s="1" t="s">
        <v>34</v>
      </c>
      <c r="E996">
        <v>1579</v>
      </c>
      <c r="F996" s="2">
        <v>46081</v>
      </c>
      <c r="G996" s="1" t="s">
        <v>1002</v>
      </c>
      <c r="H996" s="1" t="s">
        <v>960</v>
      </c>
      <c r="I996" s="1" t="s">
        <v>37</v>
      </c>
      <c r="J996" s="1" t="s">
        <v>955</v>
      </c>
      <c r="K996" s="1" t="s">
        <v>39</v>
      </c>
      <c r="L996">
        <v>72</v>
      </c>
      <c r="M996">
        <v>41.6</v>
      </c>
      <c r="N996">
        <v>29.3</v>
      </c>
      <c r="O996">
        <v>21.6</v>
      </c>
      <c r="P996">
        <v>2.6329999999999999E-2</v>
      </c>
      <c r="Q996">
        <v>10.25</v>
      </c>
      <c r="R996">
        <v>14.05</v>
      </c>
      <c r="S996">
        <v>8</v>
      </c>
      <c r="T996">
        <v>5</v>
      </c>
      <c r="U996">
        <v>40</v>
      </c>
      <c r="V996">
        <v>123</v>
      </c>
      <c r="W996">
        <v>435</v>
      </c>
      <c r="X996">
        <v>1.0531999999999999</v>
      </c>
      <c r="Y996">
        <v>21.930555555555557</v>
      </c>
      <c r="Z996">
        <v>0.57743152777777784</v>
      </c>
      <c r="AA996">
        <v>0.54826388888888888</v>
      </c>
      <c r="AB996">
        <v>22184.95</v>
      </c>
      <c r="AC996">
        <v>1</v>
      </c>
      <c r="AD996" s="1" t="s">
        <v>40</v>
      </c>
      <c r="AE996">
        <v>1</v>
      </c>
      <c r="AF996">
        <v>0</v>
      </c>
      <c r="AG996">
        <v>33.55263157894737</v>
      </c>
    </row>
    <row r="997" spans="1:33">
      <c r="A997" s="1" t="s">
        <v>1003</v>
      </c>
      <c r="B997" s="1" t="s">
        <v>2063</v>
      </c>
      <c r="C997" s="2">
        <v>46886</v>
      </c>
      <c r="D997" s="1" t="s">
        <v>34</v>
      </c>
      <c r="E997">
        <v>772</v>
      </c>
      <c r="F997" s="2">
        <v>46081</v>
      </c>
      <c r="G997" s="1" t="s">
        <v>1004</v>
      </c>
      <c r="H997" s="1" t="s">
        <v>960</v>
      </c>
      <c r="I997" s="1" t="s">
        <v>37</v>
      </c>
      <c r="J997" s="1" t="s">
        <v>955</v>
      </c>
      <c r="K997" s="1" t="s">
        <v>39</v>
      </c>
      <c r="L997">
        <v>96</v>
      </c>
      <c r="M997">
        <v>33.700000000000003</v>
      </c>
      <c r="N997">
        <v>23.1</v>
      </c>
      <c r="O997">
        <v>23.5</v>
      </c>
      <c r="P997">
        <v>1.8290000000000001E-2</v>
      </c>
      <c r="Q997">
        <v>8.51</v>
      </c>
      <c r="R997">
        <v>13.13</v>
      </c>
      <c r="S997">
        <v>11</v>
      </c>
      <c r="T997">
        <v>3</v>
      </c>
      <c r="U997">
        <v>33</v>
      </c>
      <c r="V997">
        <v>85.5</v>
      </c>
      <c r="W997">
        <v>305.83</v>
      </c>
      <c r="X997">
        <v>0.60357000000000005</v>
      </c>
      <c r="Y997">
        <v>8.0416666666666661</v>
      </c>
      <c r="Z997">
        <v>0.14708208333333334</v>
      </c>
      <c r="AA997">
        <v>0.24368686868686867</v>
      </c>
      <c r="AB997">
        <v>10136.36</v>
      </c>
      <c r="AC997">
        <v>1</v>
      </c>
      <c r="AD997" s="1" t="s">
        <v>44</v>
      </c>
      <c r="AE997">
        <v>0</v>
      </c>
      <c r="AF997">
        <v>1</v>
      </c>
      <c r="AG997">
        <v>26.48026315789474</v>
      </c>
    </row>
    <row r="998" spans="1:33">
      <c r="A998" s="1" t="s">
        <v>1005</v>
      </c>
      <c r="B998" s="1" t="s">
        <v>2064</v>
      </c>
      <c r="C998" s="2">
        <v>46379</v>
      </c>
      <c r="D998" s="1" t="s">
        <v>34</v>
      </c>
      <c r="E998">
        <v>155</v>
      </c>
      <c r="F998" s="2">
        <v>46081</v>
      </c>
      <c r="G998" s="1" t="s">
        <v>1006</v>
      </c>
      <c r="H998" s="1" t="s">
        <v>48</v>
      </c>
      <c r="I998" s="1" t="s">
        <v>37</v>
      </c>
      <c r="J998" s="1" t="s">
        <v>955</v>
      </c>
      <c r="K998" s="1" t="s">
        <v>39</v>
      </c>
      <c r="L998">
        <v>48</v>
      </c>
      <c r="M998">
        <v>40.200000000000003</v>
      </c>
      <c r="N998">
        <v>32.200000000000003</v>
      </c>
      <c r="O998">
        <v>23.6</v>
      </c>
      <c r="P998">
        <v>3.0550000000000001E-2</v>
      </c>
      <c r="Q998">
        <v>14.02</v>
      </c>
      <c r="R998">
        <v>13.26</v>
      </c>
      <c r="S998">
        <v>6</v>
      </c>
      <c r="T998">
        <v>3</v>
      </c>
      <c r="U998">
        <v>18</v>
      </c>
      <c r="V998">
        <v>85.800000000000011</v>
      </c>
      <c r="W998">
        <v>277.36</v>
      </c>
      <c r="X998">
        <v>0.54990000000000006</v>
      </c>
      <c r="Y998">
        <v>3.2291666666666665</v>
      </c>
      <c r="Z998">
        <v>9.8651041666666661E-2</v>
      </c>
      <c r="AA998">
        <v>0.17939814814814814</v>
      </c>
      <c r="AB998">
        <v>2055.3000000000002</v>
      </c>
      <c r="AC998">
        <v>1</v>
      </c>
      <c r="AD998" s="1" t="s">
        <v>44</v>
      </c>
      <c r="AE998">
        <v>0</v>
      </c>
      <c r="AF998">
        <v>1</v>
      </c>
      <c r="AG998">
        <v>9.8026315789473681</v>
      </c>
    </row>
    <row r="999" spans="1:33">
      <c r="A999" s="1" t="s">
        <v>1007</v>
      </c>
      <c r="B999" s="1" t="s">
        <v>2065</v>
      </c>
      <c r="C999" s="2">
        <v>46639</v>
      </c>
      <c r="D999" s="1" t="s">
        <v>34</v>
      </c>
      <c r="E999">
        <v>176</v>
      </c>
      <c r="F999" s="2">
        <v>46081</v>
      </c>
      <c r="G999" s="1" t="s">
        <v>1008</v>
      </c>
      <c r="H999" s="1" t="s">
        <v>577</v>
      </c>
      <c r="I999" s="1" t="s">
        <v>37</v>
      </c>
      <c r="J999" s="1" t="s">
        <v>955</v>
      </c>
      <c r="K999" s="1" t="s">
        <v>39</v>
      </c>
      <c r="L999">
        <v>144</v>
      </c>
      <c r="M999">
        <v>39.799999999999997</v>
      </c>
      <c r="N999">
        <v>25.8</v>
      </c>
      <c r="O999">
        <v>22.2</v>
      </c>
      <c r="P999">
        <v>2.2800000000000001E-2</v>
      </c>
      <c r="Q999">
        <v>8.9</v>
      </c>
      <c r="R999">
        <v>13.77</v>
      </c>
      <c r="S999">
        <v>8</v>
      </c>
      <c r="T999">
        <v>4</v>
      </c>
      <c r="U999">
        <v>32</v>
      </c>
      <c r="V999">
        <v>103.8</v>
      </c>
      <c r="W999">
        <v>309.8</v>
      </c>
      <c r="X999">
        <v>0.72960000000000003</v>
      </c>
      <c r="Y999">
        <v>1.2222222222222223</v>
      </c>
      <c r="Z999">
        <v>2.7866666666666672E-2</v>
      </c>
      <c r="AA999">
        <v>3.8194444444444448E-2</v>
      </c>
      <c r="AB999">
        <v>2423.52</v>
      </c>
      <c r="AC999">
        <v>1</v>
      </c>
      <c r="AD999" s="1" t="s">
        <v>44</v>
      </c>
      <c r="AE999">
        <v>0</v>
      </c>
      <c r="AF999">
        <v>1</v>
      </c>
      <c r="AG999">
        <v>18.355263157894736</v>
      </c>
    </row>
    <row r="1000" spans="1:33">
      <c r="A1000" s="1" t="s">
        <v>1009</v>
      </c>
      <c r="B1000" s="1" t="s">
        <v>2066</v>
      </c>
      <c r="C1000" s="2">
        <v>46385</v>
      </c>
      <c r="D1000" s="1" t="s">
        <v>34</v>
      </c>
      <c r="E1000">
        <v>621</v>
      </c>
      <c r="F1000" s="2">
        <v>46081</v>
      </c>
      <c r="G1000" s="1" t="s">
        <v>1010</v>
      </c>
      <c r="H1000" s="1" t="s">
        <v>577</v>
      </c>
      <c r="I1000" s="1" t="s">
        <v>37</v>
      </c>
      <c r="J1000" s="1" t="s">
        <v>955</v>
      </c>
      <c r="K1000" s="1" t="s">
        <v>39</v>
      </c>
      <c r="L1000">
        <v>72</v>
      </c>
      <c r="M1000">
        <v>35.200000000000003</v>
      </c>
      <c r="N1000">
        <v>26.8</v>
      </c>
      <c r="O1000">
        <v>21.4</v>
      </c>
      <c r="P1000">
        <v>2.019E-2</v>
      </c>
      <c r="Q1000">
        <v>6.35</v>
      </c>
      <c r="R1000">
        <v>13.45</v>
      </c>
      <c r="S1000">
        <v>9</v>
      </c>
      <c r="T1000">
        <v>5</v>
      </c>
      <c r="U1000">
        <v>45</v>
      </c>
      <c r="V1000">
        <v>122</v>
      </c>
      <c r="W1000">
        <v>310.75</v>
      </c>
      <c r="X1000">
        <v>0.90854999999999997</v>
      </c>
      <c r="Y1000">
        <v>8.625</v>
      </c>
      <c r="Z1000">
        <v>0.17413875000000001</v>
      </c>
      <c r="AA1000">
        <v>0.19166666666666668</v>
      </c>
      <c r="AB1000">
        <v>8352.4499999999989</v>
      </c>
      <c r="AC1000">
        <v>1</v>
      </c>
      <c r="AD1000" s="1" t="s">
        <v>44</v>
      </c>
      <c r="AE1000">
        <v>0</v>
      </c>
      <c r="AF1000">
        <v>1</v>
      </c>
      <c r="AG1000">
        <v>10</v>
      </c>
    </row>
    <row r="1001" spans="1:33">
      <c r="A1001" s="1" t="s">
        <v>1009</v>
      </c>
      <c r="B1001" s="1" t="s">
        <v>2067</v>
      </c>
      <c r="C1001" s="2">
        <v>46662</v>
      </c>
      <c r="D1001" s="1" t="s">
        <v>34</v>
      </c>
      <c r="E1001">
        <v>540</v>
      </c>
      <c r="F1001" s="2">
        <v>46081</v>
      </c>
      <c r="G1001" s="1" t="s">
        <v>1010</v>
      </c>
      <c r="H1001" s="1" t="s">
        <v>577</v>
      </c>
      <c r="I1001" s="1" t="s">
        <v>37</v>
      </c>
      <c r="J1001" s="1" t="s">
        <v>955</v>
      </c>
      <c r="K1001" s="1" t="s">
        <v>39</v>
      </c>
      <c r="L1001">
        <v>72</v>
      </c>
      <c r="M1001">
        <v>35.200000000000003</v>
      </c>
      <c r="N1001">
        <v>26.8</v>
      </c>
      <c r="O1001">
        <v>21.4</v>
      </c>
      <c r="P1001">
        <v>2.019E-2</v>
      </c>
      <c r="Q1001">
        <v>6.35</v>
      </c>
      <c r="R1001">
        <v>13.45</v>
      </c>
      <c r="S1001">
        <v>9</v>
      </c>
      <c r="T1001">
        <v>5</v>
      </c>
      <c r="U1001">
        <v>45</v>
      </c>
      <c r="V1001">
        <v>122</v>
      </c>
      <c r="W1001">
        <v>310.75</v>
      </c>
      <c r="X1001">
        <v>0.90854999999999997</v>
      </c>
      <c r="Y1001">
        <v>7.5</v>
      </c>
      <c r="Z1001">
        <v>0.151425</v>
      </c>
      <c r="AA1001">
        <v>0.16666666666666666</v>
      </c>
      <c r="AB1001">
        <v>7263</v>
      </c>
      <c r="AC1001">
        <v>1</v>
      </c>
      <c r="AD1001" s="1" t="s">
        <v>44</v>
      </c>
      <c r="AE1001">
        <v>0</v>
      </c>
      <c r="AF1001">
        <v>1</v>
      </c>
      <c r="AG1001">
        <v>19.111842105263158</v>
      </c>
    </row>
    <row r="1002" spans="1:33">
      <c r="A1002" s="1" t="s">
        <v>1009</v>
      </c>
      <c r="B1002" s="1" t="s">
        <v>2068</v>
      </c>
      <c r="C1002" s="2">
        <v>46655</v>
      </c>
      <c r="D1002" s="1" t="s">
        <v>153</v>
      </c>
      <c r="E1002">
        <v>34</v>
      </c>
      <c r="F1002" s="2">
        <v>46081</v>
      </c>
      <c r="G1002" s="1" t="s">
        <v>1010</v>
      </c>
      <c r="H1002" s="1" t="s">
        <v>577</v>
      </c>
      <c r="I1002" s="1" t="s">
        <v>37</v>
      </c>
      <c r="J1002" s="1" t="s">
        <v>955</v>
      </c>
      <c r="K1002" s="1" t="s">
        <v>39</v>
      </c>
      <c r="L1002">
        <v>72</v>
      </c>
      <c r="M1002">
        <v>35.200000000000003</v>
      </c>
      <c r="N1002">
        <v>26.8</v>
      </c>
      <c r="O1002">
        <v>21.4</v>
      </c>
      <c r="P1002">
        <v>2.019E-2</v>
      </c>
      <c r="Q1002">
        <v>6.35</v>
      </c>
      <c r="R1002">
        <v>13.45</v>
      </c>
      <c r="S1002">
        <v>9</v>
      </c>
      <c r="T1002">
        <v>5</v>
      </c>
      <c r="U1002">
        <v>45</v>
      </c>
      <c r="V1002">
        <v>122</v>
      </c>
      <c r="W1002">
        <v>310.75</v>
      </c>
      <c r="X1002">
        <v>0.90854999999999997</v>
      </c>
      <c r="Y1002">
        <v>0.47222222222222221</v>
      </c>
      <c r="Z1002">
        <v>9.5341666666666665E-3</v>
      </c>
      <c r="AA1002">
        <v>1.0493827160493827E-2</v>
      </c>
      <c r="AB1002">
        <v>457.29999999999995</v>
      </c>
      <c r="AC1002">
        <v>1</v>
      </c>
      <c r="AD1002" s="1" t="s">
        <v>74</v>
      </c>
      <c r="AE1002">
        <v>0</v>
      </c>
      <c r="AF1002">
        <v>0</v>
      </c>
      <c r="AG1002">
        <v>18.881578947368421</v>
      </c>
    </row>
    <row r="1003" spans="1:33">
      <c r="A1003" s="1" t="s">
        <v>1011</v>
      </c>
      <c r="B1003" s="1" t="s">
        <v>2069</v>
      </c>
      <c r="C1003" s="2">
        <v>46985</v>
      </c>
      <c r="D1003" s="1" t="s">
        <v>34</v>
      </c>
      <c r="E1003">
        <v>944</v>
      </c>
      <c r="F1003" s="2">
        <v>46081</v>
      </c>
      <c r="G1003" s="1" t="s">
        <v>1012</v>
      </c>
      <c r="H1003" s="1" t="s">
        <v>960</v>
      </c>
      <c r="I1003" s="1" t="s">
        <v>37</v>
      </c>
      <c r="J1003" s="1" t="s">
        <v>1013</v>
      </c>
      <c r="K1003" s="1" t="s">
        <v>39</v>
      </c>
      <c r="L1003">
        <v>200</v>
      </c>
      <c r="M1003">
        <v>33.6</v>
      </c>
      <c r="N1003">
        <v>24.7</v>
      </c>
      <c r="O1003">
        <v>12.1</v>
      </c>
      <c r="P1003">
        <v>1.004E-2</v>
      </c>
      <c r="Q1003">
        <v>1.77</v>
      </c>
      <c r="R1003">
        <v>13.81</v>
      </c>
      <c r="S1003">
        <v>12</v>
      </c>
      <c r="T1003">
        <v>7</v>
      </c>
      <c r="U1003">
        <v>84</v>
      </c>
      <c r="V1003">
        <v>99.7</v>
      </c>
      <c r="W1003">
        <v>173.68</v>
      </c>
      <c r="X1003">
        <v>0.84336</v>
      </c>
      <c r="Y1003">
        <v>4.72</v>
      </c>
      <c r="Z1003">
        <v>4.7388800000000002E-2</v>
      </c>
      <c r="AA1003">
        <v>5.6190476190476187E-2</v>
      </c>
      <c r="AB1003">
        <v>13036.640000000001</v>
      </c>
      <c r="AC1003">
        <v>1</v>
      </c>
      <c r="AD1003" s="1" t="s">
        <v>44</v>
      </c>
      <c r="AE1003">
        <v>0</v>
      </c>
      <c r="AF1003">
        <v>1</v>
      </c>
      <c r="AG1003">
        <v>29.736842105263158</v>
      </c>
    </row>
    <row r="1004" spans="1:33">
      <c r="A1004" s="1" t="s">
        <v>1011</v>
      </c>
      <c r="B1004" s="1" t="s">
        <v>2070</v>
      </c>
      <c r="C1004" s="2">
        <v>47120</v>
      </c>
      <c r="D1004" s="1" t="s">
        <v>34</v>
      </c>
      <c r="E1004">
        <v>346</v>
      </c>
      <c r="F1004" s="2">
        <v>46081</v>
      </c>
      <c r="G1004" s="1" t="s">
        <v>1012</v>
      </c>
      <c r="H1004" s="1" t="s">
        <v>960</v>
      </c>
      <c r="I1004" s="1" t="s">
        <v>37</v>
      </c>
      <c r="J1004" s="1" t="s">
        <v>1013</v>
      </c>
      <c r="K1004" s="1" t="s">
        <v>39</v>
      </c>
      <c r="L1004">
        <v>200</v>
      </c>
      <c r="M1004">
        <v>33.6</v>
      </c>
      <c r="N1004">
        <v>24.7</v>
      </c>
      <c r="O1004">
        <v>12.1</v>
      </c>
      <c r="P1004">
        <v>1.004E-2</v>
      </c>
      <c r="Q1004">
        <v>1.77</v>
      </c>
      <c r="R1004">
        <v>13.81</v>
      </c>
      <c r="S1004">
        <v>12</v>
      </c>
      <c r="T1004">
        <v>7</v>
      </c>
      <c r="U1004">
        <v>84</v>
      </c>
      <c r="V1004">
        <v>99.7</v>
      </c>
      <c r="W1004">
        <v>173.68</v>
      </c>
      <c r="X1004">
        <v>0.84336</v>
      </c>
      <c r="Y1004">
        <v>1.73</v>
      </c>
      <c r="Z1004">
        <v>1.7369200000000001E-2</v>
      </c>
      <c r="AA1004">
        <v>2.0595238095238094E-2</v>
      </c>
      <c r="AB1004">
        <v>4778.26</v>
      </c>
      <c r="AC1004">
        <v>1</v>
      </c>
      <c r="AD1004" s="1" t="s">
        <v>44</v>
      </c>
      <c r="AE1004">
        <v>0</v>
      </c>
      <c r="AF1004">
        <v>1</v>
      </c>
      <c r="AG1004">
        <v>34.17763157894737</v>
      </c>
    </row>
    <row r="1005" spans="1:33">
      <c r="A1005" s="1" t="s">
        <v>1014</v>
      </c>
      <c r="B1005" s="1" t="s">
        <v>2071</v>
      </c>
      <c r="C1005" s="2">
        <v>46496</v>
      </c>
      <c r="D1005" s="1" t="s">
        <v>34</v>
      </c>
      <c r="E1005">
        <v>96</v>
      </c>
      <c r="F1005" s="2">
        <v>46081</v>
      </c>
      <c r="G1005" s="1" t="s">
        <v>1015</v>
      </c>
      <c r="H1005" s="1" t="s">
        <v>960</v>
      </c>
      <c r="I1005" s="1" t="s">
        <v>37</v>
      </c>
      <c r="J1005" s="1" t="s">
        <v>1013</v>
      </c>
      <c r="K1005" s="1" t="s">
        <v>39</v>
      </c>
      <c r="L1005">
        <v>200</v>
      </c>
      <c r="M1005">
        <v>34</v>
      </c>
      <c r="N1005">
        <v>20.3</v>
      </c>
      <c r="O1005">
        <v>19.600000000000001</v>
      </c>
      <c r="P1005">
        <v>1.353E-2</v>
      </c>
      <c r="Q1005">
        <v>2.4700000000000002</v>
      </c>
      <c r="R1005">
        <v>16.53</v>
      </c>
      <c r="S1005">
        <v>12</v>
      </c>
      <c r="T1005">
        <v>4</v>
      </c>
      <c r="U1005">
        <v>48</v>
      </c>
      <c r="V1005">
        <v>93.4</v>
      </c>
      <c r="W1005">
        <v>143.56</v>
      </c>
      <c r="X1005">
        <v>0.64944000000000002</v>
      </c>
      <c r="Y1005">
        <v>0.48</v>
      </c>
      <c r="Z1005">
        <v>6.4944E-3</v>
      </c>
      <c r="AA1005">
        <v>0.01</v>
      </c>
      <c r="AB1005">
        <v>1586.88</v>
      </c>
      <c r="AC1005">
        <v>1</v>
      </c>
      <c r="AD1005" s="1" t="s">
        <v>44</v>
      </c>
      <c r="AE1005">
        <v>0</v>
      </c>
      <c r="AF1005">
        <v>1</v>
      </c>
      <c r="AG1005">
        <v>13.651315789473685</v>
      </c>
    </row>
    <row r="1006" spans="1:33">
      <c r="A1006" s="1" t="s">
        <v>1014</v>
      </c>
      <c r="B1006" s="1" t="s">
        <v>2072</v>
      </c>
      <c r="C1006" s="2">
        <v>46189</v>
      </c>
      <c r="D1006" s="1" t="s">
        <v>34</v>
      </c>
      <c r="E1006">
        <v>773</v>
      </c>
      <c r="F1006" s="2">
        <v>46081</v>
      </c>
      <c r="G1006" s="1" t="s">
        <v>1015</v>
      </c>
      <c r="H1006" s="1" t="s">
        <v>960</v>
      </c>
      <c r="I1006" s="1" t="s">
        <v>37</v>
      </c>
      <c r="J1006" s="1" t="s">
        <v>1013</v>
      </c>
      <c r="K1006" s="1" t="s">
        <v>39</v>
      </c>
      <c r="L1006">
        <v>200</v>
      </c>
      <c r="M1006">
        <v>34</v>
      </c>
      <c r="N1006">
        <v>20.3</v>
      </c>
      <c r="O1006">
        <v>19.600000000000001</v>
      </c>
      <c r="P1006">
        <v>1.353E-2</v>
      </c>
      <c r="Q1006">
        <v>2.4700000000000002</v>
      </c>
      <c r="R1006">
        <v>16.53</v>
      </c>
      <c r="S1006">
        <v>12</v>
      </c>
      <c r="T1006">
        <v>4</v>
      </c>
      <c r="U1006">
        <v>48</v>
      </c>
      <c r="V1006">
        <v>93.4</v>
      </c>
      <c r="W1006">
        <v>143.56</v>
      </c>
      <c r="X1006">
        <v>0.64944000000000002</v>
      </c>
      <c r="Y1006">
        <v>3.8650000000000002</v>
      </c>
      <c r="Z1006">
        <v>5.2293450000000005E-2</v>
      </c>
      <c r="AA1006">
        <v>8.0520833333333333E-2</v>
      </c>
      <c r="AB1006">
        <v>12777.69</v>
      </c>
      <c r="AC1006">
        <v>1</v>
      </c>
      <c r="AD1006" s="1" t="s">
        <v>44</v>
      </c>
      <c r="AE1006">
        <v>0</v>
      </c>
      <c r="AF1006">
        <v>1</v>
      </c>
      <c r="AG1006">
        <v>3.5526315789473686</v>
      </c>
    </row>
    <row r="1007" spans="1:33">
      <c r="A1007" s="1" t="s">
        <v>1014</v>
      </c>
      <c r="B1007" s="1" t="s">
        <v>2073</v>
      </c>
      <c r="C1007" s="2">
        <v>47125</v>
      </c>
      <c r="D1007" s="1" t="s">
        <v>34</v>
      </c>
      <c r="E1007">
        <v>170</v>
      </c>
      <c r="F1007" s="2">
        <v>46081</v>
      </c>
      <c r="G1007" s="1" t="s">
        <v>1015</v>
      </c>
      <c r="H1007" s="1" t="s">
        <v>960</v>
      </c>
      <c r="I1007" s="1" t="s">
        <v>37</v>
      </c>
      <c r="J1007" s="1" t="s">
        <v>1013</v>
      </c>
      <c r="K1007" s="1" t="s">
        <v>39</v>
      </c>
      <c r="L1007">
        <v>200</v>
      </c>
      <c r="M1007">
        <v>34</v>
      </c>
      <c r="N1007">
        <v>20.3</v>
      </c>
      <c r="O1007">
        <v>19.600000000000001</v>
      </c>
      <c r="P1007">
        <v>1.353E-2</v>
      </c>
      <c r="Q1007">
        <v>2.4700000000000002</v>
      </c>
      <c r="R1007">
        <v>16.53</v>
      </c>
      <c r="S1007">
        <v>12</v>
      </c>
      <c r="T1007">
        <v>4</v>
      </c>
      <c r="U1007">
        <v>48</v>
      </c>
      <c r="V1007">
        <v>93.4</v>
      </c>
      <c r="W1007">
        <v>143.56</v>
      </c>
      <c r="X1007">
        <v>0.64944000000000002</v>
      </c>
      <c r="Y1007">
        <v>0.85</v>
      </c>
      <c r="Z1007">
        <v>1.15005E-2</v>
      </c>
      <c r="AA1007">
        <v>1.7708333333333333E-2</v>
      </c>
      <c r="AB1007">
        <v>2810.1000000000004</v>
      </c>
      <c r="AC1007">
        <v>1</v>
      </c>
      <c r="AD1007" s="1" t="s">
        <v>44</v>
      </c>
      <c r="AE1007">
        <v>0</v>
      </c>
      <c r="AF1007">
        <v>1</v>
      </c>
      <c r="AG1007">
        <v>34.342105263157897</v>
      </c>
    </row>
    <row r="1008" spans="1:33">
      <c r="A1008" s="1" t="s">
        <v>1014</v>
      </c>
      <c r="B1008" s="1" t="s">
        <v>2074</v>
      </c>
      <c r="C1008" s="2">
        <v>46429</v>
      </c>
      <c r="D1008" s="1" t="s">
        <v>49</v>
      </c>
      <c r="E1008">
        <v>52</v>
      </c>
      <c r="F1008" s="2">
        <v>46081</v>
      </c>
      <c r="G1008" s="1" t="s">
        <v>1015</v>
      </c>
      <c r="H1008" s="1" t="s">
        <v>960</v>
      </c>
      <c r="I1008" s="1" t="s">
        <v>37</v>
      </c>
      <c r="J1008" s="1" t="s">
        <v>1013</v>
      </c>
      <c r="K1008" s="1" t="s">
        <v>39</v>
      </c>
      <c r="L1008">
        <v>200</v>
      </c>
      <c r="M1008">
        <v>34</v>
      </c>
      <c r="N1008">
        <v>20.3</v>
      </c>
      <c r="O1008">
        <v>19.600000000000001</v>
      </c>
      <c r="P1008">
        <v>1.353E-2</v>
      </c>
      <c r="Q1008">
        <v>2.4700000000000002</v>
      </c>
      <c r="R1008">
        <v>16.53</v>
      </c>
      <c r="S1008">
        <v>12</v>
      </c>
      <c r="T1008">
        <v>4</v>
      </c>
      <c r="U1008">
        <v>48</v>
      </c>
      <c r="V1008">
        <v>93.4</v>
      </c>
      <c r="W1008">
        <v>143.56</v>
      </c>
      <c r="X1008">
        <v>0.64944000000000002</v>
      </c>
      <c r="Y1008">
        <v>0.26</v>
      </c>
      <c r="Z1008">
        <v>3.5178000000000002E-3</v>
      </c>
      <c r="AA1008">
        <v>5.4166666666666669E-3</v>
      </c>
      <c r="AB1008">
        <v>859.56000000000006</v>
      </c>
      <c r="AC1008">
        <v>1</v>
      </c>
      <c r="AD1008" s="1" t="s">
        <v>44</v>
      </c>
      <c r="AE1008">
        <v>0</v>
      </c>
      <c r="AF1008">
        <v>1</v>
      </c>
      <c r="AG1008">
        <v>11.447368421052632</v>
      </c>
    </row>
    <row r="1009" spans="1:33">
      <c r="A1009" s="1" t="s">
        <v>1014</v>
      </c>
      <c r="B1009" s="1" t="s">
        <v>2075</v>
      </c>
      <c r="C1009" s="2">
        <v>46787</v>
      </c>
      <c r="D1009" s="1" t="s">
        <v>45</v>
      </c>
      <c r="E1009">
        <v>20</v>
      </c>
      <c r="F1009" s="2">
        <v>46081</v>
      </c>
      <c r="G1009" s="1" t="s">
        <v>1015</v>
      </c>
      <c r="H1009" s="1" t="s">
        <v>960</v>
      </c>
      <c r="I1009" s="1" t="s">
        <v>37</v>
      </c>
      <c r="J1009" s="1" t="s">
        <v>1013</v>
      </c>
      <c r="K1009" s="1" t="s">
        <v>39</v>
      </c>
      <c r="L1009">
        <v>200</v>
      </c>
      <c r="M1009">
        <v>34</v>
      </c>
      <c r="N1009">
        <v>20.3</v>
      </c>
      <c r="O1009">
        <v>19.600000000000001</v>
      </c>
      <c r="P1009">
        <v>1.353E-2</v>
      </c>
      <c r="Q1009">
        <v>2.4700000000000002</v>
      </c>
      <c r="R1009">
        <v>16.53</v>
      </c>
      <c r="S1009">
        <v>12</v>
      </c>
      <c r="T1009">
        <v>4</v>
      </c>
      <c r="U1009">
        <v>48</v>
      </c>
      <c r="V1009">
        <v>93.4</v>
      </c>
      <c r="W1009">
        <v>143.56</v>
      </c>
      <c r="X1009">
        <v>0.64944000000000002</v>
      </c>
      <c r="Y1009">
        <v>0.1</v>
      </c>
      <c r="Z1009">
        <v>1.353E-3</v>
      </c>
      <c r="AA1009">
        <v>2.0833333333333333E-3</v>
      </c>
      <c r="AB1009">
        <v>330.6</v>
      </c>
      <c r="AC1009">
        <v>1</v>
      </c>
      <c r="AD1009" s="1" t="s">
        <v>44</v>
      </c>
      <c r="AE1009">
        <v>0</v>
      </c>
      <c r="AF1009">
        <v>1</v>
      </c>
      <c r="AG1009">
        <v>23.223684210526319</v>
      </c>
    </row>
    <row r="1010" spans="1:33">
      <c r="A1010" s="1" t="s">
        <v>1014</v>
      </c>
      <c r="B1010" s="1" t="s">
        <v>2076</v>
      </c>
      <c r="C1010" s="2">
        <v>46044</v>
      </c>
      <c r="D1010" s="1" t="s">
        <v>73</v>
      </c>
      <c r="E1010">
        <v>83</v>
      </c>
      <c r="F1010" s="2">
        <v>46081</v>
      </c>
      <c r="G1010" s="1" t="s">
        <v>1015</v>
      </c>
      <c r="H1010" s="1" t="s">
        <v>960</v>
      </c>
      <c r="I1010" s="1" t="s">
        <v>37</v>
      </c>
      <c r="J1010" s="1" t="s">
        <v>1013</v>
      </c>
      <c r="K1010" s="1" t="s">
        <v>39</v>
      </c>
      <c r="L1010">
        <v>200</v>
      </c>
      <c r="M1010">
        <v>34</v>
      </c>
      <c r="N1010">
        <v>20.3</v>
      </c>
      <c r="O1010">
        <v>19.600000000000001</v>
      </c>
      <c r="P1010">
        <v>1.353E-2</v>
      </c>
      <c r="Q1010">
        <v>2.4700000000000002</v>
      </c>
      <c r="R1010">
        <v>16.53</v>
      </c>
      <c r="S1010">
        <v>12</v>
      </c>
      <c r="T1010">
        <v>4</v>
      </c>
      <c r="U1010">
        <v>48</v>
      </c>
      <c r="V1010">
        <v>93.4</v>
      </c>
      <c r="W1010">
        <v>143.56</v>
      </c>
      <c r="X1010">
        <v>0.64944000000000002</v>
      </c>
      <c r="Y1010">
        <v>0.41499999999999998</v>
      </c>
      <c r="Z1010">
        <v>5.6149499999999996E-3</v>
      </c>
      <c r="AA1010">
        <v>8.6458333333333335E-3</v>
      </c>
      <c r="AB1010">
        <v>1371.99</v>
      </c>
      <c r="AC1010">
        <v>1</v>
      </c>
      <c r="AD1010" s="1" t="s">
        <v>74</v>
      </c>
      <c r="AE1010">
        <v>0</v>
      </c>
      <c r="AF1010">
        <v>0</v>
      </c>
      <c r="AG1010">
        <v>-1.2171052631578947</v>
      </c>
    </row>
    <row r="1011" spans="1:33">
      <c r="A1011" s="1" t="s">
        <v>1016</v>
      </c>
      <c r="B1011" s="1" t="s">
        <v>2077</v>
      </c>
      <c r="C1011" s="2">
        <v>47058</v>
      </c>
      <c r="D1011" s="1" t="s">
        <v>34</v>
      </c>
      <c r="E1011">
        <v>73</v>
      </c>
      <c r="F1011" s="2">
        <v>46081</v>
      </c>
      <c r="G1011" s="1" t="s">
        <v>1017</v>
      </c>
      <c r="H1011" s="1" t="s">
        <v>960</v>
      </c>
      <c r="I1011" s="1" t="s">
        <v>37</v>
      </c>
      <c r="J1011" s="1" t="s">
        <v>1013</v>
      </c>
      <c r="K1011" s="1" t="s">
        <v>39</v>
      </c>
      <c r="L1011">
        <v>300</v>
      </c>
      <c r="M1011">
        <v>37</v>
      </c>
      <c r="N1011">
        <v>25.3</v>
      </c>
      <c r="O1011">
        <v>14.5</v>
      </c>
      <c r="P1011">
        <v>1.357E-2</v>
      </c>
      <c r="Q1011">
        <v>3.52</v>
      </c>
      <c r="R1011">
        <v>26.7</v>
      </c>
      <c r="S1011">
        <v>7</v>
      </c>
      <c r="T1011">
        <v>6</v>
      </c>
      <c r="U1011">
        <v>42</v>
      </c>
      <c r="V1011">
        <v>102</v>
      </c>
      <c r="W1011">
        <v>172.84</v>
      </c>
      <c r="X1011">
        <v>0.56994</v>
      </c>
      <c r="Y1011">
        <v>0.24333333333333335</v>
      </c>
      <c r="Z1011">
        <v>3.3020333333333338E-3</v>
      </c>
      <c r="AA1011">
        <v>5.7936507936507935E-3</v>
      </c>
      <c r="AB1011">
        <v>1949.1</v>
      </c>
      <c r="AC1011">
        <v>1</v>
      </c>
      <c r="AD1011" s="1" t="s">
        <v>44</v>
      </c>
      <c r="AE1011">
        <v>0</v>
      </c>
      <c r="AF1011">
        <v>1</v>
      </c>
      <c r="AG1011">
        <v>32.138157894736842</v>
      </c>
    </row>
    <row r="1012" spans="1:33">
      <c r="A1012" s="1" t="s">
        <v>1016</v>
      </c>
      <c r="B1012" s="1" t="s">
        <v>2078</v>
      </c>
      <c r="C1012" s="2">
        <v>46238</v>
      </c>
      <c r="D1012" s="1" t="s">
        <v>34</v>
      </c>
      <c r="E1012">
        <v>12173</v>
      </c>
      <c r="F1012" s="2">
        <v>46081</v>
      </c>
      <c r="G1012" s="1" t="s">
        <v>1017</v>
      </c>
      <c r="H1012" s="1" t="s">
        <v>960</v>
      </c>
      <c r="I1012" s="1" t="s">
        <v>37</v>
      </c>
      <c r="J1012" s="1" t="s">
        <v>1013</v>
      </c>
      <c r="K1012" s="1" t="s">
        <v>39</v>
      </c>
      <c r="L1012">
        <v>300</v>
      </c>
      <c r="M1012">
        <v>37</v>
      </c>
      <c r="N1012">
        <v>25.3</v>
      </c>
      <c r="O1012">
        <v>14.5</v>
      </c>
      <c r="P1012">
        <v>1.357E-2</v>
      </c>
      <c r="Q1012">
        <v>3.52</v>
      </c>
      <c r="R1012">
        <v>26.7</v>
      </c>
      <c r="S1012">
        <v>7</v>
      </c>
      <c r="T1012">
        <v>6</v>
      </c>
      <c r="U1012">
        <v>42</v>
      </c>
      <c r="V1012">
        <v>102</v>
      </c>
      <c r="W1012">
        <v>172.84</v>
      </c>
      <c r="X1012">
        <v>0.56994</v>
      </c>
      <c r="Y1012">
        <v>40.576666666666668</v>
      </c>
      <c r="Z1012">
        <v>0.55062536666666673</v>
      </c>
      <c r="AA1012">
        <v>0.96611111111111114</v>
      </c>
      <c r="AB1012">
        <v>325019.09999999998</v>
      </c>
      <c r="AC1012">
        <v>1</v>
      </c>
      <c r="AD1012" s="1" t="s">
        <v>40</v>
      </c>
      <c r="AE1012">
        <v>1</v>
      </c>
      <c r="AF1012">
        <v>0</v>
      </c>
      <c r="AG1012">
        <v>5.1644736842105265</v>
      </c>
    </row>
    <row r="1013" spans="1:33">
      <c r="A1013" s="1" t="s">
        <v>1018</v>
      </c>
      <c r="B1013" s="1" t="s">
        <v>2079</v>
      </c>
      <c r="C1013" s="2">
        <v>47134</v>
      </c>
      <c r="D1013" s="1" t="s">
        <v>34</v>
      </c>
      <c r="E1013">
        <v>113</v>
      </c>
      <c r="F1013" s="2">
        <v>46081</v>
      </c>
      <c r="G1013" s="1" t="s">
        <v>1019</v>
      </c>
      <c r="H1013" s="1" t="s">
        <v>960</v>
      </c>
      <c r="I1013" s="1" t="s">
        <v>37</v>
      </c>
      <c r="J1013" s="1" t="s">
        <v>1013</v>
      </c>
      <c r="K1013" s="1" t="s">
        <v>39</v>
      </c>
      <c r="L1013">
        <v>300</v>
      </c>
      <c r="M1013">
        <v>35.200000000000003</v>
      </c>
      <c r="N1013">
        <v>26.8</v>
      </c>
      <c r="O1013">
        <v>13.9</v>
      </c>
      <c r="P1013">
        <v>1.311E-2</v>
      </c>
      <c r="Q1013">
        <v>2.61</v>
      </c>
      <c r="R1013">
        <v>6.96</v>
      </c>
      <c r="S1013">
        <v>9</v>
      </c>
      <c r="T1013">
        <v>9</v>
      </c>
      <c r="U1013">
        <v>81</v>
      </c>
      <c r="V1013">
        <v>140.10000000000002</v>
      </c>
      <c r="W1013">
        <v>236.41</v>
      </c>
      <c r="X1013">
        <v>1.0619099999999999</v>
      </c>
      <c r="Y1013">
        <v>0.37666666666666665</v>
      </c>
      <c r="Z1013">
        <v>4.9381E-3</v>
      </c>
      <c r="AA1013">
        <v>4.6502057613168725E-3</v>
      </c>
      <c r="AB1013">
        <v>786.48</v>
      </c>
      <c r="AC1013">
        <v>1</v>
      </c>
      <c r="AD1013" s="1" t="s">
        <v>44</v>
      </c>
      <c r="AE1013">
        <v>0</v>
      </c>
      <c r="AF1013">
        <v>1</v>
      </c>
      <c r="AG1013">
        <v>34.638157894736842</v>
      </c>
    </row>
    <row r="1014" spans="1:33">
      <c r="A1014" s="1" t="s">
        <v>1018</v>
      </c>
      <c r="B1014" s="1" t="s">
        <v>2080</v>
      </c>
      <c r="C1014" s="2">
        <v>46650</v>
      </c>
      <c r="D1014" s="1" t="s">
        <v>34</v>
      </c>
      <c r="E1014">
        <v>2241</v>
      </c>
      <c r="F1014" s="2">
        <v>46081</v>
      </c>
      <c r="G1014" s="1" t="s">
        <v>1019</v>
      </c>
      <c r="H1014" s="1" t="s">
        <v>960</v>
      </c>
      <c r="I1014" s="1" t="s">
        <v>37</v>
      </c>
      <c r="J1014" s="1" t="s">
        <v>1013</v>
      </c>
      <c r="K1014" s="1" t="s">
        <v>39</v>
      </c>
      <c r="L1014">
        <v>300</v>
      </c>
      <c r="M1014">
        <v>35.200000000000003</v>
      </c>
      <c r="N1014">
        <v>26.8</v>
      </c>
      <c r="O1014">
        <v>13.9</v>
      </c>
      <c r="P1014">
        <v>1.311E-2</v>
      </c>
      <c r="Q1014">
        <v>2.61</v>
      </c>
      <c r="R1014">
        <v>6.96</v>
      </c>
      <c r="S1014">
        <v>9</v>
      </c>
      <c r="T1014">
        <v>9</v>
      </c>
      <c r="U1014">
        <v>81</v>
      </c>
      <c r="V1014">
        <v>140.10000000000002</v>
      </c>
      <c r="W1014">
        <v>236.41</v>
      </c>
      <c r="X1014">
        <v>1.0619099999999999</v>
      </c>
      <c r="Y1014">
        <v>7.47</v>
      </c>
      <c r="Z1014">
        <v>9.7931699999999997E-2</v>
      </c>
      <c r="AA1014">
        <v>9.2222222222222219E-2</v>
      </c>
      <c r="AB1014">
        <v>15597.36</v>
      </c>
      <c r="AC1014">
        <v>1</v>
      </c>
      <c r="AD1014" s="1" t="s">
        <v>44</v>
      </c>
      <c r="AE1014">
        <v>0</v>
      </c>
      <c r="AF1014">
        <v>1</v>
      </c>
      <c r="AG1014">
        <v>18.717105263157897</v>
      </c>
    </row>
    <row r="1015" spans="1:33">
      <c r="A1015" s="1" t="s">
        <v>1018</v>
      </c>
      <c r="B1015" s="1" t="s">
        <v>2081</v>
      </c>
      <c r="C1015" s="2">
        <v>46932</v>
      </c>
      <c r="D1015" s="1" t="s">
        <v>34</v>
      </c>
      <c r="E1015">
        <v>186</v>
      </c>
      <c r="F1015" s="2">
        <v>46081</v>
      </c>
      <c r="G1015" s="1" t="s">
        <v>1019</v>
      </c>
      <c r="H1015" s="1" t="s">
        <v>960</v>
      </c>
      <c r="I1015" s="1" t="s">
        <v>37</v>
      </c>
      <c r="J1015" s="1" t="s">
        <v>1013</v>
      </c>
      <c r="K1015" s="1" t="s">
        <v>39</v>
      </c>
      <c r="L1015">
        <v>300</v>
      </c>
      <c r="M1015">
        <v>35.200000000000003</v>
      </c>
      <c r="N1015">
        <v>26.8</v>
      </c>
      <c r="O1015">
        <v>13.9</v>
      </c>
      <c r="P1015">
        <v>1.311E-2</v>
      </c>
      <c r="Q1015">
        <v>2.61</v>
      </c>
      <c r="R1015">
        <v>6.96</v>
      </c>
      <c r="S1015">
        <v>9</v>
      </c>
      <c r="T1015">
        <v>9</v>
      </c>
      <c r="U1015">
        <v>81</v>
      </c>
      <c r="V1015">
        <v>140.10000000000002</v>
      </c>
      <c r="W1015">
        <v>236.41</v>
      </c>
      <c r="X1015">
        <v>1.0619099999999999</v>
      </c>
      <c r="Y1015">
        <v>0.62</v>
      </c>
      <c r="Z1015">
        <v>8.1282000000000004E-3</v>
      </c>
      <c r="AA1015">
        <v>7.6543209876543212E-3</v>
      </c>
      <c r="AB1015">
        <v>1294.56</v>
      </c>
      <c r="AC1015">
        <v>1</v>
      </c>
      <c r="AD1015" s="1" t="s">
        <v>44</v>
      </c>
      <c r="AE1015">
        <v>0</v>
      </c>
      <c r="AF1015">
        <v>1</v>
      </c>
      <c r="AG1015">
        <v>27.993421052631579</v>
      </c>
    </row>
    <row r="1016" spans="1:33">
      <c r="A1016" s="1" t="s">
        <v>1020</v>
      </c>
      <c r="B1016" s="1" t="s">
        <v>2082</v>
      </c>
      <c r="C1016" s="2">
        <v>46982</v>
      </c>
      <c r="D1016" s="1" t="s">
        <v>34</v>
      </c>
      <c r="E1016">
        <v>6949</v>
      </c>
      <c r="F1016" s="2">
        <v>46081</v>
      </c>
      <c r="G1016" s="1" t="s">
        <v>1021</v>
      </c>
      <c r="H1016" s="1" t="s">
        <v>52</v>
      </c>
      <c r="I1016" s="1" t="s">
        <v>37</v>
      </c>
      <c r="J1016" s="1" t="s">
        <v>1013</v>
      </c>
      <c r="K1016" s="1" t="s">
        <v>39</v>
      </c>
      <c r="L1016">
        <v>300</v>
      </c>
      <c r="M1016">
        <v>25.3</v>
      </c>
      <c r="N1016">
        <v>21.6</v>
      </c>
      <c r="O1016">
        <v>13.6</v>
      </c>
      <c r="P1016">
        <v>7.43E-3</v>
      </c>
      <c r="Q1016">
        <v>1.25</v>
      </c>
      <c r="R1016">
        <v>17.71</v>
      </c>
      <c r="S1016">
        <v>16</v>
      </c>
      <c r="T1016">
        <v>11</v>
      </c>
      <c r="U1016">
        <v>176</v>
      </c>
      <c r="V1016">
        <v>164.6</v>
      </c>
      <c r="W1016">
        <v>245</v>
      </c>
      <c r="X1016">
        <v>1.30768</v>
      </c>
      <c r="Y1016">
        <v>23.163333333333334</v>
      </c>
      <c r="Z1016">
        <v>0.17210356666666668</v>
      </c>
      <c r="AA1016">
        <v>0.1316098484848485</v>
      </c>
      <c r="AB1016">
        <v>123066.79000000001</v>
      </c>
      <c r="AC1016">
        <v>1</v>
      </c>
      <c r="AD1016" s="1" t="s">
        <v>44</v>
      </c>
      <c r="AE1016">
        <v>0</v>
      </c>
      <c r="AF1016">
        <v>1</v>
      </c>
      <c r="AG1016">
        <v>29.638157894736842</v>
      </c>
    </row>
    <row r="1017" spans="1:33">
      <c r="A1017" s="1" t="s">
        <v>1020</v>
      </c>
      <c r="B1017" s="1" t="s">
        <v>2083</v>
      </c>
      <c r="C1017" s="2">
        <v>46463</v>
      </c>
      <c r="D1017" s="1" t="s">
        <v>45</v>
      </c>
      <c r="E1017">
        <v>138</v>
      </c>
      <c r="F1017" s="2">
        <v>46081</v>
      </c>
      <c r="G1017" s="1" t="s">
        <v>1021</v>
      </c>
      <c r="H1017" s="1" t="s">
        <v>52</v>
      </c>
      <c r="I1017" s="1" t="s">
        <v>37</v>
      </c>
      <c r="J1017" s="1" t="s">
        <v>1013</v>
      </c>
      <c r="K1017" s="1" t="s">
        <v>39</v>
      </c>
      <c r="L1017">
        <v>300</v>
      </c>
      <c r="M1017">
        <v>25.3</v>
      </c>
      <c r="N1017">
        <v>21.6</v>
      </c>
      <c r="O1017">
        <v>13.6</v>
      </c>
      <c r="P1017">
        <v>7.43E-3</v>
      </c>
      <c r="Q1017">
        <v>1.25</v>
      </c>
      <c r="R1017">
        <v>17.71</v>
      </c>
      <c r="S1017">
        <v>16</v>
      </c>
      <c r="T1017">
        <v>11</v>
      </c>
      <c r="U1017">
        <v>176</v>
      </c>
      <c r="V1017">
        <v>164.6</v>
      </c>
      <c r="W1017">
        <v>245</v>
      </c>
      <c r="X1017">
        <v>1.30768</v>
      </c>
      <c r="Y1017">
        <v>0.46</v>
      </c>
      <c r="Z1017">
        <v>3.4178000000000004E-3</v>
      </c>
      <c r="AA1017">
        <v>2.6136363636363636E-3</v>
      </c>
      <c r="AB1017">
        <v>2443.98</v>
      </c>
      <c r="AC1017">
        <v>1</v>
      </c>
      <c r="AD1017" s="1" t="s">
        <v>44</v>
      </c>
      <c r="AE1017">
        <v>0</v>
      </c>
      <c r="AF1017">
        <v>1</v>
      </c>
      <c r="AG1017">
        <v>12.565789473684211</v>
      </c>
    </row>
    <row r="1018" spans="1:33">
      <c r="A1018" s="1" t="s">
        <v>1022</v>
      </c>
      <c r="B1018" s="1" t="s">
        <v>2084</v>
      </c>
      <c r="C1018" s="2">
        <v>46235</v>
      </c>
      <c r="D1018" s="1" t="s">
        <v>34</v>
      </c>
      <c r="E1018">
        <v>22</v>
      </c>
      <c r="F1018" s="2">
        <v>46081</v>
      </c>
      <c r="G1018" s="1" t="s">
        <v>1023</v>
      </c>
      <c r="H1018" s="1" t="s">
        <v>960</v>
      </c>
      <c r="I1018" s="1" t="s">
        <v>37</v>
      </c>
      <c r="J1018" s="1" t="s">
        <v>1013</v>
      </c>
      <c r="K1018" s="1" t="s">
        <v>39</v>
      </c>
      <c r="L1018">
        <v>200</v>
      </c>
      <c r="M1018">
        <v>38.1</v>
      </c>
      <c r="N1018">
        <v>21.6</v>
      </c>
      <c r="O1018">
        <v>10.1</v>
      </c>
      <c r="P1018">
        <v>8.3099999999999997E-3</v>
      </c>
      <c r="Q1018">
        <v>2.12</v>
      </c>
      <c r="R1018">
        <v>20.420000000000002</v>
      </c>
      <c r="S1018">
        <v>12</v>
      </c>
      <c r="T1018">
        <v>12</v>
      </c>
      <c r="U1018">
        <v>144</v>
      </c>
      <c r="V1018">
        <v>136.19999999999999</v>
      </c>
      <c r="W1018">
        <v>330.28000000000003</v>
      </c>
      <c r="X1018">
        <v>1.1966399999999999</v>
      </c>
      <c r="Y1018">
        <v>0.11</v>
      </c>
      <c r="Z1018">
        <v>9.1409999999999994E-4</v>
      </c>
      <c r="AA1018">
        <v>7.6388888888888893E-4</v>
      </c>
      <c r="AB1018">
        <v>449.24</v>
      </c>
      <c r="AC1018">
        <v>1</v>
      </c>
      <c r="AD1018" s="1" t="s">
        <v>44</v>
      </c>
      <c r="AE1018">
        <v>0</v>
      </c>
      <c r="AF1018">
        <v>1</v>
      </c>
      <c r="AG1018">
        <v>5.0657894736842106</v>
      </c>
    </row>
    <row r="1019" spans="1:33">
      <c r="A1019" s="1" t="s">
        <v>1022</v>
      </c>
      <c r="B1019" s="1" t="s">
        <v>2085</v>
      </c>
      <c r="C1019" s="2">
        <v>46636</v>
      </c>
      <c r="D1019" s="1" t="s">
        <v>34</v>
      </c>
      <c r="E1019">
        <v>247</v>
      </c>
      <c r="F1019" s="2">
        <v>46081</v>
      </c>
      <c r="G1019" s="1" t="s">
        <v>1023</v>
      </c>
      <c r="H1019" s="1" t="s">
        <v>960</v>
      </c>
      <c r="I1019" s="1" t="s">
        <v>37</v>
      </c>
      <c r="J1019" s="1" t="s">
        <v>1013</v>
      </c>
      <c r="K1019" s="1" t="s">
        <v>39</v>
      </c>
      <c r="L1019">
        <v>200</v>
      </c>
      <c r="M1019">
        <v>38.1</v>
      </c>
      <c r="N1019">
        <v>21.6</v>
      </c>
      <c r="O1019">
        <v>10.1</v>
      </c>
      <c r="P1019">
        <v>8.3099999999999997E-3</v>
      </c>
      <c r="Q1019">
        <v>2.12</v>
      </c>
      <c r="R1019">
        <v>20.420000000000002</v>
      </c>
      <c r="S1019">
        <v>12</v>
      </c>
      <c r="T1019">
        <v>12</v>
      </c>
      <c r="U1019">
        <v>144</v>
      </c>
      <c r="V1019">
        <v>136.19999999999999</v>
      </c>
      <c r="W1019">
        <v>330.28000000000003</v>
      </c>
      <c r="X1019">
        <v>1.1966399999999999</v>
      </c>
      <c r="Y1019">
        <v>1.2350000000000001</v>
      </c>
      <c r="Z1019">
        <v>1.026285E-2</v>
      </c>
      <c r="AA1019">
        <v>8.5763888888888903E-3</v>
      </c>
      <c r="AB1019">
        <v>5043.7400000000007</v>
      </c>
      <c r="AC1019">
        <v>1</v>
      </c>
      <c r="AD1019" s="1" t="s">
        <v>44</v>
      </c>
      <c r="AE1019">
        <v>0</v>
      </c>
      <c r="AF1019">
        <v>1</v>
      </c>
      <c r="AG1019">
        <v>18.256578947368421</v>
      </c>
    </row>
    <row r="1020" spans="1:33">
      <c r="A1020" s="1" t="s">
        <v>1024</v>
      </c>
      <c r="B1020" s="1" t="s">
        <v>2086</v>
      </c>
      <c r="C1020" s="2">
        <v>47034</v>
      </c>
      <c r="D1020" s="1" t="s">
        <v>34</v>
      </c>
      <c r="E1020">
        <v>1037</v>
      </c>
      <c r="F1020" s="2">
        <v>46081</v>
      </c>
      <c r="G1020" s="1" t="s">
        <v>1025</v>
      </c>
      <c r="H1020" s="1" t="s">
        <v>960</v>
      </c>
      <c r="I1020" s="1" t="s">
        <v>37</v>
      </c>
      <c r="J1020" s="1" t="s">
        <v>1013</v>
      </c>
      <c r="K1020" s="1" t="s">
        <v>39</v>
      </c>
      <c r="L1020">
        <v>200</v>
      </c>
      <c r="M1020">
        <v>25.9</v>
      </c>
      <c r="N1020">
        <v>27.1</v>
      </c>
      <c r="O1020">
        <v>17.3</v>
      </c>
      <c r="P1020">
        <v>1.214E-2</v>
      </c>
      <c r="Q1020">
        <v>3.31</v>
      </c>
      <c r="R1020">
        <v>20.93</v>
      </c>
      <c r="S1020">
        <v>12</v>
      </c>
      <c r="T1020">
        <v>8</v>
      </c>
      <c r="U1020">
        <v>96</v>
      </c>
      <c r="V1020">
        <v>153.4</v>
      </c>
      <c r="W1020">
        <v>342.76</v>
      </c>
      <c r="X1020">
        <v>1.16544</v>
      </c>
      <c r="Y1020">
        <v>5.1849999999999996</v>
      </c>
      <c r="Z1020">
        <v>6.2945899999999999E-2</v>
      </c>
      <c r="AA1020">
        <v>5.4010416666666665E-2</v>
      </c>
      <c r="AB1020">
        <v>21704.41</v>
      </c>
      <c r="AC1020">
        <v>1</v>
      </c>
      <c r="AD1020" s="1" t="s">
        <v>44</v>
      </c>
      <c r="AE1020">
        <v>0</v>
      </c>
      <c r="AF1020">
        <v>1</v>
      </c>
      <c r="AG1020">
        <v>31.348684210526319</v>
      </c>
    </row>
    <row r="1021" spans="1:33">
      <c r="A1021" s="1" t="s">
        <v>1026</v>
      </c>
      <c r="B1021" s="1" t="s">
        <v>2087</v>
      </c>
      <c r="C1021" s="2">
        <v>46332</v>
      </c>
      <c r="D1021" s="1" t="s">
        <v>34</v>
      </c>
      <c r="E1021">
        <v>4628</v>
      </c>
      <c r="F1021" s="2">
        <v>46081</v>
      </c>
      <c r="G1021" s="1" t="s">
        <v>1027</v>
      </c>
      <c r="H1021" s="1" t="s">
        <v>960</v>
      </c>
      <c r="I1021" s="1" t="s">
        <v>37</v>
      </c>
      <c r="J1021" s="1" t="s">
        <v>1013</v>
      </c>
      <c r="K1021" s="1" t="s">
        <v>39</v>
      </c>
      <c r="L1021">
        <v>100</v>
      </c>
      <c r="M1021">
        <v>25.9</v>
      </c>
      <c r="N1021">
        <v>28.1</v>
      </c>
      <c r="O1021">
        <v>15.6</v>
      </c>
      <c r="P1021">
        <v>1.1350000000000001E-2</v>
      </c>
      <c r="Q1021">
        <v>2.79</v>
      </c>
      <c r="R1021">
        <v>14.46</v>
      </c>
      <c r="S1021">
        <v>12</v>
      </c>
      <c r="T1021">
        <v>5</v>
      </c>
      <c r="U1021">
        <v>60</v>
      </c>
      <c r="V1021">
        <v>93</v>
      </c>
      <c r="W1021">
        <v>192.4</v>
      </c>
      <c r="X1021">
        <v>0.68100000000000005</v>
      </c>
      <c r="Y1021">
        <v>46.28</v>
      </c>
      <c r="Z1021">
        <v>0.52527800000000002</v>
      </c>
      <c r="AA1021">
        <v>0.77133333333333332</v>
      </c>
      <c r="AB1021">
        <v>66920.88</v>
      </c>
      <c r="AC1021">
        <v>1</v>
      </c>
      <c r="AD1021" s="1" t="s">
        <v>40</v>
      </c>
      <c r="AE1021">
        <v>1</v>
      </c>
      <c r="AF1021">
        <v>0</v>
      </c>
      <c r="AG1021">
        <v>8.2565789473684212</v>
      </c>
    </row>
    <row r="1022" spans="1:33">
      <c r="A1022" s="1" t="s">
        <v>1028</v>
      </c>
      <c r="B1022" s="1" t="s">
        <v>2088</v>
      </c>
      <c r="C1022" s="2">
        <v>46514</v>
      </c>
      <c r="D1022" s="1" t="s">
        <v>34</v>
      </c>
      <c r="E1022">
        <v>82</v>
      </c>
      <c r="F1022" s="2">
        <v>46081</v>
      </c>
      <c r="G1022" s="1" t="s">
        <v>1029</v>
      </c>
      <c r="H1022" s="1" t="s">
        <v>960</v>
      </c>
      <c r="I1022" s="1" t="s">
        <v>37</v>
      </c>
      <c r="J1022" s="1" t="s">
        <v>1013</v>
      </c>
      <c r="K1022" s="1" t="s">
        <v>39</v>
      </c>
      <c r="L1022">
        <v>200</v>
      </c>
      <c r="M1022">
        <v>36.9</v>
      </c>
      <c r="N1022">
        <v>25.5</v>
      </c>
      <c r="O1022">
        <v>17</v>
      </c>
      <c r="P1022">
        <v>1.6E-2</v>
      </c>
      <c r="Q1022">
        <v>3.8</v>
      </c>
      <c r="R1022">
        <v>14.05</v>
      </c>
      <c r="S1022">
        <v>7</v>
      </c>
      <c r="T1022">
        <v>7</v>
      </c>
      <c r="U1022">
        <v>49</v>
      </c>
      <c r="V1022">
        <v>134</v>
      </c>
      <c r="W1022">
        <v>211.2</v>
      </c>
      <c r="X1022">
        <v>0.78400000000000003</v>
      </c>
      <c r="Y1022">
        <v>0.41</v>
      </c>
      <c r="Z1022">
        <v>6.5599999999999999E-3</v>
      </c>
      <c r="AA1022">
        <v>8.3673469387755099E-3</v>
      </c>
      <c r="AB1022">
        <v>1152.1000000000001</v>
      </c>
      <c r="AC1022">
        <v>1</v>
      </c>
      <c r="AD1022" s="1" t="s">
        <v>44</v>
      </c>
      <c r="AE1022">
        <v>0</v>
      </c>
      <c r="AF1022">
        <v>1</v>
      </c>
      <c r="AG1022">
        <v>14.243421052631579</v>
      </c>
    </row>
    <row r="1023" spans="1:33">
      <c r="A1023" s="1" t="s">
        <v>1028</v>
      </c>
      <c r="B1023" s="1" t="s">
        <v>2089</v>
      </c>
      <c r="C1023" s="2">
        <v>46912</v>
      </c>
      <c r="D1023" s="1" t="s">
        <v>34</v>
      </c>
      <c r="E1023">
        <v>11</v>
      </c>
      <c r="F1023" s="2">
        <v>46081</v>
      </c>
      <c r="G1023" s="1" t="s">
        <v>1029</v>
      </c>
      <c r="H1023" s="1" t="s">
        <v>960</v>
      </c>
      <c r="I1023" s="1" t="s">
        <v>37</v>
      </c>
      <c r="J1023" s="1" t="s">
        <v>1013</v>
      </c>
      <c r="K1023" s="1" t="s">
        <v>39</v>
      </c>
      <c r="L1023">
        <v>200</v>
      </c>
      <c r="M1023">
        <v>36.9</v>
      </c>
      <c r="N1023">
        <v>25.5</v>
      </c>
      <c r="O1023">
        <v>17</v>
      </c>
      <c r="P1023">
        <v>1.6E-2</v>
      </c>
      <c r="Q1023">
        <v>3.8</v>
      </c>
      <c r="R1023">
        <v>14.05</v>
      </c>
      <c r="S1023">
        <v>7</v>
      </c>
      <c r="T1023">
        <v>7</v>
      </c>
      <c r="U1023">
        <v>49</v>
      </c>
      <c r="V1023">
        <v>134</v>
      </c>
      <c r="W1023">
        <v>211.2</v>
      </c>
      <c r="X1023">
        <v>0.78400000000000003</v>
      </c>
      <c r="Y1023">
        <v>5.5E-2</v>
      </c>
      <c r="Z1023">
        <v>8.8000000000000003E-4</v>
      </c>
      <c r="AA1023">
        <v>1.1224489795918367E-3</v>
      </c>
      <c r="AB1023">
        <v>154.55000000000001</v>
      </c>
      <c r="AC1023">
        <v>1</v>
      </c>
      <c r="AD1023" s="1" t="s">
        <v>44</v>
      </c>
      <c r="AE1023">
        <v>0</v>
      </c>
      <c r="AF1023">
        <v>1</v>
      </c>
      <c r="AG1023">
        <v>27.335526315789476</v>
      </c>
    </row>
    <row r="1024" spans="1:33">
      <c r="A1024" s="1" t="s">
        <v>1028</v>
      </c>
      <c r="B1024" s="1" t="s">
        <v>2090</v>
      </c>
      <c r="C1024" s="2">
        <v>46496</v>
      </c>
      <c r="D1024" s="1" t="s">
        <v>49</v>
      </c>
      <c r="E1024">
        <v>4</v>
      </c>
      <c r="F1024" s="2">
        <v>46081</v>
      </c>
      <c r="G1024" s="1" t="s">
        <v>1029</v>
      </c>
      <c r="H1024" s="1" t="s">
        <v>960</v>
      </c>
      <c r="I1024" s="1" t="s">
        <v>37</v>
      </c>
      <c r="J1024" s="1" t="s">
        <v>1013</v>
      </c>
      <c r="K1024" s="1" t="s">
        <v>39</v>
      </c>
      <c r="L1024">
        <v>200</v>
      </c>
      <c r="M1024">
        <v>36.9</v>
      </c>
      <c r="N1024">
        <v>25.5</v>
      </c>
      <c r="O1024">
        <v>17</v>
      </c>
      <c r="P1024">
        <v>1.6E-2</v>
      </c>
      <c r="Q1024">
        <v>3.8</v>
      </c>
      <c r="R1024">
        <v>14.05</v>
      </c>
      <c r="S1024">
        <v>7</v>
      </c>
      <c r="T1024">
        <v>7</v>
      </c>
      <c r="U1024">
        <v>49</v>
      </c>
      <c r="V1024">
        <v>134</v>
      </c>
      <c r="W1024">
        <v>211.2</v>
      </c>
      <c r="X1024">
        <v>0.78400000000000003</v>
      </c>
      <c r="Y1024">
        <v>0.02</v>
      </c>
      <c r="Z1024">
        <v>3.2000000000000003E-4</v>
      </c>
      <c r="AA1024">
        <v>4.0816326530612246E-4</v>
      </c>
      <c r="AB1024">
        <v>56.2</v>
      </c>
      <c r="AC1024">
        <v>1</v>
      </c>
      <c r="AD1024" s="1" t="s">
        <v>44</v>
      </c>
      <c r="AE1024">
        <v>0</v>
      </c>
      <c r="AF1024">
        <v>1</v>
      </c>
      <c r="AG1024">
        <v>13.651315789473685</v>
      </c>
    </row>
    <row r="1025" spans="1:33">
      <c r="A1025" s="1" t="s">
        <v>1030</v>
      </c>
      <c r="B1025" s="1" t="s">
        <v>2091</v>
      </c>
      <c r="C1025" s="2">
        <v>46629</v>
      </c>
      <c r="D1025" s="1" t="s">
        <v>34</v>
      </c>
      <c r="E1025">
        <v>919</v>
      </c>
      <c r="F1025" s="2">
        <v>46081</v>
      </c>
      <c r="G1025" s="1" t="s">
        <v>1031</v>
      </c>
      <c r="H1025" s="1" t="s">
        <v>960</v>
      </c>
      <c r="I1025" s="1" t="s">
        <v>37</v>
      </c>
      <c r="J1025" s="1" t="s">
        <v>1013</v>
      </c>
      <c r="K1025" s="1" t="s">
        <v>39</v>
      </c>
      <c r="L1025">
        <v>100</v>
      </c>
      <c r="M1025">
        <v>31.9</v>
      </c>
      <c r="N1025">
        <v>20.399999999999999</v>
      </c>
      <c r="O1025">
        <v>11.3</v>
      </c>
      <c r="P1025">
        <v>7.3499999999999998E-3</v>
      </c>
      <c r="Q1025">
        <v>1.28</v>
      </c>
      <c r="R1025">
        <v>22.4</v>
      </c>
      <c r="S1025">
        <v>13</v>
      </c>
      <c r="T1025">
        <v>13</v>
      </c>
      <c r="U1025">
        <v>169</v>
      </c>
      <c r="V1025">
        <v>161.9</v>
      </c>
      <c r="W1025">
        <v>241.32</v>
      </c>
      <c r="X1025">
        <v>1.2421500000000001</v>
      </c>
      <c r="Y1025">
        <v>9.19</v>
      </c>
      <c r="Z1025">
        <v>6.7546499999999995E-2</v>
      </c>
      <c r="AA1025">
        <v>5.4378698224852071E-2</v>
      </c>
      <c r="AB1025">
        <v>20585.599999999999</v>
      </c>
      <c r="AC1025">
        <v>1</v>
      </c>
      <c r="AD1025" s="1" t="s">
        <v>44</v>
      </c>
      <c r="AE1025">
        <v>0</v>
      </c>
      <c r="AF1025">
        <v>1</v>
      </c>
      <c r="AG1025">
        <v>18.026315789473685</v>
      </c>
    </row>
    <row r="1026" spans="1:33">
      <c r="A1026" s="1" t="s">
        <v>1030</v>
      </c>
      <c r="B1026" s="1" t="s">
        <v>2092</v>
      </c>
      <c r="C1026" s="2">
        <v>46208</v>
      </c>
      <c r="D1026" s="1" t="s">
        <v>34</v>
      </c>
      <c r="E1026">
        <v>6943</v>
      </c>
      <c r="F1026" s="2">
        <v>46081</v>
      </c>
      <c r="G1026" s="1" t="s">
        <v>1031</v>
      </c>
      <c r="H1026" s="1" t="s">
        <v>960</v>
      </c>
      <c r="I1026" s="1" t="s">
        <v>37</v>
      </c>
      <c r="J1026" s="1" t="s">
        <v>1013</v>
      </c>
      <c r="K1026" s="1" t="s">
        <v>39</v>
      </c>
      <c r="L1026">
        <v>100</v>
      </c>
      <c r="M1026">
        <v>31.9</v>
      </c>
      <c r="N1026">
        <v>20.399999999999999</v>
      </c>
      <c r="O1026">
        <v>11.3</v>
      </c>
      <c r="P1026">
        <v>7.3499999999999998E-3</v>
      </c>
      <c r="Q1026">
        <v>1.28</v>
      </c>
      <c r="R1026">
        <v>22.4</v>
      </c>
      <c r="S1026">
        <v>13</v>
      </c>
      <c r="T1026">
        <v>13</v>
      </c>
      <c r="U1026">
        <v>169</v>
      </c>
      <c r="V1026">
        <v>161.9</v>
      </c>
      <c r="W1026">
        <v>241.32</v>
      </c>
      <c r="X1026">
        <v>1.2421500000000001</v>
      </c>
      <c r="Y1026">
        <v>69.430000000000007</v>
      </c>
      <c r="Z1026">
        <v>0.5103105</v>
      </c>
      <c r="AA1026">
        <v>0.41082840236686397</v>
      </c>
      <c r="AB1026">
        <v>155523.19999999998</v>
      </c>
      <c r="AC1026">
        <v>1</v>
      </c>
      <c r="AD1026" s="1" t="s">
        <v>40</v>
      </c>
      <c r="AE1026">
        <v>1</v>
      </c>
      <c r="AF1026">
        <v>0</v>
      </c>
      <c r="AG1026">
        <v>4.177631578947369</v>
      </c>
    </row>
    <row r="1027" spans="1:33">
      <c r="A1027" s="1" t="s">
        <v>1032</v>
      </c>
      <c r="B1027" s="1" t="s">
        <v>2093</v>
      </c>
      <c r="C1027" s="2">
        <v>46961</v>
      </c>
      <c r="D1027" s="1" t="s">
        <v>34</v>
      </c>
      <c r="E1027">
        <v>18074</v>
      </c>
      <c r="F1027" s="2">
        <v>46081</v>
      </c>
      <c r="G1027" s="1" t="s">
        <v>1033</v>
      </c>
      <c r="H1027" s="1" t="s">
        <v>960</v>
      </c>
      <c r="I1027" s="1" t="s">
        <v>37</v>
      </c>
      <c r="J1027" s="1" t="s">
        <v>1013</v>
      </c>
      <c r="K1027" s="1" t="s">
        <v>39</v>
      </c>
      <c r="L1027">
        <v>100</v>
      </c>
      <c r="M1027">
        <v>32.5</v>
      </c>
      <c r="N1027">
        <v>29</v>
      </c>
      <c r="O1027">
        <v>13.9</v>
      </c>
      <c r="P1027">
        <v>1.3100000000000001E-2</v>
      </c>
      <c r="Q1027">
        <v>1.98</v>
      </c>
      <c r="R1027">
        <v>16.36</v>
      </c>
      <c r="S1027">
        <v>10</v>
      </c>
      <c r="T1027">
        <v>10</v>
      </c>
      <c r="U1027">
        <v>100</v>
      </c>
      <c r="V1027">
        <v>154</v>
      </c>
      <c r="W1027">
        <v>223</v>
      </c>
      <c r="X1027">
        <v>1.31</v>
      </c>
      <c r="Y1027">
        <v>180.74</v>
      </c>
      <c r="Z1027">
        <v>2.3676940000000002</v>
      </c>
      <c r="AA1027">
        <v>1.8074000000000001</v>
      </c>
      <c r="AB1027">
        <v>295690.64</v>
      </c>
      <c r="AC1027">
        <v>2</v>
      </c>
      <c r="AD1027" s="1" t="s">
        <v>40</v>
      </c>
      <c r="AE1027">
        <v>2</v>
      </c>
      <c r="AF1027">
        <v>0</v>
      </c>
      <c r="AG1027">
        <v>28.947368421052634</v>
      </c>
    </row>
    <row r="1028" spans="1:33">
      <c r="A1028" s="1" t="s">
        <v>1034</v>
      </c>
      <c r="B1028" s="1" t="s">
        <v>2094</v>
      </c>
      <c r="C1028" s="2">
        <v>47021</v>
      </c>
      <c r="D1028" s="1" t="s">
        <v>34</v>
      </c>
      <c r="E1028">
        <v>7997</v>
      </c>
      <c r="F1028" s="2">
        <v>46081</v>
      </c>
      <c r="G1028" s="1" t="s">
        <v>1035</v>
      </c>
      <c r="H1028" s="1" t="s">
        <v>960</v>
      </c>
      <c r="I1028" s="1" t="s">
        <v>37</v>
      </c>
      <c r="J1028" s="1" t="s">
        <v>1013</v>
      </c>
      <c r="K1028" s="1" t="s">
        <v>39</v>
      </c>
      <c r="L1028">
        <v>100</v>
      </c>
      <c r="M1028">
        <v>29.5</v>
      </c>
      <c r="N1028">
        <v>24.2</v>
      </c>
      <c r="O1028">
        <v>11.7</v>
      </c>
      <c r="P1028">
        <v>8.3499999999999998E-3</v>
      </c>
      <c r="Q1028">
        <v>1.7</v>
      </c>
      <c r="R1028">
        <v>10.66</v>
      </c>
      <c r="S1028">
        <v>16</v>
      </c>
      <c r="T1028">
        <v>5</v>
      </c>
      <c r="U1028">
        <v>80</v>
      </c>
      <c r="V1028">
        <v>73.5</v>
      </c>
      <c r="W1028">
        <v>161</v>
      </c>
      <c r="X1028">
        <v>0.66799999999999993</v>
      </c>
      <c r="Y1028">
        <v>79.97</v>
      </c>
      <c r="Z1028">
        <v>0.6677495</v>
      </c>
      <c r="AA1028">
        <v>0.99962499999999999</v>
      </c>
      <c r="AB1028">
        <v>85248.02</v>
      </c>
      <c r="AC1028">
        <v>1</v>
      </c>
      <c r="AD1028" s="1" t="s">
        <v>40</v>
      </c>
      <c r="AE1028">
        <v>1</v>
      </c>
      <c r="AF1028">
        <v>0</v>
      </c>
      <c r="AG1028">
        <v>30.921052631578949</v>
      </c>
    </row>
    <row r="1029" spans="1:33">
      <c r="A1029" s="1" t="s">
        <v>1034</v>
      </c>
      <c r="B1029" s="1" t="s">
        <v>2095</v>
      </c>
      <c r="C1029" s="2">
        <v>46289</v>
      </c>
      <c r="D1029" s="1" t="s">
        <v>34</v>
      </c>
      <c r="E1029">
        <v>5228</v>
      </c>
      <c r="F1029" s="2">
        <v>46081</v>
      </c>
      <c r="G1029" s="1" t="s">
        <v>1035</v>
      </c>
      <c r="H1029" s="1" t="s">
        <v>960</v>
      </c>
      <c r="I1029" s="1" t="s">
        <v>37</v>
      </c>
      <c r="J1029" s="1" t="s">
        <v>1013</v>
      </c>
      <c r="K1029" s="1" t="s">
        <v>39</v>
      </c>
      <c r="L1029">
        <v>100</v>
      </c>
      <c r="M1029">
        <v>29.5</v>
      </c>
      <c r="N1029">
        <v>24.2</v>
      </c>
      <c r="O1029">
        <v>11.7</v>
      </c>
      <c r="P1029">
        <v>8.3499999999999998E-3</v>
      </c>
      <c r="Q1029">
        <v>1.7</v>
      </c>
      <c r="R1029">
        <v>10.66</v>
      </c>
      <c r="S1029">
        <v>16</v>
      </c>
      <c r="T1029">
        <v>5</v>
      </c>
      <c r="U1029">
        <v>80</v>
      </c>
      <c r="V1029">
        <v>73.5</v>
      </c>
      <c r="W1029">
        <v>161</v>
      </c>
      <c r="X1029">
        <v>0.66799999999999993</v>
      </c>
      <c r="Y1029">
        <v>52.28</v>
      </c>
      <c r="Z1029">
        <v>0.43653799999999998</v>
      </c>
      <c r="AA1029">
        <v>0.65349999999999997</v>
      </c>
      <c r="AB1029">
        <v>55730.48</v>
      </c>
      <c r="AC1029">
        <v>1</v>
      </c>
      <c r="AD1029" s="1" t="s">
        <v>40</v>
      </c>
      <c r="AE1029">
        <v>1</v>
      </c>
      <c r="AF1029">
        <v>0</v>
      </c>
      <c r="AG1029">
        <v>6.8421052631578947</v>
      </c>
    </row>
    <row r="1030" spans="1:33">
      <c r="A1030" s="1" t="s">
        <v>1036</v>
      </c>
      <c r="B1030" s="1" t="s">
        <v>2096</v>
      </c>
      <c r="C1030" s="2">
        <v>46467</v>
      </c>
      <c r="D1030" s="1" t="s">
        <v>34</v>
      </c>
      <c r="E1030">
        <v>767</v>
      </c>
      <c r="F1030" s="2">
        <v>46081</v>
      </c>
      <c r="G1030" s="1" t="s">
        <v>1037</v>
      </c>
      <c r="H1030" s="1" t="s">
        <v>960</v>
      </c>
      <c r="I1030" s="1" t="s">
        <v>37</v>
      </c>
      <c r="J1030" s="1" t="s">
        <v>1013</v>
      </c>
      <c r="K1030" s="1" t="s">
        <v>39</v>
      </c>
      <c r="L1030">
        <v>300</v>
      </c>
      <c r="M1030">
        <v>35.5</v>
      </c>
      <c r="N1030">
        <v>28.1</v>
      </c>
      <c r="O1030">
        <v>13.8</v>
      </c>
      <c r="P1030">
        <v>1.3769999999999999E-2</v>
      </c>
      <c r="Q1030">
        <v>3.77</v>
      </c>
      <c r="R1030">
        <v>29.65</v>
      </c>
      <c r="S1030">
        <v>9</v>
      </c>
      <c r="T1030">
        <v>6</v>
      </c>
      <c r="U1030">
        <v>54</v>
      </c>
      <c r="V1030">
        <v>97.8</v>
      </c>
      <c r="W1030">
        <v>228.58</v>
      </c>
      <c r="X1030">
        <v>0.74357999999999991</v>
      </c>
      <c r="Y1030">
        <v>2.5566666666666666</v>
      </c>
      <c r="Z1030">
        <v>3.5205299999999995E-2</v>
      </c>
      <c r="AA1030">
        <v>4.7345679012345682E-2</v>
      </c>
      <c r="AB1030">
        <v>22741.55</v>
      </c>
      <c r="AC1030">
        <v>1</v>
      </c>
      <c r="AD1030" s="1" t="s">
        <v>44</v>
      </c>
      <c r="AE1030">
        <v>0</v>
      </c>
      <c r="AF1030">
        <v>1</v>
      </c>
      <c r="AG1030">
        <v>12.697368421052632</v>
      </c>
    </row>
    <row r="1031" spans="1:33">
      <c r="A1031" s="1" t="s">
        <v>1036</v>
      </c>
      <c r="B1031" s="1" t="s">
        <v>2097</v>
      </c>
      <c r="C1031" s="2">
        <v>46212</v>
      </c>
      <c r="D1031" s="1" t="s">
        <v>34</v>
      </c>
      <c r="E1031">
        <v>27</v>
      </c>
      <c r="F1031" s="2">
        <v>46081</v>
      </c>
      <c r="G1031" s="1" t="s">
        <v>1037</v>
      </c>
      <c r="H1031" s="1" t="s">
        <v>960</v>
      </c>
      <c r="I1031" s="1" t="s">
        <v>37</v>
      </c>
      <c r="J1031" s="1" t="s">
        <v>1013</v>
      </c>
      <c r="K1031" s="1" t="s">
        <v>39</v>
      </c>
      <c r="L1031">
        <v>300</v>
      </c>
      <c r="M1031">
        <v>35.5</v>
      </c>
      <c r="N1031">
        <v>28.1</v>
      </c>
      <c r="O1031">
        <v>13.8</v>
      </c>
      <c r="P1031">
        <v>1.3769999999999999E-2</v>
      </c>
      <c r="Q1031">
        <v>3.77</v>
      </c>
      <c r="R1031">
        <v>29.65</v>
      </c>
      <c r="S1031">
        <v>9</v>
      </c>
      <c r="T1031">
        <v>6</v>
      </c>
      <c r="U1031">
        <v>54</v>
      </c>
      <c r="V1031">
        <v>97.8</v>
      </c>
      <c r="W1031">
        <v>228.58</v>
      </c>
      <c r="X1031">
        <v>0.74357999999999991</v>
      </c>
      <c r="Y1031">
        <v>0.09</v>
      </c>
      <c r="Z1031">
        <v>1.2392999999999998E-3</v>
      </c>
      <c r="AA1031">
        <v>1.6666666666666666E-3</v>
      </c>
      <c r="AB1031">
        <v>800.55</v>
      </c>
      <c r="AC1031">
        <v>1</v>
      </c>
      <c r="AD1031" s="1" t="s">
        <v>44</v>
      </c>
      <c r="AE1031">
        <v>0</v>
      </c>
      <c r="AF1031">
        <v>1</v>
      </c>
      <c r="AG1031">
        <v>4.3092105263157894</v>
      </c>
    </row>
    <row r="1032" spans="1:33">
      <c r="A1032" s="1" t="s">
        <v>1036</v>
      </c>
      <c r="B1032" s="1" t="s">
        <v>2098</v>
      </c>
      <c r="C1032" s="2">
        <v>46802</v>
      </c>
      <c r="D1032" s="1" t="s">
        <v>34</v>
      </c>
      <c r="E1032">
        <v>291</v>
      </c>
      <c r="F1032" s="2">
        <v>46081</v>
      </c>
      <c r="G1032" s="1" t="s">
        <v>1037</v>
      </c>
      <c r="H1032" s="1" t="s">
        <v>960</v>
      </c>
      <c r="I1032" s="1" t="s">
        <v>37</v>
      </c>
      <c r="J1032" s="1" t="s">
        <v>1013</v>
      </c>
      <c r="K1032" s="1" t="s">
        <v>39</v>
      </c>
      <c r="L1032">
        <v>300</v>
      </c>
      <c r="M1032">
        <v>35.5</v>
      </c>
      <c r="N1032">
        <v>28.1</v>
      </c>
      <c r="O1032">
        <v>13.8</v>
      </c>
      <c r="P1032">
        <v>1.3769999999999999E-2</v>
      </c>
      <c r="Q1032">
        <v>3.77</v>
      </c>
      <c r="R1032">
        <v>29.65</v>
      </c>
      <c r="S1032">
        <v>9</v>
      </c>
      <c r="T1032">
        <v>6</v>
      </c>
      <c r="U1032">
        <v>54</v>
      </c>
      <c r="V1032">
        <v>97.8</v>
      </c>
      <c r="W1032">
        <v>228.58</v>
      </c>
      <c r="X1032">
        <v>0.74357999999999991</v>
      </c>
      <c r="Y1032">
        <v>0.97</v>
      </c>
      <c r="Z1032">
        <v>1.33569E-2</v>
      </c>
      <c r="AA1032">
        <v>1.7962962962962962E-2</v>
      </c>
      <c r="AB1032">
        <v>8628.15</v>
      </c>
      <c r="AC1032">
        <v>1</v>
      </c>
      <c r="AD1032" s="1" t="s">
        <v>44</v>
      </c>
      <c r="AE1032">
        <v>0</v>
      </c>
      <c r="AF1032">
        <v>1</v>
      </c>
      <c r="AG1032">
        <v>23.717105263157897</v>
      </c>
    </row>
    <row r="1033" spans="1:33">
      <c r="A1033" s="1" t="s">
        <v>1036</v>
      </c>
      <c r="B1033" s="1" t="s">
        <v>2099</v>
      </c>
      <c r="C1033" s="2">
        <v>46398</v>
      </c>
      <c r="D1033" s="1" t="s">
        <v>49</v>
      </c>
      <c r="E1033">
        <v>54</v>
      </c>
      <c r="F1033" s="2">
        <v>46081</v>
      </c>
      <c r="G1033" s="1" t="s">
        <v>1037</v>
      </c>
      <c r="H1033" s="1" t="s">
        <v>960</v>
      </c>
      <c r="I1033" s="1" t="s">
        <v>37</v>
      </c>
      <c r="J1033" s="1" t="s">
        <v>1013</v>
      </c>
      <c r="K1033" s="1" t="s">
        <v>39</v>
      </c>
      <c r="L1033">
        <v>300</v>
      </c>
      <c r="M1033">
        <v>35.5</v>
      </c>
      <c r="N1033">
        <v>28.1</v>
      </c>
      <c r="O1033">
        <v>13.8</v>
      </c>
      <c r="P1033">
        <v>1.3769999999999999E-2</v>
      </c>
      <c r="Q1033">
        <v>3.77</v>
      </c>
      <c r="R1033">
        <v>29.65</v>
      </c>
      <c r="S1033">
        <v>9</v>
      </c>
      <c r="T1033">
        <v>6</v>
      </c>
      <c r="U1033">
        <v>54</v>
      </c>
      <c r="V1033">
        <v>97.8</v>
      </c>
      <c r="W1033">
        <v>228.58</v>
      </c>
      <c r="X1033">
        <v>0.74357999999999991</v>
      </c>
      <c r="Y1033">
        <v>0.18</v>
      </c>
      <c r="Z1033">
        <v>2.4785999999999996E-3</v>
      </c>
      <c r="AA1033">
        <v>3.3333333333333331E-3</v>
      </c>
      <c r="AB1033">
        <v>1601.1</v>
      </c>
      <c r="AC1033">
        <v>1</v>
      </c>
      <c r="AD1033" s="1" t="s">
        <v>44</v>
      </c>
      <c r="AE1033">
        <v>0</v>
      </c>
      <c r="AF1033">
        <v>1</v>
      </c>
      <c r="AG1033">
        <v>10.427631578947368</v>
      </c>
    </row>
    <row r="1034" spans="1:33">
      <c r="A1034" s="1" t="s">
        <v>1038</v>
      </c>
      <c r="B1034" s="1" t="s">
        <v>2100</v>
      </c>
      <c r="C1034" s="2">
        <v>46520</v>
      </c>
      <c r="D1034" s="1" t="s">
        <v>34</v>
      </c>
      <c r="E1034">
        <v>401</v>
      </c>
      <c r="F1034" s="2">
        <v>46081</v>
      </c>
      <c r="G1034" s="1" t="s">
        <v>1039</v>
      </c>
      <c r="H1034" s="1" t="s">
        <v>960</v>
      </c>
      <c r="I1034" s="1" t="s">
        <v>37</v>
      </c>
      <c r="J1034" s="1" t="s">
        <v>1013</v>
      </c>
      <c r="K1034" s="1" t="s">
        <v>39</v>
      </c>
      <c r="L1034">
        <v>200</v>
      </c>
      <c r="M1034">
        <v>32.5</v>
      </c>
      <c r="N1034">
        <v>29.8</v>
      </c>
      <c r="O1034">
        <v>11.6</v>
      </c>
      <c r="P1034">
        <v>1.123E-2</v>
      </c>
      <c r="Q1034">
        <v>2.52</v>
      </c>
      <c r="R1034">
        <v>4.67</v>
      </c>
      <c r="S1034">
        <v>12</v>
      </c>
      <c r="T1034">
        <v>9</v>
      </c>
      <c r="U1034">
        <v>108</v>
      </c>
      <c r="V1034">
        <v>119.4</v>
      </c>
      <c r="W1034">
        <v>297.16000000000003</v>
      </c>
      <c r="X1034">
        <v>1.2128399999999999</v>
      </c>
      <c r="Y1034">
        <v>2.0049999999999999</v>
      </c>
      <c r="Z1034">
        <v>2.2516149999999999E-2</v>
      </c>
      <c r="AA1034">
        <v>1.8564814814814815E-2</v>
      </c>
      <c r="AB1034">
        <v>1872.67</v>
      </c>
      <c r="AC1034">
        <v>1</v>
      </c>
      <c r="AD1034" s="1" t="s">
        <v>44</v>
      </c>
      <c r="AE1034">
        <v>0</v>
      </c>
      <c r="AF1034">
        <v>1</v>
      </c>
      <c r="AG1034">
        <v>14.440789473684211</v>
      </c>
    </row>
    <row r="1035" spans="1:33">
      <c r="A1035" s="1" t="s">
        <v>1038</v>
      </c>
      <c r="B1035" s="1" t="s">
        <v>2101</v>
      </c>
      <c r="C1035" s="2">
        <v>46513</v>
      </c>
      <c r="D1035" s="1" t="s">
        <v>34</v>
      </c>
      <c r="E1035">
        <v>862</v>
      </c>
      <c r="F1035" s="2">
        <v>46081</v>
      </c>
      <c r="G1035" s="1" t="s">
        <v>1039</v>
      </c>
      <c r="H1035" s="1" t="s">
        <v>960</v>
      </c>
      <c r="I1035" s="1" t="s">
        <v>37</v>
      </c>
      <c r="J1035" s="1" t="s">
        <v>1013</v>
      </c>
      <c r="K1035" s="1" t="s">
        <v>39</v>
      </c>
      <c r="L1035">
        <v>200</v>
      </c>
      <c r="M1035">
        <v>32.5</v>
      </c>
      <c r="N1035">
        <v>29.8</v>
      </c>
      <c r="O1035">
        <v>11.6</v>
      </c>
      <c r="P1035">
        <v>1.123E-2</v>
      </c>
      <c r="Q1035">
        <v>2.52</v>
      </c>
      <c r="R1035">
        <v>4.67</v>
      </c>
      <c r="S1035">
        <v>12</v>
      </c>
      <c r="T1035">
        <v>9</v>
      </c>
      <c r="U1035">
        <v>108</v>
      </c>
      <c r="V1035">
        <v>119.4</v>
      </c>
      <c r="W1035">
        <v>297.16000000000003</v>
      </c>
      <c r="X1035">
        <v>1.2128399999999999</v>
      </c>
      <c r="Y1035">
        <v>4.3099999999999996</v>
      </c>
      <c r="Z1035">
        <v>4.8401299999999994E-2</v>
      </c>
      <c r="AA1035">
        <v>3.9907407407407405E-2</v>
      </c>
      <c r="AB1035">
        <v>4025.54</v>
      </c>
      <c r="AC1035">
        <v>1</v>
      </c>
      <c r="AD1035" s="1" t="s">
        <v>44</v>
      </c>
      <c r="AE1035">
        <v>0</v>
      </c>
      <c r="AF1035">
        <v>1</v>
      </c>
      <c r="AG1035">
        <v>14.210526315789474</v>
      </c>
    </row>
    <row r="1036" spans="1:33">
      <c r="A1036" s="1" t="s">
        <v>1040</v>
      </c>
      <c r="B1036" s="1" t="s">
        <v>2102</v>
      </c>
      <c r="C1036" s="2">
        <v>46940</v>
      </c>
      <c r="D1036" s="1" t="s">
        <v>34</v>
      </c>
      <c r="E1036">
        <v>3384</v>
      </c>
      <c r="F1036" s="2">
        <v>46081</v>
      </c>
      <c r="G1036" s="1" t="s">
        <v>1041</v>
      </c>
      <c r="H1036" s="1" t="s">
        <v>960</v>
      </c>
      <c r="I1036" s="1" t="s">
        <v>37</v>
      </c>
      <c r="J1036" s="1" t="s">
        <v>1013</v>
      </c>
      <c r="K1036" s="1" t="s">
        <v>39</v>
      </c>
      <c r="L1036">
        <v>100</v>
      </c>
      <c r="M1036">
        <v>39.700000000000003</v>
      </c>
      <c r="N1036">
        <v>21.3</v>
      </c>
      <c r="O1036">
        <v>11.1</v>
      </c>
      <c r="P1036">
        <v>9.3900000000000008E-3</v>
      </c>
      <c r="Q1036">
        <v>2.2400000000000002</v>
      </c>
      <c r="R1036">
        <v>24.75</v>
      </c>
      <c r="S1036">
        <v>10</v>
      </c>
      <c r="T1036">
        <v>6</v>
      </c>
      <c r="U1036">
        <v>60</v>
      </c>
      <c r="V1036">
        <v>81.599999999999994</v>
      </c>
      <c r="W1036">
        <v>159.4</v>
      </c>
      <c r="X1036">
        <v>0.56340000000000001</v>
      </c>
      <c r="Y1036">
        <v>33.840000000000003</v>
      </c>
      <c r="Z1036">
        <v>0.31775760000000008</v>
      </c>
      <c r="AA1036">
        <v>0.56400000000000006</v>
      </c>
      <c r="AB1036">
        <v>83754</v>
      </c>
      <c r="AC1036">
        <v>1</v>
      </c>
      <c r="AD1036" s="1" t="s">
        <v>40</v>
      </c>
      <c r="AE1036">
        <v>1</v>
      </c>
      <c r="AF1036">
        <v>0</v>
      </c>
      <c r="AG1036">
        <v>28.256578947368421</v>
      </c>
    </row>
    <row r="1037" spans="1:33">
      <c r="A1037" s="1" t="s">
        <v>1040</v>
      </c>
      <c r="B1037" s="1" t="s">
        <v>2103</v>
      </c>
      <c r="C1037" s="2">
        <v>47137</v>
      </c>
      <c r="D1037" s="1" t="s">
        <v>34</v>
      </c>
      <c r="E1037">
        <v>277</v>
      </c>
      <c r="F1037" s="2">
        <v>46081</v>
      </c>
      <c r="G1037" s="1" t="s">
        <v>1041</v>
      </c>
      <c r="H1037" s="1" t="s">
        <v>960</v>
      </c>
      <c r="I1037" s="1" t="s">
        <v>37</v>
      </c>
      <c r="J1037" s="1" t="s">
        <v>1013</v>
      </c>
      <c r="K1037" s="1" t="s">
        <v>39</v>
      </c>
      <c r="L1037">
        <v>100</v>
      </c>
      <c r="M1037">
        <v>39.700000000000003</v>
      </c>
      <c r="N1037">
        <v>21.3</v>
      </c>
      <c r="O1037">
        <v>11.1</v>
      </c>
      <c r="P1037">
        <v>9.3900000000000008E-3</v>
      </c>
      <c r="Q1037">
        <v>2.2400000000000002</v>
      </c>
      <c r="R1037">
        <v>24.75</v>
      </c>
      <c r="S1037">
        <v>10</v>
      </c>
      <c r="T1037">
        <v>6</v>
      </c>
      <c r="U1037">
        <v>60</v>
      </c>
      <c r="V1037">
        <v>81.599999999999994</v>
      </c>
      <c r="W1037">
        <v>159.4</v>
      </c>
      <c r="X1037">
        <v>0.56340000000000001</v>
      </c>
      <c r="Y1037">
        <v>2.77</v>
      </c>
      <c r="Z1037">
        <v>2.6010300000000004E-2</v>
      </c>
      <c r="AA1037">
        <v>4.6166666666666668E-2</v>
      </c>
      <c r="AB1037">
        <v>6855.75</v>
      </c>
      <c r="AC1037">
        <v>1</v>
      </c>
      <c r="AD1037" s="1" t="s">
        <v>44</v>
      </c>
      <c r="AE1037">
        <v>0</v>
      </c>
      <c r="AF1037">
        <v>1</v>
      </c>
      <c r="AG1037">
        <v>34.736842105263158</v>
      </c>
    </row>
    <row r="1038" spans="1:33">
      <c r="A1038" s="1" t="s">
        <v>1040</v>
      </c>
      <c r="B1038" s="1" t="s">
        <v>2104</v>
      </c>
      <c r="C1038" s="2">
        <v>46440</v>
      </c>
      <c r="D1038" s="1" t="s">
        <v>34</v>
      </c>
      <c r="E1038">
        <v>1614</v>
      </c>
      <c r="F1038" s="2">
        <v>46081</v>
      </c>
      <c r="G1038" s="1" t="s">
        <v>1041</v>
      </c>
      <c r="H1038" s="1" t="s">
        <v>960</v>
      </c>
      <c r="I1038" s="1" t="s">
        <v>37</v>
      </c>
      <c r="J1038" s="1" t="s">
        <v>1013</v>
      </c>
      <c r="K1038" s="1" t="s">
        <v>39</v>
      </c>
      <c r="L1038">
        <v>100</v>
      </c>
      <c r="M1038">
        <v>39.700000000000003</v>
      </c>
      <c r="N1038">
        <v>21.3</v>
      </c>
      <c r="O1038">
        <v>11.1</v>
      </c>
      <c r="P1038">
        <v>9.3900000000000008E-3</v>
      </c>
      <c r="Q1038">
        <v>2.2400000000000002</v>
      </c>
      <c r="R1038">
        <v>24.75</v>
      </c>
      <c r="S1038">
        <v>10</v>
      </c>
      <c r="T1038">
        <v>6</v>
      </c>
      <c r="U1038">
        <v>60</v>
      </c>
      <c r="V1038">
        <v>81.599999999999994</v>
      </c>
      <c r="W1038">
        <v>159.4</v>
      </c>
      <c r="X1038">
        <v>0.56340000000000001</v>
      </c>
      <c r="Y1038">
        <v>16.14</v>
      </c>
      <c r="Z1038">
        <v>0.15155460000000001</v>
      </c>
      <c r="AA1038">
        <v>0.26900000000000002</v>
      </c>
      <c r="AB1038">
        <v>39946.5</v>
      </c>
      <c r="AC1038">
        <v>1</v>
      </c>
      <c r="AD1038" s="1" t="s">
        <v>44</v>
      </c>
      <c r="AE1038">
        <v>0</v>
      </c>
      <c r="AF1038">
        <v>1</v>
      </c>
      <c r="AG1038">
        <v>11.809210526315789</v>
      </c>
    </row>
    <row r="1039" spans="1:33">
      <c r="A1039" s="1" t="s">
        <v>1042</v>
      </c>
      <c r="B1039" s="1" t="s">
        <v>2105</v>
      </c>
      <c r="C1039" s="2">
        <v>46321</v>
      </c>
      <c r="D1039" s="1" t="s">
        <v>34</v>
      </c>
      <c r="E1039">
        <v>14962</v>
      </c>
      <c r="F1039" s="2">
        <v>46081</v>
      </c>
      <c r="G1039" s="1" t="s">
        <v>1043</v>
      </c>
      <c r="H1039" s="1" t="s">
        <v>960</v>
      </c>
      <c r="I1039" s="1" t="s">
        <v>37</v>
      </c>
      <c r="J1039" s="1" t="s">
        <v>1013</v>
      </c>
      <c r="K1039" s="1" t="s">
        <v>39</v>
      </c>
      <c r="L1039">
        <v>200</v>
      </c>
      <c r="M1039">
        <v>39</v>
      </c>
      <c r="N1039">
        <v>21.5</v>
      </c>
      <c r="O1039">
        <v>17.2</v>
      </c>
      <c r="P1039">
        <v>1.4420000000000001E-2</v>
      </c>
      <c r="Q1039">
        <v>3.31</v>
      </c>
      <c r="R1039">
        <v>5.77</v>
      </c>
      <c r="S1039">
        <v>12</v>
      </c>
      <c r="T1039">
        <v>7</v>
      </c>
      <c r="U1039">
        <v>84</v>
      </c>
      <c r="V1039">
        <v>135.39999999999998</v>
      </c>
      <c r="W1039">
        <v>303.04000000000002</v>
      </c>
      <c r="X1039">
        <v>1.2112799999999999</v>
      </c>
      <c r="Y1039">
        <v>74.81</v>
      </c>
      <c r="Z1039">
        <v>1.0787602000000001</v>
      </c>
      <c r="AA1039">
        <v>0.89059523809523811</v>
      </c>
      <c r="AB1039">
        <v>86330.739999999991</v>
      </c>
      <c r="AC1039">
        <v>1</v>
      </c>
      <c r="AD1039" s="1" t="s">
        <v>40</v>
      </c>
      <c r="AE1039">
        <v>1</v>
      </c>
      <c r="AF1039">
        <v>0</v>
      </c>
      <c r="AG1039">
        <v>7.8947368421052637</v>
      </c>
    </row>
    <row r="1040" spans="1:33">
      <c r="A1040" s="1" t="s">
        <v>1042</v>
      </c>
      <c r="B1040" s="1" t="s">
        <v>2106</v>
      </c>
      <c r="C1040" s="2">
        <v>47073</v>
      </c>
      <c r="D1040" s="1" t="s">
        <v>34</v>
      </c>
      <c r="E1040">
        <v>34053</v>
      </c>
      <c r="F1040" s="2">
        <v>46081</v>
      </c>
      <c r="G1040" s="1" t="s">
        <v>1043</v>
      </c>
      <c r="H1040" s="1" t="s">
        <v>960</v>
      </c>
      <c r="I1040" s="1" t="s">
        <v>37</v>
      </c>
      <c r="J1040" s="1" t="s">
        <v>1013</v>
      </c>
      <c r="K1040" s="1" t="s">
        <v>39</v>
      </c>
      <c r="L1040">
        <v>200</v>
      </c>
      <c r="M1040">
        <v>39</v>
      </c>
      <c r="N1040">
        <v>21.5</v>
      </c>
      <c r="O1040">
        <v>17.2</v>
      </c>
      <c r="P1040">
        <v>1.4420000000000001E-2</v>
      </c>
      <c r="Q1040">
        <v>3.31</v>
      </c>
      <c r="R1040">
        <v>5.77</v>
      </c>
      <c r="S1040">
        <v>12</v>
      </c>
      <c r="T1040">
        <v>7</v>
      </c>
      <c r="U1040">
        <v>84</v>
      </c>
      <c r="V1040">
        <v>135.39999999999998</v>
      </c>
      <c r="W1040">
        <v>303.04000000000002</v>
      </c>
      <c r="X1040">
        <v>1.2112799999999999</v>
      </c>
      <c r="Y1040">
        <v>170.26499999999999</v>
      </c>
      <c r="Z1040">
        <v>2.4552212999999998</v>
      </c>
      <c r="AA1040">
        <v>2.0269642857142856</v>
      </c>
      <c r="AB1040">
        <v>196485.81</v>
      </c>
      <c r="AC1040">
        <v>3</v>
      </c>
      <c r="AD1040" s="1" t="s">
        <v>40</v>
      </c>
      <c r="AE1040">
        <v>3</v>
      </c>
      <c r="AF1040">
        <v>0</v>
      </c>
      <c r="AG1040">
        <v>32.631578947368425</v>
      </c>
    </row>
    <row r="1041" spans="1:33">
      <c r="A1041" s="1" t="s">
        <v>1044</v>
      </c>
      <c r="B1041" s="1" t="s">
        <v>2107</v>
      </c>
      <c r="C1041" s="2">
        <v>46747</v>
      </c>
      <c r="D1041" s="1" t="s">
        <v>34</v>
      </c>
      <c r="E1041">
        <v>13315</v>
      </c>
      <c r="F1041" s="2">
        <v>46081</v>
      </c>
      <c r="G1041" s="1" t="s">
        <v>1045</v>
      </c>
      <c r="H1041" s="1" t="s">
        <v>52</v>
      </c>
      <c r="I1041" s="1" t="s">
        <v>37</v>
      </c>
      <c r="J1041" s="1" t="s">
        <v>1013</v>
      </c>
      <c r="K1041" s="1" t="s">
        <v>39</v>
      </c>
      <c r="L1041">
        <v>300</v>
      </c>
      <c r="M1041">
        <v>39.5</v>
      </c>
      <c r="N1041">
        <v>29.4</v>
      </c>
      <c r="O1041">
        <v>11</v>
      </c>
      <c r="P1041">
        <v>1.277E-2</v>
      </c>
      <c r="Q1041">
        <v>2.15</v>
      </c>
      <c r="R1041">
        <v>26.19</v>
      </c>
      <c r="S1041">
        <v>9</v>
      </c>
      <c r="T1041">
        <v>6</v>
      </c>
      <c r="U1041">
        <v>54</v>
      </c>
      <c r="V1041">
        <v>81</v>
      </c>
      <c r="W1041">
        <v>141.1</v>
      </c>
      <c r="X1041">
        <v>0.68957999999999997</v>
      </c>
      <c r="Y1041">
        <v>44.383333333333333</v>
      </c>
      <c r="Z1041">
        <v>0.56677516666666672</v>
      </c>
      <c r="AA1041">
        <v>0.82191358024691352</v>
      </c>
      <c r="AB1041">
        <v>348719.85000000003</v>
      </c>
      <c r="AC1041">
        <v>1</v>
      </c>
      <c r="AD1041" s="1" t="s">
        <v>40</v>
      </c>
      <c r="AE1041">
        <v>1</v>
      </c>
      <c r="AF1041">
        <v>0</v>
      </c>
      <c r="AG1041">
        <v>21.907894736842106</v>
      </c>
    </row>
    <row r="1042" spans="1:33">
      <c r="A1042" s="1" t="s">
        <v>1046</v>
      </c>
      <c r="B1042" s="1" t="s">
        <v>2108</v>
      </c>
      <c r="C1042" s="2">
        <v>46414</v>
      </c>
      <c r="D1042" s="1" t="s">
        <v>34</v>
      </c>
      <c r="E1042">
        <v>19</v>
      </c>
      <c r="F1042" s="2">
        <v>46081</v>
      </c>
      <c r="G1042" s="1" t="s">
        <v>1047</v>
      </c>
      <c r="H1042" s="1" t="s">
        <v>960</v>
      </c>
      <c r="I1042" s="1" t="s">
        <v>37</v>
      </c>
      <c r="J1042" s="1" t="s">
        <v>1013</v>
      </c>
      <c r="K1042" s="1" t="s">
        <v>39</v>
      </c>
      <c r="L1042">
        <v>200</v>
      </c>
      <c r="M1042">
        <v>30.4</v>
      </c>
      <c r="N1042">
        <v>26.6</v>
      </c>
      <c r="O1042">
        <v>15.7</v>
      </c>
      <c r="P1042">
        <v>1.2699999999999999E-2</v>
      </c>
      <c r="Q1042">
        <v>3.39</v>
      </c>
      <c r="R1042">
        <v>4.3899999999999997</v>
      </c>
      <c r="S1042">
        <v>12</v>
      </c>
      <c r="T1042">
        <v>7</v>
      </c>
      <c r="U1042">
        <v>84</v>
      </c>
      <c r="V1042">
        <v>124.9</v>
      </c>
      <c r="W1042">
        <v>309.76</v>
      </c>
      <c r="X1042">
        <v>1.0668</v>
      </c>
      <c r="Y1042">
        <v>9.5000000000000001E-2</v>
      </c>
      <c r="Z1042">
        <v>1.2064999999999999E-3</v>
      </c>
      <c r="AA1042">
        <v>1.1309523809523809E-3</v>
      </c>
      <c r="AB1042">
        <v>83.41</v>
      </c>
      <c r="AC1042">
        <v>1</v>
      </c>
      <c r="AD1042" s="1" t="s">
        <v>44</v>
      </c>
      <c r="AE1042">
        <v>0</v>
      </c>
      <c r="AF1042">
        <v>1</v>
      </c>
      <c r="AG1042">
        <v>10.953947368421053</v>
      </c>
    </row>
    <row r="1043" spans="1:33">
      <c r="A1043" s="1" t="s">
        <v>1046</v>
      </c>
      <c r="B1043" s="1" t="s">
        <v>2109</v>
      </c>
      <c r="C1043" s="2">
        <v>47124</v>
      </c>
      <c r="D1043" s="1" t="s">
        <v>34</v>
      </c>
      <c r="E1043">
        <v>23</v>
      </c>
      <c r="F1043" s="2">
        <v>46081</v>
      </c>
      <c r="G1043" s="1" t="s">
        <v>1047</v>
      </c>
      <c r="H1043" s="1" t="s">
        <v>960</v>
      </c>
      <c r="I1043" s="1" t="s">
        <v>37</v>
      </c>
      <c r="J1043" s="1" t="s">
        <v>1013</v>
      </c>
      <c r="K1043" s="1" t="s">
        <v>39</v>
      </c>
      <c r="L1043">
        <v>200</v>
      </c>
      <c r="M1043">
        <v>30.4</v>
      </c>
      <c r="N1043">
        <v>26.6</v>
      </c>
      <c r="O1043">
        <v>15.7</v>
      </c>
      <c r="P1043">
        <v>1.2699999999999999E-2</v>
      </c>
      <c r="Q1043">
        <v>3.39</v>
      </c>
      <c r="R1043">
        <v>4.3899999999999997</v>
      </c>
      <c r="S1043">
        <v>12</v>
      </c>
      <c r="T1043">
        <v>7</v>
      </c>
      <c r="U1043">
        <v>84</v>
      </c>
      <c r="V1043">
        <v>124.9</v>
      </c>
      <c r="W1043">
        <v>309.76</v>
      </c>
      <c r="X1043">
        <v>1.0668</v>
      </c>
      <c r="Y1043">
        <v>0.115</v>
      </c>
      <c r="Z1043">
        <v>1.4605E-3</v>
      </c>
      <c r="AA1043">
        <v>1.3690476190476191E-3</v>
      </c>
      <c r="AB1043">
        <v>100.97</v>
      </c>
      <c r="AC1043">
        <v>1</v>
      </c>
      <c r="AD1043" s="1" t="s">
        <v>44</v>
      </c>
      <c r="AE1043">
        <v>0</v>
      </c>
      <c r="AF1043">
        <v>1</v>
      </c>
      <c r="AG1043">
        <v>34.309210526315788</v>
      </c>
    </row>
    <row r="1044" spans="1:33">
      <c r="A1044" s="1" t="s">
        <v>1046</v>
      </c>
      <c r="B1044" s="1" t="s">
        <v>2110</v>
      </c>
      <c r="C1044" s="2">
        <v>47045</v>
      </c>
      <c r="D1044" s="1" t="s">
        <v>34</v>
      </c>
      <c r="E1044">
        <v>47</v>
      </c>
      <c r="F1044" s="2">
        <v>46081</v>
      </c>
      <c r="G1044" s="1" t="s">
        <v>1047</v>
      </c>
      <c r="H1044" s="1" t="s">
        <v>960</v>
      </c>
      <c r="I1044" s="1" t="s">
        <v>37</v>
      </c>
      <c r="J1044" s="1" t="s">
        <v>1013</v>
      </c>
      <c r="K1044" s="1" t="s">
        <v>39</v>
      </c>
      <c r="L1044">
        <v>200</v>
      </c>
      <c r="M1044">
        <v>30.4</v>
      </c>
      <c r="N1044">
        <v>26.6</v>
      </c>
      <c r="O1044">
        <v>15.7</v>
      </c>
      <c r="P1044">
        <v>1.2699999999999999E-2</v>
      </c>
      <c r="Q1044">
        <v>3.39</v>
      </c>
      <c r="R1044">
        <v>4.3899999999999997</v>
      </c>
      <c r="S1044">
        <v>12</v>
      </c>
      <c r="T1044">
        <v>7</v>
      </c>
      <c r="U1044">
        <v>84</v>
      </c>
      <c r="V1044">
        <v>124.9</v>
      </c>
      <c r="W1044">
        <v>309.76</v>
      </c>
      <c r="X1044">
        <v>1.0668</v>
      </c>
      <c r="Y1044">
        <v>0.23499999999999999</v>
      </c>
      <c r="Z1044">
        <v>2.9844999999999997E-3</v>
      </c>
      <c r="AA1044">
        <v>2.7976190476190475E-3</v>
      </c>
      <c r="AB1044">
        <v>206.32999999999998</v>
      </c>
      <c r="AC1044">
        <v>1</v>
      </c>
      <c r="AD1044" s="1" t="s">
        <v>44</v>
      </c>
      <c r="AE1044">
        <v>0</v>
      </c>
      <c r="AF1044">
        <v>1</v>
      </c>
      <c r="AG1044">
        <v>31.710526315789476</v>
      </c>
    </row>
    <row r="1045" spans="1:33">
      <c r="A1045" s="1" t="s">
        <v>1046</v>
      </c>
      <c r="B1045" s="1" t="s">
        <v>2111</v>
      </c>
      <c r="C1045" s="2">
        <v>45864</v>
      </c>
      <c r="D1045" s="1" t="s">
        <v>73</v>
      </c>
      <c r="E1045">
        <v>7</v>
      </c>
      <c r="F1045" s="2">
        <v>46081</v>
      </c>
      <c r="G1045" s="1" t="s">
        <v>1047</v>
      </c>
      <c r="H1045" s="1" t="s">
        <v>960</v>
      </c>
      <c r="I1045" s="1" t="s">
        <v>37</v>
      </c>
      <c r="J1045" s="1" t="s">
        <v>1013</v>
      </c>
      <c r="K1045" s="1" t="s">
        <v>39</v>
      </c>
      <c r="L1045">
        <v>200</v>
      </c>
      <c r="M1045">
        <v>30.4</v>
      </c>
      <c r="N1045">
        <v>26.6</v>
      </c>
      <c r="O1045">
        <v>15.7</v>
      </c>
      <c r="P1045">
        <v>1.2699999999999999E-2</v>
      </c>
      <c r="Q1045">
        <v>3.39</v>
      </c>
      <c r="R1045">
        <v>4.3899999999999997</v>
      </c>
      <c r="S1045">
        <v>12</v>
      </c>
      <c r="T1045">
        <v>7</v>
      </c>
      <c r="U1045">
        <v>84</v>
      </c>
      <c r="V1045">
        <v>124.9</v>
      </c>
      <c r="W1045">
        <v>309.76</v>
      </c>
      <c r="X1045">
        <v>1.0668</v>
      </c>
      <c r="Y1045">
        <v>3.5000000000000003E-2</v>
      </c>
      <c r="Z1045">
        <v>4.4450000000000002E-4</v>
      </c>
      <c r="AA1045">
        <v>4.1666666666666669E-4</v>
      </c>
      <c r="AB1045">
        <v>30.729999999999997</v>
      </c>
      <c r="AC1045">
        <v>1</v>
      </c>
      <c r="AD1045" s="1" t="s">
        <v>74</v>
      </c>
      <c r="AE1045">
        <v>0</v>
      </c>
      <c r="AF1045">
        <v>0</v>
      </c>
      <c r="AG1045">
        <v>-7.1381578947368425</v>
      </c>
    </row>
    <row r="1046" spans="1:33">
      <c r="A1046" s="1" t="s">
        <v>1048</v>
      </c>
      <c r="B1046" s="1" t="s">
        <v>2112</v>
      </c>
      <c r="C1046" s="2">
        <v>46661</v>
      </c>
      <c r="D1046" s="1" t="s">
        <v>34</v>
      </c>
      <c r="E1046">
        <v>164</v>
      </c>
      <c r="F1046" s="2">
        <v>46081</v>
      </c>
      <c r="G1046" s="1" t="s">
        <v>1049</v>
      </c>
      <c r="H1046" s="1" t="s">
        <v>52</v>
      </c>
      <c r="I1046" s="1" t="s">
        <v>37</v>
      </c>
      <c r="J1046" s="1" t="s">
        <v>1013</v>
      </c>
      <c r="K1046" s="1" t="s">
        <v>39</v>
      </c>
      <c r="L1046">
        <v>200</v>
      </c>
      <c r="M1046">
        <v>31.2</v>
      </c>
      <c r="N1046">
        <v>26.6</v>
      </c>
      <c r="O1046">
        <v>14.4</v>
      </c>
      <c r="P1046">
        <v>1.1950000000000001E-2</v>
      </c>
      <c r="Q1046">
        <v>1.83</v>
      </c>
      <c r="R1046">
        <v>17.45</v>
      </c>
      <c r="S1046">
        <v>12</v>
      </c>
      <c r="T1046">
        <v>10</v>
      </c>
      <c r="U1046">
        <v>120</v>
      </c>
      <c r="V1046">
        <v>159</v>
      </c>
      <c r="W1046">
        <v>244.6</v>
      </c>
      <c r="X1046">
        <v>1.4340000000000002</v>
      </c>
      <c r="Y1046">
        <v>0.82</v>
      </c>
      <c r="Z1046">
        <v>9.7990000000000004E-3</v>
      </c>
      <c r="AA1046">
        <v>6.8333333333333328E-3</v>
      </c>
      <c r="AB1046">
        <v>2861.7999999999997</v>
      </c>
      <c r="AC1046">
        <v>1</v>
      </c>
      <c r="AD1046" s="1" t="s">
        <v>44</v>
      </c>
      <c r="AE1046">
        <v>0</v>
      </c>
      <c r="AF1046">
        <v>1</v>
      </c>
      <c r="AG1046">
        <v>19.078947368421055</v>
      </c>
    </row>
    <row r="1047" spans="1:33">
      <c r="A1047" s="1" t="s">
        <v>1048</v>
      </c>
      <c r="B1047" s="1" t="s">
        <v>2113</v>
      </c>
      <c r="C1047" s="2">
        <v>46729</v>
      </c>
      <c r="D1047" s="1" t="s">
        <v>49</v>
      </c>
      <c r="E1047">
        <v>8</v>
      </c>
      <c r="F1047" s="2">
        <v>46081</v>
      </c>
      <c r="G1047" s="1" t="s">
        <v>1049</v>
      </c>
      <c r="H1047" s="1" t="s">
        <v>52</v>
      </c>
      <c r="I1047" s="1" t="s">
        <v>37</v>
      </c>
      <c r="J1047" s="1" t="s">
        <v>1013</v>
      </c>
      <c r="K1047" s="1" t="s">
        <v>39</v>
      </c>
      <c r="L1047">
        <v>200</v>
      </c>
      <c r="M1047">
        <v>31.2</v>
      </c>
      <c r="N1047">
        <v>26.6</v>
      </c>
      <c r="O1047">
        <v>14.4</v>
      </c>
      <c r="P1047">
        <v>1.1950000000000001E-2</v>
      </c>
      <c r="Q1047">
        <v>1.83</v>
      </c>
      <c r="R1047">
        <v>17.45</v>
      </c>
      <c r="S1047">
        <v>12</v>
      </c>
      <c r="T1047">
        <v>10</v>
      </c>
      <c r="U1047">
        <v>120</v>
      </c>
      <c r="V1047">
        <v>159</v>
      </c>
      <c r="W1047">
        <v>244.6</v>
      </c>
      <c r="X1047">
        <v>1.4340000000000002</v>
      </c>
      <c r="Y1047">
        <v>0.04</v>
      </c>
      <c r="Z1047">
        <v>4.7800000000000002E-4</v>
      </c>
      <c r="AA1047">
        <v>3.3333333333333332E-4</v>
      </c>
      <c r="AB1047">
        <v>139.6</v>
      </c>
      <c r="AC1047">
        <v>1</v>
      </c>
      <c r="AD1047" s="1" t="s">
        <v>44</v>
      </c>
      <c r="AE1047">
        <v>0</v>
      </c>
      <c r="AF1047">
        <v>1</v>
      </c>
      <c r="AG1047">
        <v>21.315789473684212</v>
      </c>
    </row>
    <row r="1048" spans="1:33">
      <c r="A1048" s="1" t="s">
        <v>1050</v>
      </c>
      <c r="B1048" s="1" t="s">
        <v>2114</v>
      </c>
      <c r="C1048" s="2">
        <v>46402</v>
      </c>
      <c r="D1048" s="1" t="s">
        <v>34</v>
      </c>
      <c r="E1048">
        <v>460</v>
      </c>
      <c r="F1048" s="2">
        <v>46081</v>
      </c>
      <c r="G1048" s="1" t="s">
        <v>1051</v>
      </c>
      <c r="H1048" s="1" t="s">
        <v>70</v>
      </c>
      <c r="I1048" s="1" t="s">
        <v>37</v>
      </c>
      <c r="J1048" s="1" t="s">
        <v>1052</v>
      </c>
      <c r="K1048" s="1" t="s">
        <v>39</v>
      </c>
      <c r="L1048">
        <v>50</v>
      </c>
      <c r="M1048">
        <v>48.4</v>
      </c>
      <c r="N1048">
        <v>26.3</v>
      </c>
      <c r="O1048">
        <v>22.2</v>
      </c>
      <c r="P1048">
        <v>2.826E-2</v>
      </c>
      <c r="Q1048">
        <v>4.9400000000000004</v>
      </c>
      <c r="R1048">
        <v>15.49</v>
      </c>
      <c r="S1048">
        <v>8</v>
      </c>
      <c r="T1048">
        <v>6</v>
      </c>
      <c r="U1048">
        <v>48</v>
      </c>
      <c r="V1048">
        <v>148.19999999999999</v>
      </c>
      <c r="W1048">
        <v>262.12</v>
      </c>
      <c r="X1048">
        <v>1.3564799999999999</v>
      </c>
      <c r="Y1048">
        <v>9.1999999999999993</v>
      </c>
      <c r="Z1048">
        <v>0.259992</v>
      </c>
      <c r="AA1048">
        <v>0.19166666666666665</v>
      </c>
      <c r="AB1048">
        <v>7125.4000000000015</v>
      </c>
      <c r="AC1048">
        <v>1</v>
      </c>
      <c r="AD1048" s="1" t="s">
        <v>40</v>
      </c>
      <c r="AE1048">
        <v>1</v>
      </c>
      <c r="AF1048">
        <v>0</v>
      </c>
      <c r="AG1048">
        <v>10.559210526315789</v>
      </c>
    </row>
    <row r="1049" spans="1:33">
      <c r="A1049" s="1" t="s">
        <v>1053</v>
      </c>
      <c r="B1049" s="1" t="s">
        <v>2115</v>
      </c>
      <c r="C1049" s="2">
        <v>46213</v>
      </c>
      <c r="D1049" s="1" t="s">
        <v>34</v>
      </c>
      <c r="E1049">
        <v>2526</v>
      </c>
      <c r="F1049" s="2">
        <v>46081</v>
      </c>
      <c r="G1049" s="1" t="s">
        <v>1054</v>
      </c>
      <c r="H1049" s="1" t="s">
        <v>70</v>
      </c>
      <c r="I1049" s="1" t="s">
        <v>37</v>
      </c>
      <c r="J1049" s="1" t="s">
        <v>1052</v>
      </c>
      <c r="K1049" s="1" t="s">
        <v>39</v>
      </c>
      <c r="L1049">
        <v>100</v>
      </c>
      <c r="M1049">
        <v>51.5</v>
      </c>
      <c r="N1049">
        <v>27.9</v>
      </c>
      <c r="O1049">
        <v>19.600000000000001</v>
      </c>
      <c r="P1049">
        <v>2.8160000000000001E-2</v>
      </c>
      <c r="Q1049">
        <v>6.16</v>
      </c>
      <c r="R1049">
        <v>24.78</v>
      </c>
      <c r="S1049">
        <v>4</v>
      </c>
      <c r="T1049">
        <v>5</v>
      </c>
      <c r="U1049">
        <v>20</v>
      </c>
      <c r="V1049">
        <v>113</v>
      </c>
      <c r="W1049">
        <v>148.19999999999999</v>
      </c>
      <c r="X1049">
        <v>0.56320000000000003</v>
      </c>
      <c r="Y1049">
        <v>25.26</v>
      </c>
      <c r="Z1049">
        <v>0.71132160000000011</v>
      </c>
      <c r="AA1049">
        <v>1.2630000000000001</v>
      </c>
      <c r="AB1049">
        <v>62594.280000000006</v>
      </c>
      <c r="AC1049">
        <v>2</v>
      </c>
      <c r="AD1049" s="1" t="s">
        <v>40</v>
      </c>
      <c r="AE1049">
        <v>2</v>
      </c>
      <c r="AF1049">
        <v>0</v>
      </c>
      <c r="AG1049">
        <v>4.3421052631578947</v>
      </c>
    </row>
    <row r="1050" spans="1:33">
      <c r="A1050" s="1" t="s">
        <v>1055</v>
      </c>
      <c r="B1050" s="1" t="s">
        <v>2116</v>
      </c>
      <c r="C1050" s="2">
        <v>46845</v>
      </c>
      <c r="D1050" s="1" t="s">
        <v>34</v>
      </c>
      <c r="E1050">
        <v>195</v>
      </c>
      <c r="F1050" s="2">
        <v>46081</v>
      </c>
      <c r="G1050" s="1" t="s">
        <v>1056</v>
      </c>
      <c r="H1050" s="1" t="s">
        <v>70</v>
      </c>
      <c r="I1050" s="1" t="s">
        <v>37</v>
      </c>
      <c r="J1050" s="1" t="s">
        <v>1052</v>
      </c>
      <c r="K1050" s="1" t="s">
        <v>39</v>
      </c>
      <c r="L1050">
        <v>100</v>
      </c>
      <c r="M1050">
        <v>41.4</v>
      </c>
      <c r="N1050">
        <v>29.9</v>
      </c>
      <c r="O1050">
        <v>16.100000000000001</v>
      </c>
      <c r="P1050">
        <v>1.993E-2</v>
      </c>
      <c r="Q1050">
        <v>4.59</v>
      </c>
      <c r="R1050">
        <v>28.88</v>
      </c>
      <c r="S1050">
        <v>8</v>
      </c>
      <c r="T1050">
        <v>5</v>
      </c>
      <c r="U1050">
        <v>40</v>
      </c>
      <c r="V1050">
        <v>95.5</v>
      </c>
      <c r="W1050">
        <v>208.6</v>
      </c>
      <c r="X1050">
        <v>0.79720000000000002</v>
      </c>
      <c r="Y1050">
        <v>1.95</v>
      </c>
      <c r="Z1050">
        <v>3.8863499999999995E-2</v>
      </c>
      <c r="AA1050">
        <v>4.8750000000000002E-2</v>
      </c>
      <c r="AB1050">
        <v>5631.5999999999995</v>
      </c>
      <c r="AC1050">
        <v>1</v>
      </c>
      <c r="AD1050" s="1" t="s">
        <v>44</v>
      </c>
      <c r="AE1050">
        <v>0</v>
      </c>
      <c r="AF1050">
        <v>1</v>
      </c>
      <c r="AG1050">
        <v>25.131578947368421</v>
      </c>
    </row>
    <row r="1051" spans="1:33">
      <c r="A1051" s="1" t="s">
        <v>1055</v>
      </c>
      <c r="B1051" s="1" t="s">
        <v>2117</v>
      </c>
      <c r="C1051" s="2">
        <v>46945</v>
      </c>
      <c r="D1051" s="1" t="s">
        <v>34</v>
      </c>
      <c r="E1051">
        <v>128</v>
      </c>
      <c r="F1051" s="2">
        <v>46081</v>
      </c>
      <c r="G1051" s="1" t="s">
        <v>1056</v>
      </c>
      <c r="H1051" s="1" t="s">
        <v>70</v>
      </c>
      <c r="I1051" s="1" t="s">
        <v>37</v>
      </c>
      <c r="J1051" s="1" t="s">
        <v>1052</v>
      </c>
      <c r="K1051" s="1" t="s">
        <v>39</v>
      </c>
      <c r="L1051">
        <v>100</v>
      </c>
      <c r="M1051">
        <v>41.4</v>
      </c>
      <c r="N1051">
        <v>29.9</v>
      </c>
      <c r="O1051">
        <v>16.100000000000001</v>
      </c>
      <c r="P1051">
        <v>1.993E-2</v>
      </c>
      <c r="Q1051">
        <v>4.59</v>
      </c>
      <c r="R1051">
        <v>28.88</v>
      </c>
      <c r="S1051">
        <v>8</v>
      </c>
      <c r="T1051">
        <v>5</v>
      </c>
      <c r="U1051">
        <v>40</v>
      </c>
      <c r="V1051">
        <v>95.5</v>
      </c>
      <c r="W1051">
        <v>208.6</v>
      </c>
      <c r="X1051">
        <v>0.79720000000000002</v>
      </c>
      <c r="Y1051">
        <v>1.28</v>
      </c>
      <c r="Z1051">
        <v>2.5510399999999999E-2</v>
      </c>
      <c r="AA1051">
        <v>3.2000000000000001E-2</v>
      </c>
      <c r="AB1051">
        <v>3696.64</v>
      </c>
      <c r="AC1051">
        <v>1</v>
      </c>
      <c r="AD1051" s="1" t="s">
        <v>44</v>
      </c>
      <c r="AE1051">
        <v>0</v>
      </c>
      <c r="AF1051">
        <v>1</v>
      </c>
      <c r="AG1051">
        <v>28.421052631578949</v>
      </c>
    </row>
    <row r="1052" spans="1:33">
      <c r="A1052" s="1" t="s">
        <v>1057</v>
      </c>
      <c r="B1052" s="1" t="s">
        <v>2118</v>
      </c>
      <c r="C1052" s="2">
        <v>46570</v>
      </c>
      <c r="D1052" s="1" t="s">
        <v>34</v>
      </c>
      <c r="E1052">
        <v>7</v>
      </c>
      <c r="F1052" s="2">
        <v>46081</v>
      </c>
      <c r="G1052" s="1" t="s">
        <v>1058</v>
      </c>
      <c r="H1052" s="1" t="s">
        <v>70</v>
      </c>
      <c r="I1052" s="1" t="s">
        <v>37</v>
      </c>
      <c r="J1052" s="1" t="s">
        <v>1052</v>
      </c>
      <c r="K1052" s="1" t="s">
        <v>39</v>
      </c>
      <c r="L1052">
        <v>50</v>
      </c>
      <c r="M1052">
        <v>45.5</v>
      </c>
      <c r="N1052">
        <v>33</v>
      </c>
      <c r="O1052">
        <v>16.2</v>
      </c>
      <c r="P1052">
        <v>2.4320000000000001E-2</v>
      </c>
      <c r="Q1052">
        <v>5.17</v>
      </c>
      <c r="R1052">
        <v>27.24</v>
      </c>
      <c r="S1052">
        <v>6</v>
      </c>
      <c r="T1052">
        <v>6</v>
      </c>
      <c r="U1052">
        <v>36</v>
      </c>
      <c r="V1052">
        <v>112.2</v>
      </c>
      <c r="W1052">
        <v>211.12</v>
      </c>
      <c r="X1052">
        <v>0.87552000000000008</v>
      </c>
      <c r="Y1052">
        <v>0.14000000000000001</v>
      </c>
      <c r="Z1052">
        <v>3.4048000000000004E-3</v>
      </c>
      <c r="AA1052">
        <v>3.8888888888888892E-3</v>
      </c>
      <c r="AB1052">
        <v>190.67999999999998</v>
      </c>
      <c r="AC1052">
        <v>1</v>
      </c>
      <c r="AD1052" s="1" t="s">
        <v>44</v>
      </c>
      <c r="AE1052">
        <v>0</v>
      </c>
      <c r="AF1052">
        <v>1</v>
      </c>
      <c r="AG1052">
        <v>16.085526315789476</v>
      </c>
    </row>
    <row r="1053" spans="1:33">
      <c r="A1053" s="1" t="s">
        <v>1057</v>
      </c>
      <c r="B1053" s="1" t="s">
        <v>2119</v>
      </c>
      <c r="C1053" s="2">
        <v>46282</v>
      </c>
      <c r="D1053" s="1" t="s">
        <v>34</v>
      </c>
      <c r="E1053">
        <v>67</v>
      </c>
      <c r="F1053" s="2">
        <v>46081</v>
      </c>
      <c r="G1053" s="1" t="s">
        <v>1058</v>
      </c>
      <c r="H1053" s="1" t="s">
        <v>70</v>
      </c>
      <c r="I1053" s="1" t="s">
        <v>37</v>
      </c>
      <c r="J1053" s="1" t="s">
        <v>1052</v>
      </c>
      <c r="K1053" s="1" t="s">
        <v>39</v>
      </c>
      <c r="L1053">
        <v>50</v>
      </c>
      <c r="M1053">
        <v>45.5</v>
      </c>
      <c r="N1053">
        <v>33</v>
      </c>
      <c r="O1053">
        <v>16.2</v>
      </c>
      <c r="P1053">
        <v>2.4320000000000001E-2</v>
      </c>
      <c r="Q1053">
        <v>5.17</v>
      </c>
      <c r="R1053">
        <v>27.24</v>
      </c>
      <c r="S1053">
        <v>6</v>
      </c>
      <c r="T1053">
        <v>6</v>
      </c>
      <c r="U1053">
        <v>36</v>
      </c>
      <c r="V1053">
        <v>112.2</v>
      </c>
      <c r="W1053">
        <v>211.12</v>
      </c>
      <c r="X1053">
        <v>0.87552000000000008</v>
      </c>
      <c r="Y1053">
        <v>1.34</v>
      </c>
      <c r="Z1053">
        <v>3.2588800000000001E-2</v>
      </c>
      <c r="AA1053">
        <v>3.7222222222222226E-2</v>
      </c>
      <c r="AB1053">
        <v>1825.08</v>
      </c>
      <c r="AC1053">
        <v>1</v>
      </c>
      <c r="AD1053" s="1" t="s">
        <v>44</v>
      </c>
      <c r="AE1053">
        <v>0</v>
      </c>
      <c r="AF1053">
        <v>1</v>
      </c>
      <c r="AG1053">
        <v>6.6118421052631584</v>
      </c>
    </row>
    <row r="1054" spans="1:33">
      <c r="A1054" s="1" t="s">
        <v>1057</v>
      </c>
      <c r="B1054" s="1" t="s">
        <v>2120</v>
      </c>
      <c r="C1054" s="2">
        <v>46259</v>
      </c>
      <c r="D1054" s="1" t="s">
        <v>34</v>
      </c>
      <c r="E1054">
        <v>20</v>
      </c>
      <c r="F1054" s="2">
        <v>46081</v>
      </c>
      <c r="G1054" s="1" t="s">
        <v>1058</v>
      </c>
      <c r="H1054" s="1" t="s">
        <v>70</v>
      </c>
      <c r="I1054" s="1" t="s">
        <v>37</v>
      </c>
      <c r="J1054" s="1" t="s">
        <v>1052</v>
      </c>
      <c r="K1054" s="1" t="s">
        <v>39</v>
      </c>
      <c r="L1054">
        <v>50</v>
      </c>
      <c r="M1054">
        <v>45.5</v>
      </c>
      <c r="N1054">
        <v>33</v>
      </c>
      <c r="O1054">
        <v>16.2</v>
      </c>
      <c r="P1054">
        <v>2.4320000000000001E-2</v>
      </c>
      <c r="Q1054">
        <v>5.17</v>
      </c>
      <c r="R1054">
        <v>27.24</v>
      </c>
      <c r="S1054">
        <v>6</v>
      </c>
      <c r="T1054">
        <v>6</v>
      </c>
      <c r="U1054">
        <v>36</v>
      </c>
      <c r="V1054">
        <v>112.2</v>
      </c>
      <c r="W1054">
        <v>211.12</v>
      </c>
      <c r="X1054">
        <v>0.87552000000000008</v>
      </c>
      <c r="Y1054">
        <v>0.4</v>
      </c>
      <c r="Z1054">
        <v>9.7280000000000005E-3</v>
      </c>
      <c r="AA1054">
        <v>1.1111111111111112E-2</v>
      </c>
      <c r="AB1054">
        <v>544.79999999999995</v>
      </c>
      <c r="AC1054">
        <v>1</v>
      </c>
      <c r="AD1054" s="1" t="s">
        <v>44</v>
      </c>
      <c r="AE1054">
        <v>0</v>
      </c>
      <c r="AF1054">
        <v>1</v>
      </c>
      <c r="AG1054">
        <v>5.8552631578947372</v>
      </c>
    </row>
    <row r="1055" spans="1:33">
      <c r="A1055" s="1" t="s">
        <v>1057</v>
      </c>
      <c r="B1055" s="1" t="s">
        <v>2121</v>
      </c>
      <c r="C1055" s="2">
        <v>46743</v>
      </c>
      <c r="D1055" s="1" t="s">
        <v>34</v>
      </c>
      <c r="E1055">
        <v>167</v>
      </c>
      <c r="F1055" s="2">
        <v>46081</v>
      </c>
      <c r="G1055" s="1" t="s">
        <v>1058</v>
      </c>
      <c r="H1055" s="1" t="s">
        <v>70</v>
      </c>
      <c r="I1055" s="1" t="s">
        <v>37</v>
      </c>
      <c r="J1055" s="1" t="s">
        <v>1052</v>
      </c>
      <c r="K1055" s="1" t="s">
        <v>39</v>
      </c>
      <c r="L1055">
        <v>50</v>
      </c>
      <c r="M1055">
        <v>45.5</v>
      </c>
      <c r="N1055">
        <v>33</v>
      </c>
      <c r="O1055">
        <v>16.2</v>
      </c>
      <c r="P1055">
        <v>2.4320000000000001E-2</v>
      </c>
      <c r="Q1055">
        <v>5.17</v>
      </c>
      <c r="R1055">
        <v>27.24</v>
      </c>
      <c r="S1055">
        <v>6</v>
      </c>
      <c r="T1055">
        <v>6</v>
      </c>
      <c r="U1055">
        <v>36</v>
      </c>
      <c r="V1055">
        <v>112.2</v>
      </c>
      <c r="W1055">
        <v>211.12</v>
      </c>
      <c r="X1055">
        <v>0.87552000000000008</v>
      </c>
      <c r="Y1055">
        <v>3.34</v>
      </c>
      <c r="Z1055">
        <v>8.1228800000000004E-2</v>
      </c>
      <c r="AA1055">
        <v>9.2777777777777778E-2</v>
      </c>
      <c r="AB1055">
        <v>4549.08</v>
      </c>
      <c r="AC1055">
        <v>1</v>
      </c>
      <c r="AD1055" s="1" t="s">
        <v>44</v>
      </c>
      <c r="AE1055">
        <v>0</v>
      </c>
      <c r="AF1055">
        <v>1</v>
      </c>
      <c r="AG1055">
        <v>21.776315789473685</v>
      </c>
    </row>
    <row r="1056" spans="1:33">
      <c r="A1056" s="1" t="s">
        <v>1059</v>
      </c>
      <c r="B1056" s="1" t="s">
        <v>2122</v>
      </c>
      <c r="C1056" s="2">
        <v>46771</v>
      </c>
      <c r="D1056" s="1" t="s">
        <v>34</v>
      </c>
      <c r="E1056">
        <v>2182</v>
      </c>
      <c r="F1056" s="2">
        <v>46081</v>
      </c>
      <c r="G1056" s="1" t="s">
        <v>1060</v>
      </c>
      <c r="H1056" s="1" t="s">
        <v>70</v>
      </c>
      <c r="I1056" s="1" t="s">
        <v>37</v>
      </c>
      <c r="J1056" s="1" t="s">
        <v>1052</v>
      </c>
      <c r="K1056" s="1" t="s">
        <v>39</v>
      </c>
      <c r="L1056">
        <v>100</v>
      </c>
      <c r="M1056">
        <v>46.2</v>
      </c>
      <c r="N1056">
        <v>29</v>
      </c>
      <c r="O1056">
        <v>23.9</v>
      </c>
      <c r="P1056">
        <v>3.202E-2</v>
      </c>
      <c r="Q1056">
        <v>5.24</v>
      </c>
      <c r="R1056">
        <v>12.49</v>
      </c>
      <c r="S1056">
        <v>8</v>
      </c>
      <c r="T1056">
        <v>3</v>
      </c>
      <c r="U1056">
        <v>24</v>
      </c>
      <c r="V1056">
        <v>86.699999999999989</v>
      </c>
      <c r="W1056">
        <v>150.76</v>
      </c>
      <c r="X1056">
        <v>0.76848000000000005</v>
      </c>
      <c r="Y1056">
        <v>21.82</v>
      </c>
      <c r="Z1056">
        <v>0.69867639999999998</v>
      </c>
      <c r="AA1056">
        <v>0.90916666666666668</v>
      </c>
      <c r="AB1056">
        <v>27253.18</v>
      </c>
      <c r="AC1056">
        <v>1</v>
      </c>
      <c r="AD1056" s="1" t="s">
        <v>40</v>
      </c>
      <c r="AE1056">
        <v>1</v>
      </c>
      <c r="AF1056">
        <v>0</v>
      </c>
      <c r="AG1056">
        <v>22.697368421052634</v>
      </c>
    </row>
    <row r="1057" spans="1:33">
      <c r="A1057" s="1" t="s">
        <v>1059</v>
      </c>
      <c r="B1057" s="1" t="s">
        <v>2123</v>
      </c>
      <c r="C1057" s="2">
        <v>46826</v>
      </c>
      <c r="D1057" s="1" t="s">
        <v>34</v>
      </c>
      <c r="E1057">
        <v>16430</v>
      </c>
      <c r="F1057" s="2">
        <v>46081</v>
      </c>
      <c r="G1057" s="1" t="s">
        <v>1060</v>
      </c>
      <c r="H1057" s="1" t="s">
        <v>70</v>
      </c>
      <c r="I1057" s="1" t="s">
        <v>37</v>
      </c>
      <c r="J1057" s="1" t="s">
        <v>1052</v>
      </c>
      <c r="K1057" s="1" t="s">
        <v>39</v>
      </c>
      <c r="L1057">
        <v>100</v>
      </c>
      <c r="M1057">
        <v>46.2</v>
      </c>
      <c r="N1057">
        <v>29</v>
      </c>
      <c r="O1057">
        <v>23.9</v>
      </c>
      <c r="P1057">
        <v>3.202E-2</v>
      </c>
      <c r="Q1057">
        <v>5.24</v>
      </c>
      <c r="R1057">
        <v>12.49</v>
      </c>
      <c r="S1057">
        <v>8</v>
      </c>
      <c r="T1057">
        <v>3</v>
      </c>
      <c r="U1057">
        <v>24</v>
      </c>
      <c r="V1057">
        <v>86.699999999999989</v>
      </c>
      <c r="W1057">
        <v>150.76</v>
      </c>
      <c r="X1057">
        <v>0.76848000000000005</v>
      </c>
      <c r="Y1057">
        <v>164.3</v>
      </c>
      <c r="Z1057">
        <v>5.2608860000000002</v>
      </c>
      <c r="AA1057">
        <v>6.8458333333333341</v>
      </c>
      <c r="AB1057">
        <v>205210.7</v>
      </c>
      <c r="AC1057">
        <v>7</v>
      </c>
      <c r="AD1057" s="1" t="s">
        <v>40</v>
      </c>
      <c r="AE1057">
        <v>7</v>
      </c>
      <c r="AF1057">
        <v>0</v>
      </c>
      <c r="AG1057">
        <v>24.506578947368421</v>
      </c>
    </row>
    <row r="1058" spans="1:33">
      <c r="A1058" s="1" t="s">
        <v>1059</v>
      </c>
      <c r="B1058" s="1" t="s">
        <v>2124</v>
      </c>
      <c r="C1058" s="2">
        <v>46701</v>
      </c>
      <c r="D1058" s="1" t="s">
        <v>34</v>
      </c>
      <c r="E1058">
        <v>30584</v>
      </c>
      <c r="F1058" s="2">
        <v>46081</v>
      </c>
      <c r="G1058" s="1" t="s">
        <v>1060</v>
      </c>
      <c r="H1058" s="1" t="s">
        <v>70</v>
      </c>
      <c r="I1058" s="1" t="s">
        <v>37</v>
      </c>
      <c r="J1058" s="1" t="s">
        <v>1052</v>
      </c>
      <c r="K1058" s="1" t="s">
        <v>39</v>
      </c>
      <c r="L1058">
        <v>100</v>
      </c>
      <c r="M1058">
        <v>46.2</v>
      </c>
      <c r="N1058">
        <v>29</v>
      </c>
      <c r="O1058">
        <v>23.9</v>
      </c>
      <c r="P1058">
        <v>3.202E-2</v>
      </c>
      <c r="Q1058">
        <v>5.24</v>
      </c>
      <c r="R1058">
        <v>12.49</v>
      </c>
      <c r="S1058">
        <v>8</v>
      </c>
      <c r="T1058">
        <v>3</v>
      </c>
      <c r="U1058">
        <v>24</v>
      </c>
      <c r="V1058">
        <v>86.699999999999989</v>
      </c>
      <c r="W1058">
        <v>150.76</v>
      </c>
      <c r="X1058">
        <v>0.76848000000000005</v>
      </c>
      <c r="Y1058">
        <v>305.83999999999997</v>
      </c>
      <c r="Z1058">
        <v>9.7929967999999992</v>
      </c>
      <c r="AA1058">
        <v>12.743333333333332</v>
      </c>
      <c r="AB1058">
        <v>381994.16000000003</v>
      </c>
      <c r="AC1058">
        <v>13</v>
      </c>
      <c r="AD1058" s="1" t="s">
        <v>40</v>
      </c>
      <c r="AE1058">
        <v>13</v>
      </c>
      <c r="AF1058">
        <v>0</v>
      </c>
      <c r="AG1058">
        <v>20.394736842105264</v>
      </c>
    </row>
    <row r="1059" spans="1:33">
      <c r="A1059" s="1" t="s">
        <v>1059</v>
      </c>
      <c r="B1059" s="1" t="s">
        <v>2125</v>
      </c>
      <c r="C1059" s="2">
        <v>46277</v>
      </c>
      <c r="D1059" s="1" t="s">
        <v>45</v>
      </c>
      <c r="E1059">
        <v>983</v>
      </c>
      <c r="F1059" s="2">
        <v>46081</v>
      </c>
      <c r="G1059" s="1" t="s">
        <v>1060</v>
      </c>
      <c r="H1059" s="1" t="s">
        <v>70</v>
      </c>
      <c r="I1059" s="1" t="s">
        <v>37</v>
      </c>
      <c r="J1059" s="1" t="s">
        <v>1052</v>
      </c>
      <c r="K1059" s="1" t="s">
        <v>39</v>
      </c>
      <c r="L1059">
        <v>100</v>
      </c>
      <c r="M1059">
        <v>46.2</v>
      </c>
      <c r="N1059">
        <v>29</v>
      </c>
      <c r="O1059">
        <v>23.9</v>
      </c>
      <c r="P1059">
        <v>3.202E-2</v>
      </c>
      <c r="Q1059">
        <v>5.24</v>
      </c>
      <c r="R1059">
        <v>12.49</v>
      </c>
      <c r="S1059">
        <v>8</v>
      </c>
      <c r="T1059">
        <v>3</v>
      </c>
      <c r="U1059">
        <v>24</v>
      </c>
      <c r="V1059">
        <v>86.699999999999989</v>
      </c>
      <c r="W1059">
        <v>150.76</v>
      </c>
      <c r="X1059">
        <v>0.76848000000000005</v>
      </c>
      <c r="Y1059">
        <v>9.83</v>
      </c>
      <c r="Z1059">
        <v>0.3147566</v>
      </c>
      <c r="AA1059">
        <v>0.40958333333333335</v>
      </c>
      <c r="AB1059">
        <v>12277.67</v>
      </c>
      <c r="AC1059">
        <v>1</v>
      </c>
      <c r="AD1059" s="1" t="s">
        <v>40</v>
      </c>
      <c r="AE1059">
        <v>1</v>
      </c>
      <c r="AF1059">
        <v>0</v>
      </c>
      <c r="AG1059">
        <v>6.4473684210526319</v>
      </c>
    </row>
    <row r="1060" spans="1:33">
      <c r="A1060" s="1" t="s">
        <v>1061</v>
      </c>
      <c r="B1060" s="1" t="s">
        <v>2126</v>
      </c>
      <c r="C1060" s="2">
        <v>46689</v>
      </c>
      <c r="D1060" s="1" t="s">
        <v>34</v>
      </c>
      <c r="E1060">
        <v>144</v>
      </c>
      <c r="F1060" s="2">
        <v>46081</v>
      </c>
      <c r="G1060" s="1" t="s">
        <v>1062</v>
      </c>
      <c r="H1060" s="1" t="s">
        <v>70</v>
      </c>
      <c r="I1060" s="1" t="s">
        <v>37</v>
      </c>
      <c r="J1060" s="1" t="s">
        <v>1052</v>
      </c>
      <c r="K1060" s="1" t="s">
        <v>39</v>
      </c>
      <c r="L1060">
        <v>50</v>
      </c>
      <c r="M1060">
        <v>48.8</v>
      </c>
      <c r="N1060">
        <v>25.5</v>
      </c>
      <c r="O1060">
        <v>20.9</v>
      </c>
      <c r="P1060">
        <v>2.6009999999999998E-2</v>
      </c>
      <c r="Q1060">
        <v>4.9000000000000004</v>
      </c>
      <c r="R1060">
        <v>12.64</v>
      </c>
      <c r="S1060">
        <v>7</v>
      </c>
      <c r="T1060">
        <v>3</v>
      </c>
      <c r="U1060">
        <v>21</v>
      </c>
      <c r="V1060">
        <v>77.699999999999989</v>
      </c>
      <c r="W1060">
        <v>127.9</v>
      </c>
      <c r="X1060">
        <v>0.54620999999999997</v>
      </c>
      <c r="Y1060">
        <v>2.88</v>
      </c>
      <c r="Z1060">
        <v>7.4908799999999998E-2</v>
      </c>
      <c r="AA1060">
        <v>0.13714285714285715</v>
      </c>
      <c r="AB1060">
        <v>1820.16</v>
      </c>
      <c r="AC1060">
        <v>1</v>
      </c>
      <c r="AD1060" s="1" t="s">
        <v>44</v>
      </c>
      <c r="AE1060">
        <v>0</v>
      </c>
      <c r="AF1060">
        <v>1</v>
      </c>
      <c r="AG1060">
        <v>20</v>
      </c>
    </row>
    <row r="1061" spans="1:33">
      <c r="A1061" s="1" t="s">
        <v>1061</v>
      </c>
      <c r="B1061" s="1" t="s">
        <v>2127</v>
      </c>
      <c r="C1061" s="2">
        <v>46925</v>
      </c>
      <c r="D1061" s="1" t="s">
        <v>34</v>
      </c>
      <c r="E1061">
        <v>132</v>
      </c>
      <c r="F1061" s="2">
        <v>46081</v>
      </c>
      <c r="G1061" s="1" t="s">
        <v>1062</v>
      </c>
      <c r="H1061" s="1" t="s">
        <v>70</v>
      </c>
      <c r="I1061" s="1" t="s">
        <v>37</v>
      </c>
      <c r="J1061" s="1" t="s">
        <v>1052</v>
      </c>
      <c r="K1061" s="1" t="s">
        <v>39</v>
      </c>
      <c r="L1061">
        <v>50</v>
      </c>
      <c r="M1061">
        <v>48.8</v>
      </c>
      <c r="N1061">
        <v>25.5</v>
      </c>
      <c r="O1061">
        <v>20.9</v>
      </c>
      <c r="P1061">
        <v>2.6009999999999998E-2</v>
      </c>
      <c r="Q1061">
        <v>4.9000000000000004</v>
      </c>
      <c r="R1061">
        <v>12.64</v>
      </c>
      <c r="S1061">
        <v>7</v>
      </c>
      <c r="T1061">
        <v>3</v>
      </c>
      <c r="U1061">
        <v>21</v>
      </c>
      <c r="V1061">
        <v>77.699999999999989</v>
      </c>
      <c r="W1061">
        <v>127.9</v>
      </c>
      <c r="X1061">
        <v>0.54620999999999997</v>
      </c>
      <c r="Y1061">
        <v>2.64</v>
      </c>
      <c r="Z1061">
        <v>6.8666400000000002E-2</v>
      </c>
      <c r="AA1061">
        <v>0.12571428571428572</v>
      </c>
      <c r="AB1061">
        <v>1668.48</v>
      </c>
      <c r="AC1061">
        <v>1</v>
      </c>
      <c r="AD1061" s="1" t="s">
        <v>44</v>
      </c>
      <c r="AE1061">
        <v>0</v>
      </c>
      <c r="AF1061">
        <v>1</v>
      </c>
      <c r="AG1061">
        <v>27.763157894736842</v>
      </c>
    </row>
    <row r="1062" spans="1:33">
      <c r="A1062" s="1" t="s">
        <v>1063</v>
      </c>
      <c r="B1062" s="1" t="s">
        <v>2128</v>
      </c>
      <c r="C1062" s="2">
        <v>46361</v>
      </c>
      <c r="D1062" s="1" t="s">
        <v>34</v>
      </c>
      <c r="E1062">
        <v>1402</v>
      </c>
      <c r="F1062" s="2">
        <v>46081</v>
      </c>
      <c r="G1062" s="1" t="s">
        <v>1064</v>
      </c>
      <c r="H1062" s="1" t="s">
        <v>70</v>
      </c>
      <c r="I1062" s="1" t="s">
        <v>37</v>
      </c>
      <c r="J1062" s="1" t="s">
        <v>1052</v>
      </c>
      <c r="K1062" s="1" t="s">
        <v>39</v>
      </c>
      <c r="L1062">
        <v>100</v>
      </c>
      <c r="M1062">
        <v>42.8</v>
      </c>
      <c r="N1062">
        <v>34.799999999999997</v>
      </c>
      <c r="O1062">
        <v>17.600000000000001</v>
      </c>
      <c r="P1062">
        <v>2.6210000000000001E-2</v>
      </c>
      <c r="Q1062">
        <v>5.51</v>
      </c>
      <c r="R1062">
        <v>24.6</v>
      </c>
      <c r="S1062">
        <v>6</v>
      </c>
      <c r="T1062">
        <v>7</v>
      </c>
      <c r="U1062">
        <v>42</v>
      </c>
      <c r="V1062">
        <v>138.20000000000002</v>
      </c>
      <c r="W1062">
        <v>256.42</v>
      </c>
      <c r="X1062">
        <v>1.1008199999999999</v>
      </c>
      <c r="Y1062">
        <v>14.02</v>
      </c>
      <c r="Z1062">
        <v>0.36746420000000002</v>
      </c>
      <c r="AA1062">
        <v>0.33380952380952378</v>
      </c>
      <c r="AB1062">
        <v>34489.200000000004</v>
      </c>
      <c r="AC1062">
        <v>1</v>
      </c>
      <c r="AD1062" s="1" t="s">
        <v>40</v>
      </c>
      <c r="AE1062">
        <v>1</v>
      </c>
      <c r="AF1062">
        <v>0</v>
      </c>
      <c r="AG1062">
        <v>9.2105263157894743</v>
      </c>
    </row>
    <row r="1063" spans="1:33">
      <c r="A1063" s="1" t="s">
        <v>1063</v>
      </c>
      <c r="B1063" s="1" t="s">
        <v>2129</v>
      </c>
      <c r="C1063" s="2">
        <v>47005</v>
      </c>
      <c r="D1063" s="1" t="s">
        <v>34</v>
      </c>
      <c r="E1063">
        <v>3290</v>
      </c>
      <c r="F1063" s="2">
        <v>46081</v>
      </c>
      <c r="G1063" s="1" t="s">
        <v>1064</v>
      </c>
      <c r="H1063" s="1" t="s">
        <v>70</v>
      </c>
      <c r="I1063" s="1" t="s">
        <v>37</v>
      </c>
      <c r="J1063" s="1" t="s">
        <v>1052</v>
      </c>
      <c r="K1063" s="1" t="s">
        <v>39</v>
      </c>
      <c r="L1063">
        <v>100</v>
      </c>
      <c r="M1063">
        <v>42.8</v>
      </c>
      <c r="N1063">
        <v>34.799999999999997</v>
      </c>
      <c r="O1063">
        <v>17.600000000000001</v>
      </c>
      <c r="P1063">
        <v>2.6210000000000001E-2</v>
      </c>
      <c r="Q1063">
        <v>5.51</v>
      </c>
      <c r="R1063">
        <v>24.6</v>
      </c>
      <c r="S1063">
        <v>6</v>
      </c>
      <c r="T1063">
        <v>7</v>
      </c>
      <c r="U1063">
        <v>42</v>
      </c>
      <c r="V1063">
        <v>138.20000000000002</v>
      </c>
      <c r="W1063">
        <v>256.42</v>
      </c>
      <c r="X1063">
        <v>1.1008199999999999</v>
      </c>
      <c r="Y1063">
        <v>32.9</v>
      </c>
      <c r="Z1063">
        <v>0.86230899999999999</v>
      </c>
      <c r="AA1063">
        <v>0.78333333333333333</v>
      </c>
      <c r="AB1063">
        <v>80934</v>
      </c>
      <c r="AC1063">
        <v>1</v>
      </c>
      <c r="AD1063" s="1" t="s">
        <v>40</v>
      </c>
      <c r="AE1063">
        <v>1</v>
      </c>
      <c r="AF1063">
        <v>0</v>
      </c>
      <c r="AG1063">
        <v>30.394736842105264</v>
      </c>
    </row>
    <row r="1064" spans="1:33">
      <c r="A1064" s="1" t="s">
        <v>1065</v>
      </c>
      <c r="B1064" s="1" t="s">
        <v>2130</v>
      </c>
      <c r="C1064" s="2">
        <v>47126</v>
      </c>
      <c r="D1064" s="1" t="s">
        <v>34</v>
      </c>
      <c r="E1064">
        <v>3576</v>
      </c>
      <c r="F1064" s="2">
        <v>46081</v>
      </c>
      <c r="G1064" s="1" t="s">
        <v>1066</v>
      </c>
      <c r="H1064" s="1" t="s">
        <v>70</v>
      </c>
      <c r="I1064" s="1" t="s">
        <v>37</v>
      </c>
      <c r="J1064" s="1" t="s">
        <v>1052</v>
      </c>
      <c r="K1064" s="1" t="s">
        <v>39</v>
      </c>
      <c r="L1064">
        <v>50</v>
      </c>
      <c r="M1064">
        <v>40.700000000000003</v>
      </c>
      <c r="N1064">
        <v>34.200000000000003</v>
      </c>
      <c r="O1064">
        <v>24.2</v>
      </c>
      <c r="P1064">
        <v>3.3680000000000002E-2</v>
      </c>
      <c r="Q1064">
        <v>5.71</v>
      </c>
      <c r="R1064">
        <v>18.05</v>
      </c>
      <c r="S1064">
        <v>5</v>
      </c>
      <c r="T1064">
        <v>2</v>
      </c>
      <c r="U1064">
        <v>10</v>
      </c>
      <c r="V1064">
        <v>63.4</v>
      </c>
      <c r="W1064">
        <v>82.1</v>
      </c>
      <c r="X1064">
        <v>0.33679999999999999</v>
      </c>
      <c r="Y1064">
        <v>71.52</v>
      </c>
      <c r="Z1064">
        <v>2.4087936000000001</v>
      </c>
      <c r="AA1064">
        <v>7.1519999999999992</v>
      </c>
      <c r="AB1064">
        <v>64546.8</v>
      </c>
      <c r="AC1064">
        <v>8</v>
      </c>
      <c r="AD1064" s="1" t="s">
        <v>40</v>
      </c>
      <c r="AE1064">
        <v>8</v>
      </c>
      <c r="AF1064">
        <v>0</v>
      </c>
      <c r="AG1064">
        <v>34.375</v>
      </c>
    </row>
    <row r="1065" spans="1:33">
      <c r="A1065" s="1" t="s">
        <v>1067</v>
      </c>
      <c r="B1065" s="1" t="s">
        <v>2131</v>
      </c>
      <c r="C1065" s="2">
        <v>47132</v>
      </c>
      <c r="D1065" s="1" t="s">
        <v>34</v>
      </c>
      <c r="E1065">
        <v>5513</v>
      </c>
      <c r="F1065" s="2">
        <v>46081</v>
      </c>
      <c r="G1065" s="1" t="s">
        <v>1068</v>
      </c>
      <c r="H1065" s="1" t="s">
        <v>70</v>
      </c>
      <c r="I1065" s="1" t="s">
        <v>37</v>
      </c>
      <c r="J1065" s="1" t="s">
        <v>1052</v>
      </c>
      <c r="K1065" s="1" t="s">
        <v>39</v>
      </c>
      <c r="L1065">
        <v>100</v>
      </c>
      <c r="M1065">
        <v>49.5</v>
      </c>
      <c r="N1065">
        <v>29</v>
      </c>
      <c r="O1065">
        <v>22.4</v>
      </c>
      <c r="P1065">
        <v>3.2160000000000001E-2</v>
      </c>
      <c r="Q1065">
        <v>8.67</v>
      </c>
      <c r="R1065">
        <v>30.21</v>
      </c>
      <c r="S1065">
        <v>8</v>
      </c>
      <c r="T1065">
        <v>4</v>
      </c>
      <c r="U1065">
        <v>32</v>
      </c>
      <c r="V1065">
        <v>104.6</v>
      </c>
      <c r="W1065">
        <v>302.44</v>
      </c>
      <c r="X1065">
        <v>1.02912</v>
      </c>
      <c r="Y1065">
        <v>55.13</v>
      </c>
      <c r="Z1065">
        <v>1.7729808000000002</v>
      </c>
      <c r="AA1065">
        <v>1.7228125000000001</v>
      </c>
      <c r="AB1065">
        <v>166547.73000000001</v>
      </c>
      <c r="AC1065">
        <v>2</v>
      </c>
      <c r="AD1065" s="1" t="s">
        <v>40</v>
      </c>
      <c r="AE1065">
        <v>2</v>
      </c>
      <c r="AF1065">
        <v>0</v>
      </c>
      <c r="AG1065">
        <v>34.57236842105263</v>
      </c>
    </row>
    <row r="1066" spans="1:33">
      <c r="A1066" s="1" t="s">
        <v>1069</v>
      </c>
      <c r="B1066" s="1" t="s">
        <v>2132</v>
      </c>
      <c r="C1066" s="2">
        <v>46189</v>
      </c>
      <c r="D1066" s="1" t="s">
        <v>34</v>
      </c>
      <c r="E1066">
        <v>7054</v>
      </c>
      <c r="F1066" s="2">
        <v>46081</v>
      </c>
      <c r="G1066" s="1" t="s">
        <v>1070</v>
      </c>
      <c r="H1066" s="1" t="s">
        <v>70</v>
      </c>
      <c r="I1066" s="1" t="s">
        <v>37</v>
      </c>
      <c r="J1066" s="1" t="s">
        <v>1052</v>
      </c>
      <c r="K1066" s="1" t="s">
        <v>39</v>
      </c>
      <c r="L1066">
        <v>50</v>
      </c>
      <c r="M1066">
        <v>48.5</v>
      </c>
      <c r="N1066">
        <v>32.6</v>
      </c>
      <c r="O1066">
        <v>21.5</v>
      </c>
      <c r="P1066">
        <v>3.399365E-2</v>
      </c>
      <c r="Q1066">
        <v>7.24</v>
      </c>
      <c r="R1066">
        <v>13.79</v>
      </c>
      <c r="S1066">
        <v>6</v>
      </c>
      <c r="T1066">
        <v>6</v>
      </c>
      <c r="U1066">
        <v>36</v>
      </c>
      <c r="V1066">
        <v>144</v>
      </c>
      <c r="W1066">
        <v>285.64</v>
      </c>
      <c r="X1066">
        <v>1.2237714</v>
      </c>
      <c r="Y1066">
        <v>141.08000000000001</v>
      </c>
      <c r="Z1066">
        <v>4.7958241420000007</v>
      </c>
      <c r="AA1066">
        <v>3.9188888888888891</v>
      </c>
      <c r="AB1066">
        <v>97274.659999999989</v>
      </c>
      <c r="AC1066">
        <v>4</v>
      </c>
      <c r="AD1066" s="1" t="s">
        <v>40</v>
      </c>
      <c r="AE1066">
        <v>4</v>
      </c>
      <c r="AF1066">
        <v>0</v>
      </c>
      <c r="AG1066">
        <v>3.5526315789473686</v>
      </c>
    </row>
    <row r="1067" spans="1:33">
      <c r="A1067" s="1" t="s">
        <v>1069</v>
      </c>
      <c r="B1067" s="1" t="s">
        <v>2133</v>
      </c>
      <c r="C1067" s="2">
        <v>46796</v>
      </c>
      <c r="D1067" s="1" t="s">
        <v>34</v>
      </c>
      <c r="E1067">
        <v>27</v>
      </c>
      <c r="F1067" s="2">
        <v>46081</v>
      </c>
      <c r="G1067" s="1" t="s">
        <v>1070</v>
      </c>
      <c r="H1067" s="1" t="s">
        <v>70</v>
      </c>
      <c r="I1067" s="1" t="s">
        <v>37</v>
      </c>
      <c r="J1067" s="1" t="s">
        <v>1052</v>
      </c>
      <c r="K1067" s="1" t="s">
        <v>39</v>
      </c>
      <c r="L1067">
        <v>50</v>
      </c>
      <c r="M1067">
        <v>48.5</v>
      </c>
      <c r="N1067">
        <v>32.6</v>
      </c>
      <c r="O1067">
        <v>21.5</v>
      </c>
      <c r="P1067">
        <v>3.399365E-2</v>
      </c>
      <c r="Q1067">
        <v>7.24</v>
      </c>
      <c r="R1067">
        <v>13.79</v>
      </c>
      <c r="S1067">
        <v>6</v>
      </c>
      <c r="T1067">
        <v>6</v>
      </c>
      <c r="U1067">
        <v>36</v>
      </c>
      <c r="V1067">
        <v>144</v>
      </c>
      <c r="W1067">
        <v>285.64</v>
      </c>
      <c r="X1067">
        <v>1.2237714</v>
      </c>
      <c r="Y1067">
        <v>0.54</v>
      </c>
      <c r="Z1067">
        <v>1.8356571000000002E-2</v>
      </c>
      <c r="AA1067">
        <v>1.5000000000000001E-2</v>
      </c>
      <c r="AB1067">
        <v>372.33</v>
      </c>
      <c r="AC1067">
        <v>1</v>
      </c>
      <c r="AD1067" s="1" t="s">
        <v>44</v>
      </c>
      <c r="AE1067">
        <v>0</v>
      </c>
      <c r="AF1067">
        <v>1</v>
      </c>
      <c r="AG1067">
        <v>23.519736842105264</v>
      </c>
    </row>
    <row r="1068" spans="1:33">
      <c r="A1068" s="1" t="s">
        <v>1071</v>
      </c>
      <c r="B1068" s="1" t="s">
        <v>2134</v>
      </c>
      <c r="C1068" s="2">
        <v>46418</v>
      </c>
      <c r="D1068" s="1" t="s">
        <v>34</v>
      </c>
      <c r="E1068">
        <v>142</v>
      </c>
      <c r="F1068" s="2">
        <v>46081</v>
      </c>
      <c r="G1068" s="1" t="s">
        <v>1072</v>
      </c>
      <c r="H1068" s="1" t="s">
        <v>70</v>
      </c>
      <c r="I1068" s="1" t="s">
        <v>37</v>
      </c>
      <c r="J1068" s="1" t="s">
        <v>1052</v>
      </c>
      <c r="K1068" s="1" t="s">
        <v>39</v>
      </c>
      <c r="L1068">
        <v>50</v>
      </c>
      <c r="M1068">
        <v>41.8</v>
      </c>
      <c r="N1068">
        <v>26.1</v>
      </c>
      <c r="O1068">
        <v>20.5</v>
      </c>
      <c r="P1068">
        <v>2.2370000000000001E-2</v>
      </c>
      <c r="Q1068">
        <v>3.81</v>
      </c>
      <c r="R1068">
        <v>11.14</v>
      </c>
      <c r="S1068">
        <v>8</v>
      </c>
      <c r="T1068">
        <v>3</v>
      </c>
      <c r="U1068">
        <v>24</v>
      </c>
      <c r="V1068">
        <v>76.5</v>
      </c>
      <c r="W1068">
        <v>116.44</v>
      </c>
      <c r="X1068">
        <v>0.53688000000000002</v>
      </c>
      <c r="Y1068">
        <v>2.84</v>
      </c>
      <c r="Z1068">
        <v>6.3530799999999998E-2</v>
      </c>
      <c r="AA1068">
        <v>0.11833333333333333</v>
      </c>
      <c r="AB1068">
        <v>1581.88</v>
      </c>
      <c r="AC1068">
        <v>1</v>
      </c>
      <c r="AD1068" s="1" t="s">
        <v>44</v>
      </c>
      <c r="AE1068">
        <v>0</v>
      </c>
      <c r="AF1068">
        <v>1</v>
      </c>
      <c r="AG1068">
        <v>11.085526315789474</v>
      </c>
    </row>
    <row r="1069" spans="1:33">
      <c r="A1069" s="1" t="s">
        <v>1073</v>
      </c>
      <c r="B1069" s="1" t="s">
        <v>2135</v>
      </c>
      <c r="C1069" s="2">
        <v>46196</v>
      </c>
      <c r="D1069" s="1" t="s">
        <v>34</v>
      </c>
      <c r="E1069">
        <v>401</v>
      </c>
      <c r="F1069" s="2">
        <v>46081</v>
      </c>
      <c r="G1069" s="1" t="s">
        <v>1074</v>
      </c>
      <c r="H1069" s="1" t="s">
        <v>70</v>
      </c>
      <c r="I1069" s="1" t="s">
        <v>37</v>
      </c>
      <c r="J1069" s="1" t="s">
        <v>1052</v>
      </c>
      <c r="K1069" s="1" t="s">
        <v>39</v>
      </c>
      <c r="L1069">
        <v>50</v>
      </c>
      <c r="M1069">
        <v>53</v>
      </c>
      <c r="N1069">
        <v>32</v>
      </c>
      <c r="O1069">
        <v>23.8</v>
      </c>
      <c r="P1069">
        <v>4.036E-2</v>
      </c>
      <c r="Q1069">
        <v>9.9700000000000006</v>
      </c>
      <c r="R1069">
        <v>15.54</v>
      </c>
      <c r="S1069">
        <v>6</v>
      </c>
      <c r="T1069">
        <v>5</v>
      </c>
      <c r="U1069">
        <v>30</v>
      </c>
      <c r="V1069">
        <v>134</v>
      </c>
      <c r="W1069">
        <v>324.10000000000002</v>
      </c>
      <c r="X1069">
        <v>1.2108000000000001</v>
      </c>
      <c r="Y1069">
        <v>8.02</v>
      </c>
      <c r="Z1069">
        <v>0.32368720000000001</v>
      </c>
      <c r="AA1069">
        <v>0.26733333333333331</v>
      </c>
      <c r="AB1069">
        <v>6231.54</v>
      </c>
      <c r="AC1069">
        <v>1</v>
      </c>
      <c r="AD1069" s="1" t="s">
        <v>40</v>
      </c>
      <c r="AE1069">
        <v>1</v>
      </c>
      <c r="AF1069">
        <v>0</v>
      </c>
      <c r="AG1069">
        <v>3.7828947368421053</v>
      </c>
    </row>
    <row r="1070" spans="1:33">
      <c r="A1070" s="1" t="s">
        <v>1073</v>
      </c>
      <c r="B1070" s="1" t="s">
        <v>2136</v>
      </c>
      <c r="C1070" s="2">
        <v>47053</v>
      </c>
      <c r="D1070" s="1" t="s">
        <v>34</v>
      </c>
      <c r="E1070">
        <v>807</v>
      </c>
      <c r="F1070" s="2">
        <v>46081</v>
      </c>
      <c r="G1070" s="1" t="s">
        <v>1074</v>
      </c>
      <c r="H1070" s="1" t="s">
        <v>70</v>
      </c>
      <c r="I1070" s="1" t="s">
        <v>37</v>
      </c>
      <c r="J1070" s="1" t="s">
        <v>1052</v>
      </c>
      <c r="K1070" s="1" t="s">
        <v>39</v>
      </c>
      <c r="L1070">
        <v>50</v>
      </c>
      <c r="M1070">
        <v>53</v>
      </c>
      <c r="N1070">
        <v>32</v>
      </c>
      <c r="O1070">
        <v>23.8</v>
      </c>
      <c r="P1070">
        <v>4.036E-2</v>
      </c>
      <c r="Q1070">
        <v>9.9700000000000006</v>
      </c>
      <c r="R1070">
        <v>15.54</v>
      </c>
      <c r="S1070">
        <v>6</v>
      </c>
      <c r="T1070">
        <v>5</v>
      </c>
      <c r="U1070">
        <v>30</v>
      </c>
      <c r="V1070">
        <v>134</v>
      </c>
      <c r="W1070">
        <v>324.10000000000002</v>
      </c>
      <c r="X1070">
        <v>1.2108000000000001</v>
      </c>
      <c r="Y1070">
        <v>16.14</v>
      </c>
      <c r="Z1070">
        <v>0.65141040000000006</v>
      </c>
      <c r="AA1070">
        <v>0.53800000000000003</v>
      </c>
      <c r="AB1070">
        <v>12540.779999999999</v>
      </c>
      <c r="AC1070">
        <v>1</v>
      </c>
      <c r="AD1070" s="1" t="s">
        <v>40</v>
      </c>
      <c r="AE1070">
        <v>1</v>
      </c>
      <c r="AF1070">
        <v>0</v>
      </c>
      <c r="AG1070">
        <v>31.973684210526319</v>
      </c>
    </row>
    <row r="1071" spans="1:33">
      <c r="A1071" s="1" t="s">
        <v>1073</v>
      </c>
      <c r="B1071" s="1" t="s">
        <v>2137</v>
      </c>
      <c r="C1071" s="2">
        <v>45800</v>
      </c>
      <c r="D1071" s="1" t="s">
        <v>73</v>
      </c>
      <c r="E1071">
        <v>96</v>
      </c>
      <c r="F1071" s="2">
        <v>46081</v>
      </c>
      <c r="G1071" s="1" t="s">
        <v>1074</v>
      </c>
      <c r="H1071" s="1" t="s">
        <v>70</v>
      </c>
      <c r="I1071" s="1" t="s">
        <v>37</v>
      </c>
      <c r="J1071" s="1" t="s">
        <v>1052</v>
      </c>
      <c r="K1071" s="1" t="s">
        <v>39</v>
      </c>
      <c r="L1071">
        <v>50</v>
      </c>
      <c r="M1071">
        <v>53</v>
      </c>
      <c r="N1071">
        <v>32</v>
      </c>
      <c r="O1071">
        <v>23.8</v>
      </c>
      <c r="P1071">
        <v>4.036E-2</v>
      </c>
      <c r="Q1071">
        <v>9.9700000000000006</v>
      </c>
      <c r="R1071">
        <v>15.54</v>
      </c>
      <c r="S1071">
        <v>6</v>
      </c>
      <c r="T1071">
        <v>5</v>
      </c>
      <c r="U1071">
        <v>30</v>
      </c>
      <c r="V1071">
        <v>134</v>
      </c>
      <c r="W1071">
        <v>324.10000000000002</v>
      </c>
      <c r="X1071">
        <v>1.2108000000000001</v>
      </c>
      <c r="Y1071">
        <v>1.92</v>
      </c>
      <c r="Z1071">
        <v>7.7491199999999996E-2</v>
      </c>
      <c r="AA1071">
        <v>6.4000000000000001E-2</v>
      </c>
      <c r="AB1071">
        <v>1491.84</v>
      </c>
      <c r="AC1071">
        <v>1</v>
      </c>
      <c r="AD1071" s="1" t="s">
        <v>74</v>
      </c>
      <c r="AE1071">
        <v>0</v>
      </c>
      <c r="AF1071">
        <v>0</v>
      </c>
      <c r="AG1071">
        <v>-9.2434210526315788</v>
      </c>
    </row>
    <row r="1072" spans="1:33">
      <c r="A1072" s="1" t="s">
        <v>1075</v>
      </c>
      <c r="B1072" s="1" t="s">
        <v>2138</v>
      </c>
      <c r="C1072" s="2">
        <v>46595</v>
      </c>
      <c r="D1072" s="1" t="s">
        <v>34</v>
      </c>
      <c r="E1072">
        <v>149</v>
      </c>
      <c r="F1072" s="2">
        <v>46081</v>
      </c>
      <c r="G1072" s="1" t="s">
        <v>1076</v>
      </c>
      <c r="H1072" s="1" t="s">
        <v>1077</v>
      </c>
      <c r="I1072" s="1" t="s">
        <v>37</v>
      </c>
      <c r="J1072" s="1" t="s">
        <v>1078</v>
      </c>
      <c r="K1072" s="1" t="s">
        <v>39</v>
      </c>
      <c r="L1072">
        <v>24</v>
      </c>
      <c r="M1072">
        <v>30.8</v>
      </c>
      <c r="N1072">
        <v>25.6</v>
      </c>
      <c r="O1072">
        <v>23.6</v>
      </c>
      <c r="P1072">
        <v>1.8610000000000002E-2</v>
      </c>
      <c r="Q1072">
        <v>8.7899999999999991</v>
      </c>
      <c r="R1072">
        <v>39.68</v>
      </c>
      <c r="S1072">
        <v>10</v>
      </c>
      <c r="T1072">
        <v>3</v>
      </c>
      <c r="U1072">
        <v>30</v>
      </c>
      <c r="V1072">
        <v>85.800000000000011</v>
      </c>
      <c r="W1072">
        <v>288.7</v>
      </c>
      <c r="X1072">
        <v>0.55830000000000002</v>
      </c>
      <c r="Y1072">
        <v>6.208333333333333</v>
      </c>
      <c r="Z1072">
        <v>0.11553708333333333</v>
      </c>
      <c r="AA1072">
        <v>0.20694444444444443</v>
      </c>
      <c r="AB1072">
        <v>5912.32</v>
      </c>
      <c r="AC1072">
        <v>1</v>
      </c>
      <c r="AD1072" s="1" t="s">
        <v>44</v>
      </c>
      <c r="AE1072">
        <v>0</v>
      </c>
      <c r="AF1072">
        <v>1</v>
      </c>
      <c r="AG1072">
        <v>16.907894736842106</v>
      </c>
    </row>
    <row r="1073" spans="1:33">
      <c r="A1073" s="1" t="s">
        <v>1079</v>
      </c>
      <c r="B1073" s="1" t="s">
        <v>2139</v>
      </c>
      <c r="C1073" s="2">
        <v>47120</v>
      </c>
      <c r="D1073" s="1" t="s">
        <v>34</v>
      </c>
      <c r="E1073">
        <v>36</v>
      </c>
      <c r="F1073" s="2">
        <v>46081</v>
      </c>
      <c r="G1073" s="1" t="s">
        <v>1080</v>
      </c>
      <c r="H1073" s="1" t="s">
        <v>1077</v>
      </c>
      <c r="I1073" s="1" t="s">
        <v>37</v>
      </c>
      <c r="J1073" s="1" t="s">
        <v>1078</v>
      </c>
      <c r="K1073" s="1" t="s">
        <v>1081</v>
      </c>
      <c r="L1073">
        <v>6</v>
      </c>
      <c r="M1073">
        <v>44.7</v>
      </c>
      <c r="N1073">
        <v>32.9</v>
      </c>
      <c r="O1073">
        <v>29.2</v>
      </c>
      <c r="P1073">
        <v>4.2939999999999999E-2</v>
      </c>
      <c r="Q1073">
        <v>16.41</v>
      </c>
      <c r="R1073">
        <v>17.309999999999999</v>
      </c>
      <c r="S1073">
        <v>6</v>
      </c>
      <c r="T1073">
        <v>3</v>
      </c>
      <c r="U1073">
        <v>18</v>
      </c>
      <c r="V1073">
        <v>102.6</v>
      </c>
      <c r="W1073">
        <v>320.38</v>
      </c>
      <c r="X1073">
        <v>0.77291999999999994</v>
      </c>
      <c r="Y1073">
        <v>6</v>
      </c>
      <c r="Z1073">
        <v>0.25763999999999998</v>
      </c>
      <c r="AA1073">
        <v>0.33333333333333331</v>
      </c>
      <c r="AB1073">
        <v>623.16</v>
      </c>
      <c r="AC1073">
        <v>1</v>
      </c>
      <c r="AD1073" s="1" t="s">
        <v>40</v>
      </c>
      <c r="AE1073">
        <v>1</v>
      </c>
      <c r="AF1073">
        <v>0</v>
      </c>
      <c r="AG1073">
        <v>34.17763157894737</v>
      </c>
    </row>
    <row r="1074" spans="1:33">
      <c r="A1074" s="1" t="s">
        <v>1079</v>
      </c>
      <c r="B1074" s="1" t="s">
        <v>2140</v>
      </c>
      <c r="C1074" s="2">
        <v>47118</v>
      </c>
      <c r="D1074" s="1" t="s">
        <v>34</v>
      </c>
      <c r="E1074">
        <v>5</v>
      </c>
      <c r="F1074" s="2">
        <v>46081</v>
      </c>
      <c r="G1074" s="1" t="s">
        <v>1080</v>
      </c>
      <c r="H1074" s="1" t="s">
        <v>1077</v>
      </c>
      <c r="I1074" s="1" t="s">
        <v>37</v>
      </c>
      <c r="J1074" s="1" t="s">
        <v>1078</v>
      </c>
      <c r="K1074" s="1" t="s">
        <v>1081</v>
      </c>
      <c r="L1074">
        <v>6</v>
      </c>
      <c r="M1074">
        <v>44.7</v>
      </c>
      <c r="N1074">
        <v>32.9</v>
      </c>
      <c r="O1074">
        <v>29.2</v>
      </c>
      <c r="P1074">
        <v>4.2939999999999999E-2</v>
      </c>
      <c r="Q1074">
        <v>16.41</v>
      </c>
      <c r="R1074">
        <v>17.309999999999999</v>
      </c>
      <c r="S1074">
        <v>6</v>
      </c>
      <c r="T1074">
        <v>3</v>
      </c>
      <c r="U1074">
        <v>18</v>
      </c>
      <c r="V1074">
        <v>102.6</v>
      </c>
      <c r="W1074">
        <v>320.38</v>
      </c>
      <c r="X1074">
        <v>0.77291999999999994</v>
      </c>
      <c r="Y1074">
        <v>0.83333333333333337</v>
      </c>
      <c r="Z1074">
        <v>3.5783333333333334E-2</v>
      </c>
      <c r="AA1074">
        <v>4.6296296296296301E-2</v>
      </c>
      <c r="AB1074">
        <v>86.55</v>
      </c>
      <c r="AC1074">
        <v>1</v>
      </c>
      <c r="AD1074" s="1" t="s">
        <v>44</v>
      </c>
      <c r="AE1074">
        <v>0</v>
      </c>
      <c r="AF1074">
        <v>1</v>
      </c>
      <c r="AG1074">
        <v>34.111842105263158</v>
      </c>
    </row>
    <row r="1075" spans="1:33">
      <c r="A1075" s="1" t="s">
        <v>1082</v>
      </c>
      <c r="B1075" s="1" t="s">
        <v>2141</v>
      </c>
      <c r="C1075" s="2">
        <v>46927</v>
      </c>
      <c r="D1075" s="1" t="s">
        <v>34</v>
      </c>
      <c r="E1075">
        <v>1687</v>
      </c>
      <c r="F1075" s="2">
        <v>46081</v>
      </c>
      <c r="G1075" s="1" t="s">
        <v>1083</v>
      </c>
      <c r="H1075" s="1" t="s">
        <v>1077</v>
      </c>
      <c r="I1075" s="1" t="s">
        <v>37</v>
      </c>
      <c r="J1075" s="1" t="s">
        <v>1078</v>
      </c>
      <c r="K1075" s="1" t="s">
        <v>1081</v>
      </c>
      <c r="L1075">
        <v>6</v>
      </c>
      <c r="M1075">
        <v>39.700000000000003</v>
      </c>
      <c r="N1075">
        <v>34.200000000000003</v>
      </c>
      <c r="O1075">
        <v>27.1</v>
      </c>
      <c r="P1075">
        <v>3.6790000000000003E-2</v>
      </c>
      <c r="Q1075">
        <v>17.809999999999999</v>
      </c>
      <c r="R1075">
        <v>29.37</v>
      </c>
      <c r="S1075">
        <v>6</v>
      </c>
      <c r="T1075">
        <v>3</v>
      </c>
      <c r="U1075">
        <v>18</v>
      </c>
      <c r="V1075">
        <v>96.3</v>
      </c>
      <c r="W1075">
        <v>345.58</v>
      </c>
      <c r="X1075">
        <v>0.66222000000000003</v>
      </c>
      <c r="Y1075">
        <v>281.16666666666669</v>
      </c>
      <c r="Z1075">
        <v>10.344121666666668</v>
      </c>
      <c r="AA1075">
        <v>15.620370370370372</v>
      </c>
      <c r="AB1075">
        <v>49547.19</v>
      </c>
      <c r="AC1075">
        <v>16</v>
      </c>
      <c r="AD1075" s="1" t="s">
        <v>40</v>
      </c>
      <c r="AE1075">
        <v>16</v>
      </c>
      <c r="AF1075">
        <v>0</v>
      </c>
      <c r="AG1075">
        <v>27.828947368421055</v>
      </c>
    </row>
    <row r="1076" spans="1:33">
      <c r="A1076" s="1" t="s">
        <v>1082</v>
      </c>
      <c r="B1076" s="1" t="s">
        <v>2142</v>
      </c>
      <c r="C1076" s="2">
        <v>46515</v>
      </c>
      <c r="D1076" s="1" t="s">
        <v>34</v>
      </c>
      <c r="E1076">
        <v>969</v>
      </c>
      <c r="F1076" s="2">
        <v>46081</v>
      </c>
      <c r="G1076" s="1" t="s">
        <v>1083</v>
      </c>
      <c r="H1076" s="1" t="s">
        <v>1077</v>
      </c>
      <c r="I1076" s="1" t="s">
        <v>37</v>
      </c>
      <c r="J1076" s="1" t="s">
        <v>1078</v>
      </c>
      <c r="K1076" s="1" t="s">
        <v>1081</v>
      </c>
      <c r="L1076">
        <v>6</v>
      </c>
      <c r="M1076">
        <v>39.700000000000003</v>
      </c>
      <c r="N1076">
        <v>34.200000000000003</v>
      </c>
      <c r="O1076">
        <v>27.1</v>
      </c>
      <c r="P1076">
        <v>3.6790000000000003E-2</v>
      </c>
      <c r="Q1076">
        <v>17.809999999999999</v>
      </c>
      <c r="R1076">
        <v>29.37</v>
      </c>
      <c r="S1076">
        <v>6</v>
      </c>
      <c r="T1076">
        <v>3</v>
      </c>
      <c r="U1076">
        <v>18</v>
      </c>
      <c r="V1076">
        <v>96.3</v>
      </c>
      <c r="W1076">
        <v>345.58</v>
      </c>
      <c r="X1076">
        <v>0.66222000000000003</v>
      </c>
      <c r="Y1076">
        <v>161.5</v>
      </c>
      <c r="Z1076">
        <v>5.9415850000000008</v>
      </c>
      <c r="AA1076">
        <v>8.9722222222222214</v>
      </c>
      <c r="AB1076">
        <v>28459.530000000002</v>
      </c>
      <c r="AC1076">
        <v>9</v>
      </c>
      <c r="AD1076" s="1" t="s">
        <v>40</v>
      </c>
      <c r="AE1076">
        <v>9</v>
      </c>
      <c r="AF1076">
        <v>0</v>
      </c>
      <c r="AG1076">
        <v>14.276315789473685</v>
      </c>
    </row>
    <row r="1077" spans="1:33">
      <c r="A1077" s="1" t="s">
        <v>1084</v>
      </c>
      <c r="B1077" s="1" t="s">
        <v>2143</v>
      </c>
      <c r="C1077" s="2">
        <v>46788</v>
      </c>
      <c r="D1077" s="1" t="s">
        <v>34</v>
      </c>
      <c r="E1077">
        <v>3919</v>
      </c>
      <c r="F1077" s="2">
        <v>46081</v>
      </c>
      <c r="G1077" s="1" t="s">
        <v>1085</v>
      </c>
      <c r="H1077" s="1" t="s">
        <v>1077</v>
      </c>
      <c r="I1077" s="1" t="s">
        <v>37</v>
      </c>
      <c r="J1077" s="1" t="s">
        <v>1078</v>
      </c>
      <c r="K1077" s="1" t="s">
        <v>39</v>
      </c>
      <c r="L1077">
        <v>6</v>
      </c>
      <c r="M1077">
        <v>42.4</v>
      </c>
      <c r="N1077">
        <v>32.700000000000003</v>
      </c>
      <c r="O1077">
        <v>29.3</v>
      </c>
      <c r="P1077">
        <v>4.0620000000000003E-2</v>
      </c>
      <c r="Q1077">
        <v>18.28</v>
      </c>
      <c r="R1077">
        <v>15.91</v>
      </c>
      <c r="S1077">
        <v>6</v>
      </c>
      <c r="T1077">
        <v>3</v>
      </c>
      <c r="U1077">
        <v>18</v>
      </c>
      <c r="V1077">
        <v>102.9</v>
      </c>
      <c r="W1077">
        <v>354.04</v>
      </c>
      <c r="X1077">
        <v>0.73116000000000003</v>
      </c>
      <c r="Y1077">
        <v>653.16666666666663</v>
      </c>
      <c r="Z1077">
        <v>26.53163</v>
      </c>
      <c r="AA1077">
        <v>36.287037037037038</v>
      </c>
      <c r="AB1077">
        <v>62351.29</v>
      </c>
      <c r="AC1077">
        <v>37</v>
      </c>
      <c r="AD1077" s="1" t="s">
        <v>40</v>
      </c>
      <c r="AE1077">
        <v>37</v>
      </c>
      <c r="AF1077">
        <v>0</v>
      </c>
      <c r="AG1077">
        <v>23.256578947368421</v>
      </c>
    </row>
    <row r="1078" spans="1:33">
      <c r="A1078" s="1" t="s">
        <v>1084</v>
      </c>
      <c r="B1078" s="1" t="s">
        <v>2144</v>
      </c>
      <c r="C1078" s="2">
        <v>46499</v>
      </c>
      <c r="D1078" s="1" t="s">
        <v>49</v>
      </c>
      <c r="E1078">
        <v>195</v>
      </c>
      <c r="F1078" s="2">
        <v>46081</v>
      </c>
      <c r="G1078" s="1" t="s">
        <v>1085</v>
      </c>
      <c r="H1078" s="1" t="s">
        <v>1077</v>
      </c>
      <c r="I1078" s="1" t="s">
        <v>37</v>
      </c>
      <c r="J1078" s="1" t="s">
        <v>1078</v>
      </c>
      <c r="K1078" s="1" t="s">
        <v>39</v>
      </c>
      <c r="L1078">
        <v>6</v>
      </c>
      <c r="M1078">
        <v>42.4</v>
      </c>
      <c r="N1078">
        <v>32.700000000000003</v>
      </c>
      <c r="O1078">
        <v>29.3</v>
      </c>
      <c r="P1078">
        <v>4.0620000000000003E-2</v>
      </c>
      <c r="Q1078">
        <v>18.28</v>
      </c>
      <c r="R1078">
        <v>15.91</v>
      </c>
      <c r="S1078">
        <v>6</v>
      </c>
      <c r="T1078">
        <v>3</v>
      </c>
      <c r="U1078">
        <v>18</v>
      </c>
      <c r="V1078">
        <v>102.9</v>
      </c>
      <c r="W1078">
        <v>354.04</v>
      </c>
      <c r="X1078">
        <v>0.73116000000000003</v>
      </c>
      <c r="Y1078">
        <v>32.5</v>
      </c>
      <c r="Z1078">
        <v>1.3201500000000002</v>
      </c>
      <c r="AA1078">
        <v>1.8055555555555556</v>
      </c>
      <c r="AB1078">
        <v>3102.45</v>
      </c>
      <c r="AC1078">
        <v>2</v>
      </c>
      <c r="AD1078" s="1" t="s">
        <v>40</v>
      </c>
      <c r="AE1078">
        <v>2</v>
      </c>
      <c r="AF1078">
        <v>0</v>
      </c>
      <c r="AG1078">
        <v>13.75</v>
      </c>
    </row>
    <row r="1079" spans="1:33">
      <c r="A1079" s="1" t="s">
        <v>1084</v>
      </c>
      <c r="B1079" s="1" t="s">
        <v>2145</v>
      </c>
      <c r="C1079" s="2">
        <v>46555</v>
      </c>
      <c r="D1079" s="1" t="s">
        <v>45</v>
      </c>
      <c r="E1079">
        <v>78</v>
      </c>
      <c r="F1079" s="2">
        <v>46081</v>
      </c>
      <c r="G1079" s="1" t="s">
        <v>1085</v>
      </c>
      <c r="H1079" s="1" t="s">
        <v>1077</v>
      </c>
      <c r="I1079" s="1" t="s">
        <v>37</v>
      </c>
      <c r="J1079" s="1" t="s">
        <v>1078</v>
      </c>
      <c r="K1079" s="1" t="s">
        <v>39</v>
      </c>
      <c r="L1079">
        <v>6</v>
      </c>
      <c r="M1079">
        <v>42.4</v>
      </c>
      <c r="N1079">
        <v>32.700000000000003</v>
      </c>
      <c r="O1079">
        <v>29.3</v>
      </c>
      <c r="P1079">
        <v>4.0620000000000003E-2</v>
      </c>
      <c r="Q1079">
        <v>18.28</v>
      </c>
      <c r="R1079">
        <v>15.91</v>
      </c>
      <c r="S1079">
        <v>6</v>
      </c>
      <c r="T1079">
        <v>3</v>
      </c>
      <c r="U1079">
        <v>18</v>
      </c>
      <c r="V1079">
        <v>102.9</v>
      </c>
      <c r="W1079">
        <v>354.04</v>
      </c>
      <c r="X1079">
        <v>0.73116000000000003</v>
      </c>
      <c r="Y1079">
        <v>13</v>
      </c>
      <c r="Z1079">
        <v>0.52806000000000008</v>
      </c>
      <c r="AA1079">
        <v>0.72222222222222221</v>
      </c>
      <c r="AB1079">
        <v>1240.98</v>
      </c>
      <c r="AC1079">
        <v>1</v>
      </c>
      <c r="AD1079" s="1" t="s">
        <v>40</v>
      </c>
      <c r="AE1079">
        <v>1</v>
      </c>
      <c r="AF1079">
        <v>0</v>
      </c>
      <c r="AG1079">
        <v>15.592105263157896</v>
      </c>
    </row>
    <row r="1080" spans="1:33">
      <c r="A1080" s="1" t="s">
        <v>1084</v>
      </c>
      <c r="B1080" s="1" t="s">
        <v>2146</v>
      </c>
      <c r="C1080" s="2">
        <v>46198</v>
      </c>
      <c r="D1080" s="1" t="s">
        <v>153</v>
      </c>
      <c r="E1080">
        <v>117</v>
      </c>
      <c r="F1080" s="2">
        <v>46081</v>
      </c>
      <c r="G1080" s="1" t="s">
        <v>1085</v>
      </c>
      <c r="H1080" s="1" t="s">
        <v>1077</v>
      </c>
      <c r="I1080" s="1" t="s">
        <v>37</v>
      </c>
      <c r="J1080" s="1" t="s">
        <v>1078</v>
      </c>
      <c r="K1080" s="1" t="s">
        <v>39</v>
      </c>
      <c r="L1080">
        <v>6</v>
      </c>
      <c r="M1080">
        <v>42.4</v>
      </c>
      <c r="N1080">
        <v>32.700000000000003</v>
      </c>
      <c r="O1080">
        <v>29.3</v>
      </c>
      <c r="P1080">
        <v>4.0620000000000003E-2</v>
      </c>
      <c r="Q1080">
        <v>18.28</v>
      </c>
      <c r="R1080">
        <v>15.91</v>
      </c>
      <c r="S1080">
        <v>6</v>
      </c>
      <c r="T1080">
        <v>3</v>
      </c>
      <c r="U1080">
        <v>18</v>
      </c>
      <c r="V1080">
        <v>102.9</v>
      </c>
      <c r="W1080">
        <v>354.04</v>
      </c>
      <c r="X1080">
        <v>0.73116000000000003</v>
      </c>
      <c r="Y1080">
        <v>19.5</v>
      </c>
      <c r="Z1080">
        <v>0.79209000000000007</v>
      </c>
      <c r="AA1080">
        <v>1.0833333333333333</v>
      </c>
      <c r="AB1080">
        <v>1861.47</v>
      </c>
      <c r="AC1080">
        <v>2</v>
      </c>
      <c r="AD1080" s="1" t="s">
        <v>74</v>
      </c>
      <c r="AE1080">
        <v>0</v>
      </c>
      <c r="AF1080">
        <v>0</v>
      </c>
      <c r="AG1080">
        <v>3.8486842105263159</v>
      </c>
    </row>
    <row r="1081" spans="1:33">
      <c r="A1081" s="1" t="s">
        <v>1086</v>
      </c>
      <c r="B1081" s="1" t="s">
        <v>2147</v>
      </c>
      <c r="C1081" s="2">
        <v>46454</v>
      </c>
      <c r="D1081" s="1" t="s">
        <v>34</v>
      </c>
      <c r="E1081">
        <v>3948</v>
      </c>
      <c r="F1081" s="2">
        <v>46081</v>
      </c>
      <c r="G1081" s="1" t="s">
        <v>1087</v>
      </c>
      <c r="H1081" s="1" t="s">
        <v>1077</v>
      </c>
      <c r="I1081" s="1" t="s">
        <v>37</v>
      </c>
      <c r="J1081" s="1" t="s">
        <v>1078</v>
      </c>
      <c r="K1081" s="1" t="s">
        <v>39</v>
      </c>
      <c r="L1081">
        <v>24</v>
      </c>
      <c r="M1081">
        <v>40.700000000000003</v>
      </c>
      <c r="N1081">
        <v>29.5</v>
      </c>
      <c r="O1081">
        <v>25</v>
      </c>
      <c r="P1081">
        <v>3.0020000000000002E-2</v>
      </c>
      <c r="Q1081">
        <v>12.74</v>
      </c>
      <c r="R1081">
        <v>20.58</v>
      </c>
      <c r="S1081">
        <v>8</v>
      </c>
      <c r="T1081">
        <v>4</v>
      </c>
      <c r="U1081">
        <v>32</v>
      </c>
      <c r="V1081">
        <v>115</v>
      </c>
      <c r="W1081">
        <v>432.68</v>
      </c>
      <c r="X1081">
        <v>0.96064000000000005</v>
      </c>
      <c r="Y1081">
        <v>164.5</v>
      </c>
      <c r="Z1081">
        <v>4.9382900000000003</v>
      </c>
      <c r="AA1081">
        <v>5.140625</v>
      </c>
      <c r="AB1081">
        <v>81249.84</v>
      </c>
      <c r="AC1081">
        <v>6</v>
      </c>
      <c r="AD1081" s="1" t="s">
        <v>40</v>
      </c>
      <c r="AE1081">
        <v>6</v>
      </c>
      <c r="AF1081">
        <v>0</v>
      </c>
      <c r="AG1081">
        <v>12.269736842105264</v>
      </c>
    </row>
    <row r="1082" spans="1:33">
      <c r="A1082" s="1" t="s">
        <v>1086</v>
      </c>
      <c r="B1082" s="1" t="s">
        <v>2148</v>
      </c>
      <c r="C1082" s="2">
        <v>46274</v>
      </c>
      <c r="D1082" s="1" t="s">
        <v>45</v>
      </c>
      <c r="E1082">
        <v>78</v>
      </c>
      <c r="F1082" s="2">
        <v>46081</v>
      </c>
      <c r="G1082" s="1" t="s">
        <v>1087</v>
      </c>
      <c r="H1082" s="1" t="s">
        <v>1077</v>
      </c>
      <c r="I1082" s="1" t="s">
        <v>37</v>
      </c>
      <c r="J1082" s="1" t="s">
        <v>1078</v>
      </c>
      <c r="K1082" s="1" t="s">
        <v>39</v>
      </c>
      <c r="L1082">
        <v>24</v>
      </c>
      <c r="M1082">
        <v>40.700000000000003</v>
      </c>
      <c r="N1082">
        <v>29.5</v>
      </c>
      <c r="O1082">
        <v>25</v>
      </c>
      <c r="P1082">
        <v>3.0020000000000002E-2</v>
      </c>
      <c r="Q1082">
        <v>12.74</v>
      </c>
      <c r="R1082">
        <v>20.58</v>
      </c>
      <c r="S1082">
        <v>8</v>
      </c>
      <c r="T1082">
        <v>4</v>
      </c>
      <c r="U1082">
        <v>32</v>
      </c>
      <c r="V1082">
        <v>115</v>
      </c>
      <c r="W1082">
        <v>432.68</v>
      </c>
      <c r="X1082">
        <v>0.96064000000000005</v>
      </c>
      <c r="Y1082">
        <v>3.25</v>
      </c>
      <c r="Z1082">
        <v>9.7564999999999999E-2</v>
      </c>
      <c r="AA1082">
        <v>0.1015625</v>
      </c>
      <c r="AB1082">
        <v>1605.2399999999998</v>
      </c>
      <c r="AC1082">
        <v>1</v>
      </c>
      <c r="AD1082" s="1" t="s">
        <v>44</v>
      </c>
      <c r="AE1082">
        <v>0</v>
      </c>
      <c r="AF1082">
        <v>1</v>
      </c>
      <c r="AG1082">
        <v>6.3486842105263159</v>
      </c>
    </row>
    <row r="1083" spans="1:33">
      <c r="A1083" s="1" t="s">
        <v>1088</v>
      </c>
      <c r="B1083" s="1" t="s">
        <v>2149</v>
      </c>
      <c r="C1083" s="2">
        <v>46558</v>
      </c>
      <c r="D1083" s="1" t="s">
        <v>34</v>
      </c>
      <c r="E1083">
        <v>1342</v>
      </c>
      <c r="F1083" s="2">
        <v>46081</v>
      </c>
      <c r="G1083" s="1" t="s">
        <v>1089</v>
      </c>
      <c r="H1083" s="1" t="s">
        <v>1077</v>
      </c>
      <c r="I1083" s="1" t="s">
        <v>37</v>
      </c>
      <c r="J1083" s="1" t="s">
        <v>1078</v>
      </c>
      <c r="K1083" s="1" t="s">
        <v>1081</v>
      </c>
      <c r="L1083">
        <v>24</v>
      </c>
      <c r="M1083">
        <v>39.5</v>
      </c>
      <c r="N1083">
        <v>31</v>
      </c>
      <c r="O1083">
        <v>20.2</v>
      </c>
      <c r="P1083">
        <v>2.4729999999999999E-2</v>
      </c>
      <c r="Q1083">
        <v>12.02</v>
      </c>
      <c r="R1083">
        <v>38.57</v>
      </c>
      <c r="S1083">
        <v>9</v>
      </c>
      <c r="T1083">
        <v>6</v>
      </c>
      <c r="U1083">
        <v>54</v>
      </c>
      <c r="V1083">
        <v>136.19999999999999</v>
      </c>
      <c r="W1083">
        <v>674.07999999999993</v>
      </c>
      <c r="X1083">
        <v>1.3354199999999998</v>
      </c>
      <c r="Y1083">
        <v>55.916666666666664</v>
      </c>
      <c r="Z1083">
        <v>1.3828191666666665</v>
      </c>
      <c r="AA1083">
        <v>1.0354938271604939</v>
      </c>
      <c r="AB1083">
        <v>51760.94</v>
      </c>
      <c r="AC1083">
        <v>2</v>
      </c>
      <c r="AD1083" s="1" t="s">
        <v>40</v>
      </c>
      <c r="AE1083">
        <v>2</v>
      </c>
      <c r="AF1083">
        <v>0</v>
      </c>
      <c r="AG1083">
        <v>15.690789473684211</v>
      </c>
    </row>
    <row r="1084" spans="1:33">
      <c r="A1084" s="1" t="s">
        <v>1088</v>
      </c>
      <c r="B1084" s="1" t="s">
        <v>2150</v>
      </c>
      <c r="C1084" s="2">
        <v>46878</v>
      </c>
      <c r="D1084" s="1" t="s">
        <v>34</v>
      </c>
      <c r="E1084">
        <v>1229</v>
      </c>
      <c r="F1084" s="2">
        <v>46081</v>
      </c>
      <c r="G1084" s="1" t="s">
        <v>1089</v>
      </c>
      <c r="H1084" s="1" t="s">
        <v>1077</v>
      </c>
      <c r="I1084" s="1" t="s">
        <v>37</v>
      </c>
      <c r="J1084" s="1" t="s">
        <v>1078</v>
      </c>
      <c r="K1084" s="1" t="s">
        <v>1081</v>
      </c>
      <c r="L1084">
        <v>24</v>
      </c>
      <c r="M1084">
        <v>39.5</v>
      </c>
      <c r="N1084">
        <v>31</v>
      </c>
      <c r="O1084">
        <v>20.2</v>
      </c>
      <c r="P1084">
        <v>2.4729999999999999E-2</v>
      </c>
      <c r="Q1084">
        <v>12.02</v>
      </c>
      <c r="R1084">
        <v>38.57</v>
      </c>
      <c r="S1084">
        <v>9</v>
      </c>
      <c r="T1084">
        <v>6</v>
      </c>
      <c r="U1084">
        <v>54</v>
      </c>
      <c r="V1084">
        <v>136.19999999999999</v>
      </c>
      <c r="W1084">
        <v>674.07999999999993</v>
      </c>
      <c r="X1084">
        <v>1.3354199999999998</v>
      </c>
      <c r="Y1084">
        <v>51.208333333333336</v>
      </c>
      <c r="Z1084">
        <v>1.2663820833333332</v>
      </c>
      <c r="AA1084">
        <v>0.94830246913580252</v>
      </c>
      <c r="AB1084">
        <v>47402.53</v>
      </c>
      <c r="AC1084">
        <v>1</v>
      </c>
      <c r="AD1084" s="1" t="s">
        <v>40</v>
      </c>
      <c r="AE1084">
        <v>1</v>
      </c>
      <c r="AF1084">
        <v>0</v>
      </c>
      <c r="AG1084">
        <v>26.217105263157897</v>
      </c>
    </row>
    <row r="1085" spans="1:33">
      <c r="A1085" s="1" t="s">
        <v>1090</v>
      </c>
      <c r="B1085" s="1" t="s">
        <v>2151</v>
      </c>
      <c r="C1085" s="2">
        <v>46910</v>
      </c>
      <c r="D1085" s="1" t="s">
        <v>34</v>
      </c>
      <c r="E1085">
        <v>540</v>
      </c>
      <c r="F1085" s="2">
        <v>46081</v>
      </c>
      <c r="G1085" s="1" t="s">
        <v>1091</v>
      </c>
      <c r="H1085" s="1" t="s">
        <v>1077</v>
      </c>
      <c r="I1085" s="1" t="s">
        <v>37</v>
      </c>
      <c r="J1085" s="1" t="s">
        <v>1078</v>
      </c>
      <c r="K1085" s="1" t="s">
        <v>1081</v>
      </c>
      <c r="L1085">
        <v>24</v>
      </c>
      <c r="M1085">
        <v>36.799999999999997</v>
      </c>
      <c r="N1085">
        <v>27.3</v>
      </c>
      <c r="O1085">
        <v>24</v>
      </c>
      <c r="P1085">
        <v>2.4109999999999999E-2</v>
      </c>
      <c r="Q1085">
        <v>10.86</v>
      </c>
      <c r="R1085">
        <v>35.6</v>
      </c>
      <c r="S1085">
        <v>9</v>
      </c>
      <c r="T1085">
        <v>2</v>
      </c>
      <c r="U1085">
        <v>18</v>
      </c>
      <c r="V1085">
        <v>63</v>
      </c>
      <c r="W1085">
        <v>220.48</v>
      </c>
      <c r="X1085">
        <v>0.43397999999999998</v>
      </c>
      <c r="Y1085">
        <v>22.5</v>
      </c>
      <c r="Z1085">
        <v>0.54247500000000004</v>
      </c>
      <c r="AA1085">
        <v>1.25</v>
      </c>
      <c r="AB1085">
        <v>19224</v>
      </c>
      <c r="AC1085">
        <v>2</v>
      </c>
      <c r="AD1085" s="1" t="s">
        <v>40</v>
      </c>
      <c r="AE1085">
        <v>2</v>
      </c>
      <c r="AF1085">
        <v>0</v>
      </c>
      <c r="AG1085">
        <v>27.269736842105264</v>
      </c>
    </row>
    <row r="1086" spans="1:33">
      <c r="A1086" s="1" t="s">
        <v>1090</v>
      </c>
      <c r="B1086" s="1" t="s">
        <v>2152</v>
      </c>
      <c r="C1086" s="2">
        <v>46179</v>
      </c>
      <c r="D1086" s="1" t="s">
        <v>34</v>
      </c>
      <c r="E1086">
        <v>324</v>
      </c>
      <c r="F1086" s="2">
        <v>46081</v>
      </c>
      <c r="G1086" s="1" t="s">
        <v>1091</v>
      </c>
      <c r="H1086" s="1" t="s">
        <v>1077</v>
      </c>
      <c r="I1086" s="1" t="s">
        <v>37</v>
      </c>
      <c r="J1086" s="1" t="s">
        <v>1078</v>
      </c>
      <c r="K1086" s="1" t="s">
        <v>1081</v>
      </c>
      <c r="L1086">
        <v>24</v>
      </c>
      <c r="M1086">
        <v>36.799999999999997</v>
      </c>
      <c r="N1086">
        <v>27.3</v>
      </c>
      <c r="O1086">
        <v>24</v>
      </c>
      <c r="P1086">
        <v>2.4109999999999999E-2</v>
      </c>
      <c r="Q1086">
        <v>10.86</v>
      </c>
      <c r="R1086">
        <v>35.6</v>
      </c>
      <c r="S1086">
        <v>9</v>
      </c>
      <c r="T1086">
        <v>2</v>
      </c>
      <c r="U1086">
        <v>18</v>
      </c>
      <c r="V1086">
        <v>63</v>
      </c>
      <c r="W1086">
        <v>220.48</v>
      </c>
      <c r="X1086">
        <v>0.43397999999999998</v>
      </c>
      <c r="Y1086">
        <v>13.5</v>
      </c>
      <c r="Z1086">
        <v>0.32548499999999997</v>
      </c>
      <c r="AA1086">
        <v>0.75</v>
      </c>
      <c r="AB1086">
        <v>11534.4</v>
      </c>
      <c r="AC1086">
        <v>1</v>
      </c>
      <c r="AD1086" s="1" t="s">
        <v>40</v>
      </c>
      <c r="AE1086">
        <v>1</v>
      </c>
      <c r="AF1086">
        <v>0</v>
      </c>
      <c r="AG1086">
        <v>3.2236842105263159</v>
      </c>
    </row>
    <row r="1087" spans="1:33">
      <c r="A1087" s="1" t="s">
        <v>1092</v>
      </c>
      <c r="B1087" s="1" t="s">
        <v>2153</v>
      </c>
      <c r="C1087" s="2">
        <v>46565</v>
      </c>
      <c r="D1087" s="1" t="s">
        <v>34</v>
      </c>
      <c r="E1087">
        <v>404</v>
      </c>
      <c r="F1087" s="2">
        <v>46081</v>
      </c>
      <c r="G1087" s="1" t="s">
        <v>1093</v>
      </c>
      <c r="H1087" s="1" t="s">
        <v>1077</v>
      </c>
      <c r="I1087" s="1" t="s">
        <v>37</v>
      </c>
      <c r="J1087" s="1" t="s">
        <v>1078</v>
      </c>
      <c r="K1087" s="1" t="s">
        <v>1081</v>
      </c>
      <c r="L1087">
        <v>6</v>
      </c>
      <c r="M1087">
        <v>41.5</v>
      </c>
      <c r="N1087">
        <v>29.3</v>
      </c>
      <c r="O1087">
        <v>21.1</v>
      </c>
      <c r="P1087">
        <v>2.5659999999999999E-2</v>
      </c>
      <c r="Q1087">
        <v>11.12</v>
      </c>
      <c r="R1087">
        <v>32.6</v>
      </c>
      <c r="S1087">
        <v>8</v>
      </c>
      <c r="T1087">
        <v>6</v>
      </c>
      <c r="U1087">
        <v>48</v>
      </c>
      <c r="V1087">
        <v>141.60000000000002</v>
      </c>
      <c r="W1087">
        <v>558.76</v>
      </c>
      <c r="X1087">
        <v>1.2316800000000001</v>
      </c>
      <c r="Y1087">
        <v>67.333333333333329</v>
      </c>
      <c r="Z1087">
        <v>1.7277733333333332</v>
      </c>
      <c r="AA1087">
        <v>1.4027777777777777</v>
      </c>
      <c r="AB1087">
        <v>13170.400000000001</v>
      </c>
      <c r="AC1087">
        <v>2</v>
      </c>
      <c r="AD1087" s="1" t="s">
        <v>40</v>
      </c>
      <c r="AE1087">
        <v>2</v>
      </c>
      <c r="AF1087">
        <v>0</v>
      </c>
      <c r="AG1087">
        <v>15.921052631578949</v>
      </c>
    </row>
    <row r="1088" spans="1:33">
      <c r="A1088" s="1" t="s">
        <v>1092</v>
      </c>
      <c r="B1088" s="1" t="s">
        <v>2154</v>
      </c>
      <c r="C1088" s="2">
        <v>46294</v>
      </c>
      <c r="D1088" s="1" t="s">
        <v>34</v>
      </c>
      <c r="E1088">
        <v>211</v>
      </c>
      <c r="F1088" s="2">
        <v>46081</v>
      </c>
      <c r="G1088" s="1" t="s">
        <v>1093</v>
      </c>
      <c r="H1088" s="1" t="s">
        <v>1077</v>
      </c>
      <c r="I1088" s="1" t="s">
        <v>37</v>
      </c>
      <c r="J1088" s="1" t="s">
        <v>1078</v>
      </c>
      <c r="K1088" s="1" t="s">
        <v>1081</v>
      </c>
      <c r="L1088">
        <v>6</v>
      </c>
      <c r="M1088">
        <v>41.5</v>
      </c>
      <c r="N1088">
        <v>29.3</v>
      </c>
      <c r="O1088">
        <v>21.1</v>
      </c>
      <c r="P1088">
        <v>2.5659999999999999E-2</v>
      </c>
      <c r="Q1088">
        <v>11.12</v>
      </c>
      <c r="R1088">
        <v>32.6</v>
      </c>
      <c r="S1088">
        <v>8</v>
      </c>
      <c r="T1088">
        <v>6</v>
      </c>
      <c r="U1088">
        <v>48</v>
      </c>
      <c r="V1088">
        <v>141.60000000000002</v>
      </c>
      <c r="W1088">
        <v>558.76</v>
      </c>
      <c r="X1088">
        <v>1.2316800000000001</v>
      </c>
      <c r="Y1088">
        <v>35.166666666666664</v>
      </c>
      <c r="Z1088">
        <v>0.9023766666666666</v>
      </c>
      <c r="AA1088">
        <v>0.73263888888888884</v>
      </c>
      <c r="AB1088">
        <v>6878.6</v>
      </c>
      <c r="AC1088">
        <v>1</v>
      </c>
      <c r="AD1088" s="1" t="s">
        <v>40</v>
      </c>
      <c r="AE1088">
        <v>1</v>
      </c>
      <c r="AF1088">
        <v>0</v>
      </c>
      <c r="AG1088">
        <v>7.0065789473684212</v>
      </c>
    </row>
    <row r="1089" spans="1:33">
      <c r="A1089" s="1" t="s">
        <v>1094</v>
      </c>
      <c r="B1089" s="1" t="s">
        <v>2155</v>
      </c>
      <c r="C1089" s="2">
        <v>46880</v>
      </c>
      <c r="D1089" s="1" t="s">
        <v>34</v>
      </c>
      <c r="E1089">
        <v>25</v>
      </c>
      <c r="F1089" s="2">
        <v>46081</v>
      </c>
      <c r="G1089" s="1" t="s">
        <v>1095</v>
      </c>
      <c r="H1089" s="1" t="s">
        <v>1077</v>
      </c>
      <c r="I1089" s="1" t="s">
        <v>37</v>
      </c>
      <c r="J1089" s="1" t="s">
        <v>1078</v>
      </c>
      <c r="K1089" s="1" t="s">
        <v>1081</v>
      </c>
      <c r="L1089">
        <v>6</v>
      </c>
      <c r="M1089">
        <v>30.9</v>
      </c>
      <c r="N1089">
        <v>28.2</v>
      </c>
      <c r="O1089">
        <v>28.6</v>
      </c>
      <c r="P1089">
        <v>2.4921467999999999E-2</v>
      </c>
      <c r="Q1089">
        <v>9.83</v>
      </c>
      <c r="R1089">
        <v>44.78</v>
      </c>
      <c r="S1089">
        <v>12</v>
      </c>
      <c r="T1089">
        <v>4</v>
      </c>
      <c r="U1089">
        <v>48</v>
      </c>
      <c r="V1089">
        <v>129.4</v>
      </c>
      <c r="W1089">
        <v>496.84</v>
      </c>
      <c r="X1089">
        <v>1.1962304640000001</v>
      </c>
      <c r="Y1089">
        <v>4.166666666666667</v>
      </c>
      <c r="Z1089">
        <v>0.10383945</v>
      </c>
      <c r="AA1089">
        <v>8.6805555555555566E-2</v>
      </c>
      <c r="AB1089">
        <v>1119.5</v>
      </c>
      <c r="AC1089">
        <v>1</v>
      </c>
      <c r="AD1089" s="1" t="s">
        <v>44</v>
      </c>
      <c r="AE1089">
        <v>0</v>
      </c>
      <c r="AF1089">
        <v>1</v>
      </c>
      <c r="AG1089">
        <v>26.282894736842106</v>
      </c>
    </row>
    <row r="1090" spans="1:33">
      <c r="A1090" s="1" t="s">
        <v>1094</v>
      </c>
      <c r="B1090" s="1" t="s">
        <v>2156</v>
      </c>
      <c r="C1090" s="2">
        <v>46756</v>
      </c>
      <c r="D1090" s="1" t="s">
        <v>34</v>
      </c>
      <c r="E1090">
        <v>24</v>
      </c>
      <c r="F1090" s="2">
        <v>46081</v>
      </c>
      <c r="G1090" s="1" t="s">
        <v>1095</v>
      </c>
      <c r="H1090" s="1" t="s">
        <v>1077</v>
      </c>
      <c r="I1090" s="1" t="s">
        <v>37</v>
      </c>
      <c r="J1090" s="1" t="s">
        <v>1078</v>
      </c>
      <c r="K1090" s="1" t="s">
        <v>1081</v>
      </c>
      <c r="L1090">
        <v>6</v>
      </c>
      <c r="M1090">
        <v>30.9</v>
      </c>
      <c r="N1090">
        <v>28.2</v>
      </c>
      <c r="O1090">
        <v>28.6</v>
      </c>
      <c r="P1090">
        <v>2.4921467999999999E-2</v>
      </c>
      <c r="Q1090">
        <v>9.83</v>
      </c>
      <c r="R1090">
        <v>44.78</v>
      </c>
      <c r="S1090">
        <v>12</v>
      </c>
      <c r="T1090">
        <v>4</v>
      </c>
      <c r="U1090">
        <v>48</v>
      </c>
      <c r="V1090">
        <v>129.4</v>
      </c>
      <c r="W1090">
        <v>496.84</v>
      </c>
      <c r="X1090">
        <v>1.1962304640000001</v>
      </c>
      <c r="Y1090">
        <v>4</v>
      </c>
      <c r="Z1090">
        <v>9.9685871999999995E-2</v>
      </c>
      <c r="AA1090">
        <v>8.3333333333333329E-2</v>
      </c>
      <c r="AB1090">
        <v>1074.72</v>
      </c>
      <c r="AC1090">
        <v>1</v>
      </c>
      <c r="AD1090" s="1" t="s">
        <v>44</v>
      </c>
      <c r="AE1090">
        <v>0</v>
      </c>
      <c r="AF1090">
        <v>1</v>
      </c>
      <c r="AG1090">
        <v>22.203947368421055</v>
      </c>
    </row>
    <row r="1091" spans="1:33">
      <c r="A1091" s="1" t="s">
        <v>1094</v>
      </c>
      <c r="B1091" s="1" t="s">
        <v>2157</v>
      </c>
      <c r="C1091" s="2">
        <v>46361</v>
      </c>
      <c r="D1091" s="1" t="s">
        <v>34</v>
      </c>
      <c r="E1091">
        <v>70</v>
      </c>
      <c r="F1091" s="2">
        <v>46081</v>
      </c>
      <c r="G1091" s="1" t="s">
        <v>1095</v>
      </c>
      <c r="H1091" s="1" t="s">
        <v>1077</v>
      </c>
      <c r="I1091" s="1" t="s">
        <v>37</v>
      </c>
      <c r="J1091" s="1" t="s">
        <v>1078</v>
      </c>
      <c r="K1091" s="1" t="s">
        <v>1081</v>
      </c>
      <c r="L1091">
        <v>6</v>
      </c>
      <c r="M1091">
        <v>30.9</v>
      </c>
      <c r="N1091">
        <v>28.2</v>
      </c>
      <c r="O1091">
        <v>28.6</v>
      </c>
      <c r="P1091">
        <v>2.4921467999999999E-2</v>
      </c>
      <c r="Q1091">
        <v>9.83</v>
      </c>
      <c r="R1091">
        <v>44.78</v>
      </c>
      <c r="S1091">
        <v>12</v>
      </c>
      <c r="T1091">
        <v>4</v>
      </c>
      <c r="U1091">
        <v>48</v>
      </c>
      <c r="V1091">
        <v>129.4</v>
      </c>
      <c r="W1091">
        <v>496.84</v>
      </c>
      <c r="X1091">
        <v>1.1962304640000001</v>
      </c>
      <c r="Y1091">
        <v>11.666666666666666</v>
      </c>
      <c r="Z1091">
        <v>0.29075045999999999</v>
      </c>
      <c r="AA1091">
        <v>0.24305555555555555</v>
      </c>
      <c r="AB1091">
        <v>3134.6</v>
      </c>
      <c r="AC1091">
        <v>1</v>
      </c>
      <c r="AD1091" s="1" t="s">
        <v>40</v>
      </c>
      <c r="AE1091">
        <v>1</v>
      </c>
      <c r="AF1091">
        <v>0</v>
      </c>
      <c r="AG1091">
        <v>9.2105263157894743</v>
      </c>
    </row>
    <row r="1092" spans="1:33">
      <c r="A1092" s="1" t="s">
        <v>1094</v>
      </c>
      <c r="B1092" s="1" t="s">
        <v>2158</v>
      </c>
      <c r="C1092" s="2">
        <v>46309</v>
      </c>
      <c r="D1092" s="1" t="s">
        <v>34</v>
      </c>
      <c r="E1092">
        <v>10</v>
      </c>
      <c r="F1092" s="2">
        <v>46081</v>
      </c>
      <c r="G1092" s="1" t="s">
        <v>1095</v>
      </c>
      <c r="H1092" s="1" t="s">
        <v>1077</v>
      </c>
      <c r="I1092" s="1" t="s">
        <v>37</v>
      </c>
      <c r="J1092" s="1" t="s">
        <v>1078</v>
      </c>
      <c r="K1092" s="1" t="s">
        <v>1081</v>
      </c>
      <c r="L1092">
        <v>6</v>
      </c>
      <c r="M1092">
        <v>30.9</v>
      </c>
      <c r="N1092">
        <v>28.2</v>
      </c>
      <c r="O1092">
        <v>28.6</v>
      </c>
      <c r="P1092">
        <v>2.4921467999999999E-2</v>
      </c>
      <c r="Q1092">
        <v>9.83</v>
      </c>
      <c r="R1092">
        <v>44.78</v>
      </c>
      <c r="S1092">
        <v>12</v>
      </c>
      <c r="T1092">
        <v>4</v>
      </c>
      <c r="U1092">
        <v>48</v>
      </c>
      <c r="V1092">
        <v>129.4</v>
      </c>
      <c r="W1092">
        <v>496.84</v>
      </c>
      <c r="X1092">
        <v>1.1962304640000001</v>
      </c>
      <c r="Y1092">
        <v>1.6666666666666667</v>
      </c>
      <c r="Z1092">
        <v>4.1535780000000001E-2</v>
      </c>
      <c r="AA1092">
        <v>3.4722222222222224E-2</v>
      </c>
      <c r="AB1092">
        <v>447.8</v>
      </c>
      <c r="AC1092">
        <v>1</v>
      </c>
      <c r="AD1092" s="1" t="s">
        <v>44</v>
      </c>
      <c r="AE1092">
        <v>0</v>
      </c>
      <c r="AF1092">
        <v>1</v>
      </c>
      <c r="AG1092">
        <v>7.5</v>
      </c>
    </row>
    <row r="1093" spans="1:33">
      <c r="A1093" s="1" t="s">
        <v>1094</v>
      </c>
      <c r="B1093" s="1" t="s">
        <v>2159</v>
      </c>
      <c r="C1093" s="2">
        <v>45838</v>
      </c>
      <c r="D1093" s="1" t="s">
        <v>73</v>
      </c>
      <c r="E1093">
        <v>10</v>
      </c>
      <c r="F1093" s="2">
        <v>46081</v>
      </c>
      <c r="G1093" s="1" t="s">
        <v>1095</v>
      </c>
      <c r="H1093" s="1" t="s">
        <v>1077</v>
      </c>
      <c r="I1093" s="1" t="s">
        <v>37</v>
      </c>
      <c r="J1093" s="1" t="s">
        <v>1078</v>
      </c>
      <c r="K1093" s="1" t="s">
        <v>1081</v>
      </c>
      <c r="L1093">
        <v>6</v>
      </c>
      <c r="M1093">
        <v>30.9</v>
      </c>
      <c r="N1093">
        <v>28.2</v>
      </c>
      <c r="O1093">
        <v>28.6</v>
      </c>
      <c r="P1093">
        <v>2.4921467999999999E-2</v>
      </c>
      <c r="Q1093">
        <v>9.83</v>
      </c>
      <c r="R1093">
        <v>44.78</v>
      </c>
      <c r="S1093">
        <v>12</v>
      </c>
      <c r="T1093">
        <v>4</v>
      </c>
      <c r="U1093">
        <v>48</v>
      </c>
      <c r="V1093">
        <v>129.4</v>
      </c>
      <c r="W1093">
        <v>496.84</v>
      </c>
      <c r="X1093">
        <v>1.1962304640000001</v>
      </c>
      <c r="Y1093">
        <v>1.6666666666666667</v>
      </c>
      <c r="Z1093">
        <v>4.1535780000000001E-2</v>
      </c>
      <c r="AA1093">
        <v>3.4722222222222224E-2</v>
      </c>
      <c r="AB1093">
        <v>447.8</v>
      </c>
      <c r="AC1093">
        <v>1</v>
      </c>
      <c r="AD1093" s="1" t="s">
        <v>74</v>
      </c>
      <c r="AE1093">
        <v>0</v>
      </c>
      <c r="AF1093">
        <v>0</v>
      </c>
      <c r="AG1093">
        <v>-7.9934210526315796</v>
      </c>
    </row>
    <row r="1094" spans="1:33">
      <c r="A1094" s="1" t="s">
        <v>1096</v>
      </c>
      <c r="B1094" s="1" t="s">
        <v>2160</v>
      </c>
      <c r="C1094" s="2">
        <v>47048</v>
      </c>
      <c r="D1094" s="1" t="s">
        <v>34</v>
      </c>
      <c r="E1094">
        <v>1450</v>
      </c>
      <c r="F1094" s="2">
        <v>46081</v>
      </c>
      <c r="G1094" s="1" t="s">
        <v>1097</v>
      </c>
      <c r="H1094" s="1" t="s">
        <v>1077</v>
      </c>
      <c r="I1094" s="1" t="s">
        <v>37</v>
      </c>
      <c r="J1094" s="1" t="s">
        <v>1078</v>
      </c>
      <c r="K1094" s="1" t="s">
        <v>1081</v>
      </c>
      <c r="L1094">
        <v>24</v>
      </c>
      <c r="M1094">
        <v>42.8</v>
      </c>
      <c r="N1094">
        <v>31</v>
      </c>
      <c r="O1094">
        <v>29.3</v>
      </c>
      <c r="P1094">
        <v>3.8879999999999998E-2</v>
      </c>
      <c r="Q1094">
        <v>20.399999999999999</v>
      </c>
      <c r="R1094">
        <v>38.68</v>
      </c>
      <c r="S1094">
        <v>6</v>
      </c>
      <c r="T1094">
        <v>4</v>
      </c>
      <c r="U1094">
        <v>24</v>
      </c>
      <c r="V1094">
        <v>132.19999999999999</v>
      </c>
      <c r="W1094">
        <v>514.59999999999991</v>
      </c>
      <c r="X1094">
        <v>0.93311999999999995</v>
      </c>
      <c r="Y1094">
        <v>60.416666666666664</v>
      </c>
      <c r="Z1094">
        <v>2.3489999999999998</v>
      </c>
      <c r="AA1094">
        <v>2.5173611111111112</v>
      </c>
      <c r="AB1094">
        <v>56086</v>
      </c>
      <c r="AC1094">
        <v>3</v>
      </c>
      <c r="AD1094" s="1" t="s">
        <v>40</v>
      </c>
      <c r="AE1094">
        <v>3</v>
      </c>
      <c r="AF1094">
        <v>0</v>
      </c>
      <c r="AG1094">
        <v>31.809210526315791</v>
      </c>
    </row>
    <row r="1095" spans="1:33">
      <c r="A1095" s="1" t="s">
        <v>1098</v>
      </c>
      <c r="B1095" s="1" t="s">
        <v>2161</v>
      </c>
      <c r="C1095" s="2">
        <v>46641</v>
      </c>
      <c r="D1095" s="1" t="s">
        <v>34</v>
      </c>
      <c r="E1095">
        <v>4010</v>
      </c>
      <c r="F1095" s="2">
        <v>46081</v>
      </c>
      <c r="G1095" s="1" t="s">
        <v>1099</v>
      </c>
      <c r="H1095" s="1" t="s">
        <v>1077</v>
      </c>
      <c r="I1095" s="1" t="s">
        <v>37</v>
      </c>
      <c r="J1095" s="1" t="s">
        <v>1078</v>
      </c>
      <c r="K1095" s="1" t="s">
        <v>39</v>
      </c>
      <c r="L1095">
        <v>24</v>
      </c>
      <c r="M1095">
        <v>41.3</v>
      </c>
      <c r="N1095">
        <v>30.2</v>
      </c>
      <c r="O1095">
        <v>26.3</v>
      </c>
      <c r="P1095">
        <v>3.2800000000000003E-2</v>
      </c>
      <c r="Q1095">
        <v>14.6</v>
      </c>
      <c r="R1095">
        <v>21.93</v>
      </c>
      <c r="S1095">
        <v>6</v>
      </c>
      <c r="T1095">
        <v>5</v>
      </c>
      <c r="U1095">
        <v>30</v>
      </c>
      <c r="V1095">
        <v>146.5</v>
      </c>
      <c r="W1095">
        <v>463</v>
      </c>
      <c r="X1095">
        <v>0.98399999999999999</v>
      </c>
      <c r="Y1095">
        <v>167.08333333333334</v>
      </c>
      <c r="Z1095">
        <v>5.4803333333333342</v>
      </c>
      <c r="AA1095">
        <v>5.5694444444444446</v>
      </c>
      <c r="AB1095">
        <v>87939.3</v>
      </c>
      <c r="AC1095">
        <v>6</v>
      </c>
      <c r="AD1095" s="1" t="s">
        <v>40</v>
      </c>
      <c r="AE1095">
        <v>6</v>
      </c>
      <c r="AF1095">
        <v>0</v>
      </c>
      <c r="AG1095">
        <v>18.421052631578949</v>
      </c>
    </row>
    <row r="1096" spans="1:33">
      <c r="A1096" s="1" t="s">
        <v>1098</v>
      </c>
      <c r="B1096" s="1" t="s">
        <v>2162</v>
      </c>
      <c r="C1096" s="2">
        <v>46313</v>
      </c>
      <c r="D1096" s="1" t="s">
        <v>34</v>
      </c>
      <c r="E1096">
        <v>1660</v>
      </c>
      <c r="F1096" s="2">
        <v>46081</v>
      </c>
      <c r="G1096" s="1" t="s">
        <v>1099</v>
      </c>
      <c r="H1096" s="1" t="s">
        <v>1077</v>
      </c>
      <c r="I1096" s="1" t="s">
        <v>37</v>
      </c>
      <c r="J1096" s="1" t="s">
        <v>1078</v>
      </c>
      <c r="K1096" s="1" t="s">
        <v>39</v>
      </c>
      <c r="L1096">
        <v>24</v>
      </c>
      <c r="M1096">
        <v>41.3</v>
      </c>
      <c r="N1096">
        <v>30.2</v>
      </c>
      <c r="O1096">
        <v>26.3</v>
      </c>
      <c r="P1096">
        <v>3.2800000000000003E-2</v>
      </c>
      <c r="Q1096">
        <v>14.6</v>
      </c>
      <c r="R1096">
        <v>21.93</v>
      </c>
      <c r="S1096">
        <v>6</v>
      </c>
      <c r="T1096">
        <v>5</v>
      </c>
      <c r="U1096">
        <v>30</v>
      </c>
      <c r="V1096">
        <v>146.5</v>
      </c>
      <c r="W1096">
        <v>463</v>
      </c>
      <c r="X1096">
        <v>0.98399999999999999</v>
      </c>
      <c r="Y1096">
        <v>69.166666666666671</v>
      </c>
      <c r="Z1096">
        <v>2.2686666666666668</v>
      </c>
      <c r="AA1096">
        <v>2.3055555555555558</v>
      </c>
      <c r="AB1096">
        <v>36403.800000000003</v>
      </c>
      <c r="AC1096">
        <v>3</v>
      </c>
      <c r="AD1096" s="1" t="s">
        <v>40</v>
      </c>
      <c r="AE1096">
        <v>3</v>
      </c>
      <c r="AF1096">
        <v>0</v>
      </c>
      <c r="AG1096">
        <v>7.6315789473684212</v>
      </c>
    </row>
    <row r="1097" spans="1:33">
      <c r="A1097" s="1" t="s">
        <v>1100</v>
      </c>
      <c r="B1097" s="1" t="s">
        <v>2163</v>
      </c>
      <c r="C1097" s="2">
        <v>47039</v>
      </c>
      <c r="D1097" s="1" t="s">
        <v>34</v>
      </c>
      <c r="E1097">
        <v>4501</v>
      </c>
      <c r="F1097" s="2">
        <v>46081</v>
      </c>
      <c r="G1097" s="1" t="s">
        <v>1101</v>
      </c>
      <c r="H1097" s="1" t="s">
        <v>1077</v>
      </c>
      <c r="I1097" s="1" t="s">
        <v>37</v>
      </c>
      <c r="J1097" s="1" t="s">
        <v>1078</v>
      </c>
      <c r="K1097" s="1" t="s">
        <v>1081</v>
      </c>
      <c r="L1097">
        <v>12</v>
      </c>
      <c r="M1097">
        <v>30.5</v>
      </c>
      <c r="N1097">
        <v>30.4</v>
      </c>
      <c r="O1097">
        <v>26</v>
      </c>
      <c r="P1097">
        <v>2.4109999999999999E-2</v>
      </c>
      <c r="Q1097">
        <v>11.28</v>
      </c>
      <c r="R1097">
        <v>21.28</v>
      </c>
      <c r="S1097">
        <v>9</v>
      </c>
      <c r="T1097">
        <v>5</v>
      </c>
      <c r="U1097">
        <v>45</v>
      </c>
      <c r="V1097">
        <v>145</v>
      </c>
      <c r="W1097">
        <v>532.59999999999991</v>
      </c>
      <c r="X1097">
        <v>1.0849500000000001</v>
      </c>
      <c r="Y1097">
        <v>375.08333333333331</v>
      </c>
      <c r="Z1097">
        <v>9.0432591666666653</v>
      </c>
      <c r="AA1097">
        <v>8.3351851851851855</v>
      </c>
      <c r="AB1097">
        <v>95781.28</v>
      </c>
      <c r="AC1097">
        <v>9</v>
      </c>
      <c r="AD1097" s="1" t="s">
        <v>40</v>
      </c>
      <c r="AE1097">
        <v>9</v>
      </c>
      <c r="AF1097">
        <v>0</v>
      </c>
      <c r="AG1097">
        <v>31.513157894736842</v>
      </c>
    </row>
    <row r="1098" spans="1:33">
      <c r="A1098" s="1" t="s">
        <v>1100</v>
      </c>
      <c r="B1098" s="1" t="s">
        <v>2164</v>
      </c>
      <c r="C1098" s="2">
        <v>46448</v>
      </c>
      <c r="D1098" s="1" t="s">
        <v>34</v>
      </c>
      <c r="E1098">
        <v>5833</v>
      </c>
      <c r="F1098" s="2">
        <v>46081</v>
      </c>
      <c r="G1098" s="1" t="s">
        <v>1101</v>
      </c>
      <c r="H1098" s="1" t="s">
        <v>1077</v>
      </c>
      <c r="I1098" s="1" t="s">
        <v>37</v>
      </c>
      <c r="J1098" s="1" t="s">
        <v>1078</v>
      </c>
      <c r="K1098" s="1" t="s">
        <v>1081</v>
      </c>
      <c r="L1098">
        <v>12</v>
      </c>
      <c r="M1098">
        <v>30.5</v>
      </c>
      <c r="N1098">
        <v>30.4</v>
      </c>
      <c r="O1098">
        <v>26</v>
      </c>
      <c r="P1098">
        <v>2.4109999999999999E-2</v>
      </c>
      <c r="Q1098">
        <v>11.28</v>
      </c>
      <c r="R1098">
        <v>21.28</v>
      </c>
      <c r="S1098">
        <v>9</v>
      </c>
      <c r="T1098">
        <v>5</v>
      </c>
      <c r="U1098">
        <v>45</v>
      </c>
      <c r="V1098">
        <v>145</v>
      </c>
      <c r="W1098">
        <v>532.59999999999991</v>
      </c>
      <c r="X1098">
        <v>1.0849500000000001</v>
      </c>
      <c r="Y1098">
        <v>486.08333333333331</v>
      </c>
      <c r="Z1098">
        <v>11.719469166666666</v>
      </c>
      <c r="AA1098">
        <v>10.801851851851852</v>
      </c>
      <c r="AB1098">
        <v>124126.24</v>
      </c>
      <c r="AC1098">
        <v>11</v>
      </c>
      <c r="AD1098" s="1" t="s">
        <v>40</v>
      </c>
      <c r="AE1098">
        <v>11</v>
      </c>
      <c r="AF1098">
        <v>0</v>
      </c>
      <c r="AG1098">
        <v>12.072368421052632</v>
      </c>
    </row>
    <row r="1099" spans="1:33">
      <c r="A1099" s="1" t="s">
        <v>1102</v>
      </c>
      <c r="B1099" s="1" t="s">
        <v>2165</v>
      </c>
      <c r="C1099" s="2">
        <v>46335</v>
      </c>
      <c r="D1099" s="1" t="s">
        <v>34</v>
      </c>
      <c r="E1099">
        <v>5160</v>
      </c>
      <c r="F1099" s="2">
        <v>46081</v>
      </c>
      <c r="G1099" s="1" t="s">
        <v>1103</v>
      </c>
      <c r="H1099" s="1" t="s">
        <v>1077</v>
      </c>
      <c r="I1099" s="1" t="s">
        <v>37</v>
      </c>
      <c r="J1099" s="1" t="s">
        <v>1078</v>
      </c>
      <c r="K1099" s="1" t="s">
        <v>39</v>
      </c>
      <c r="L1099">
        <v>12</v>
      </c>
      <c r="M1099">
        <v>33</v>
      </c>
      <c r="N1099">
        <v>30</v>
      </c>
      <c r="O1099">
        <v>28.7</v>
      </c>
      <c r="P1099">
        <v>2.8410000000000001E-2</v>
      </c>
      <c r="Q1099">
        <v>15</v>
      </c>
      <c r="R1099">
        <v>25.64</v>
      </c>
      <c r="S1099">
        <v>12</v>
      </c>
      <c r="T1099">
        <v>3</v>
      </c>
      <c r="U1099">
        <v>36</v>
      </c>
      <c r="V1099">
        <v>101.1</v>
      </c>
      <c r="W1099">
        <v>565</v>
      </c>
      <c r="X1099">
        <v>1.0227599999999999</v>
      </c>
      <c r="Y1099">
        <v>430</v>
      </c>
      <c r="Z1099">
        <v>12.2163</v>
      </c>
      <c r="AA1099">
        <v>11.944444444444445</v>
      </c>
      <c r="AB1099">
        <v>132302.39999999999</v>
      </c>
      <c r="AC1099">
        <v>12</v>
      </c>
      <c r="AD1099" s="1" t="s">
        <v>40</v>
      </c>
      <c r="AE1099">
        <v>12</v>
      </c>
      <c r="AF1099">
        <v>0</v>
      </c>
      <c r="AG1099">
        <v>8.3552631578947381</v>
      </c>
    </row>
    <row r="1100" spans="1:33">
      <c r="A1100" s="1" t="s">
        <v>1102</v>
      </c>
      <c r="B1100" s="1" t="s">
        <v>2166</v>
      </c>
      <c r="C1100" s="2">
        <v>46062</v>
      </c>
      <c r="D1100" s="1" t="s">
        <v>73</v>
      </c>
      <c r="E1100">
        <v>412</v>
      </c>
      <c r="F1100" s="2">
        <v>46081</v>
      </c>
      <c r="G1100" s="1" t="s">
        <v>1103</v>
      </c>
      <c r="H1100" s="1" t="s">
        <v>1077</v>
      </c>
      <c r="I1100" s="1" t="s">
        <v>37</v>
      </c>
      <c r="J1100" s="1" t="s">
        <v>1078</v>
      </c>
      <c r="K1100" s="1" t="s">
        <v>39</v>
      </c>
      <c r="L1100">
        <v>12</v>
      </c>
      <c r="M1100">
        <v>33</v>
      </c>
      <c r="N1100">
        <v>30</v>
      </c>
      <c r="O1100">
        <v>28.7</v>
      </c>
      <c r="P1100">
        <v>2.8410000000000001E-2</v>
      </c>
      <c r="Q1100">
        <v>15</v>
      </c>
      <c r="R1100">
        <v>25.64</v>
      </c>
      <c r="S1100">
        <v>12</v>
      </c>
      <c r="T1100">
        <v>3</v>
      </c>
      <c r="U1100">
        <v>36</v>
      </c>
      <c r="V1100">
        <v>101.1</v>
      </c>
      <c r="W1100">
        <v>565</v>
      </c>
      <c r="X1100">
        <v>1.0227599999999999</v>
      </c>
      <c r="Y1100">
        <v>34.333333333333336</v>
      </c>
      <c r="Z1100">
        <v>0.97541000000000011</v>
      </c>
      <c r="AA1100">
        <v>0.95370370370370372</v>
      </c>
      <c r="AB1100">
        <v>10563.68</v>
      </c>
      <c r="AC1100">
        <v>1</v>
      </c>
      <c r="AD1100" s="1" t="s">
        <v>74</v>
      </c>
      <c r="AE1100">
        <v>0</v>
      </c>
      <c r="AF1100">
        <v>0</v>
      </c>
      <c r="AG1100">
        <v>-0.625</v>
      </c>
    </row>
    <row r="1101" spans="1:33">
      <c r="A1101" s="1" t="s">
        <v>1104</v>
      </c>
      <c r="B1101" s="1" t="s">
        <v>2167</v>
      </c>
      <c r="C1101" s="2">
        <v>47074</v>
      </c>
      <c r="D1101" s="1" t="s">
        <v>34</v>
      </c>
      <c r="E1101">
        <v>377</v>
      </c>
      <c r="F1101" s="2">
        <v>46081</v>
      </c>
      <c r="G1101" s="1" t="s">
        <v>1105</v>
      </c>
      <c r="H1101" s="1" t="s">
        <v>1077</v>
      </c>
      <c r="I1101" s="1" t="s">
        <v>37</v>
      </c>
      <c r="J1101" s="1" t="s">
        <v>1078</v>
      </c>
      <c r="K1101" s="1" t="s">
        <v>1081</v>
      </c>
      <c r="L1101">
        <v>6</v>
      </c>
      <c r="M1101">
        <v>34.5</v>
      </c>
      <c r="N1101">
        <v>32.9</v>
      </c>
      <c r="O1101">
        <v>27.5</v>
      </c>
      <c r="P1101">
        <v>3.1210000000000002E-2</v>
      </c>
      <c r="Q1101">
        <v>16.63</v>
      </c>
      <c r="R1101">
        <v>31.67</v>
      </c>
      <c r="S1101">
        <v>9</v>
      </c>
      <c r="T1101">
        <v>2</v>
      </c>
      <c r="U1101">
        <v>18</v>
      </c>
      <c r="V1101">
        <v>70</v>
      </c>
      <c r="W1101">
        <v>324.33999999999997</v>
      </c>
      <c r="X1101">
        <v>0.56178000000000006</v>
      </c>
      <c r="Y1101">
        <v>62.833333333333336</v>
      </c>
      <c r="Z1101">
        <v>1.9610283333333336</v>
      </c>
      <c r="AA1101">
        <v>3.4907407407407409</v>
      </c>
      <c r="AB1101">
        <v>11939.59</v>
      </c>
      <c r="AC1101">
        <v>4</v>
      </c>
      <c r="AD1101" s="1" t="s">
        <v>40</v>
      </c>
      <c r="AE1101">
        <v>4</v>
      </c>
      <c r="AF1101">
        <v>0</v>
      </c>
      <c r="AG1101">
        <v>32.664473684210527</v>
      </c>
    </row>
    <row r="1102" spans="1:33">
      <c r="A1102" s="1" t="s">
        <v>1104</v>
      </c>
      <c r="B1102" s="1" t="s">
        <v>2168</v>
      </c>
      <c r="C1102" s="2">
        <v>47037</v>
      </c>
      <c r="D1102" s="1" t="s">
        <v>34</v>
      </c>
      <c r="E1102">
        <v>193</v>
      </c>
      <c r="F1102" s="2">
        <v>46081</v>
      </c>
      <c r="G1102" s="1" t="s">
        <v>1105</v>
      </c>
      <c r="H1102" s="1" t="s">
        <v>1077</v>
      </c>
      <c r="I1102" s="1" t="s">
        <v>37</v>
      </c>
      <c r="J1102" s="1" t="s">
        <v>1078</v>
      </c>
      <c r="K1102" s="1" t="s">
        <v>1081</v>
      </c>
      <c r="L1102">
        <v>6</v>
      </c>
      <c r="M1102">
        <v>34.5</v>
      </c>
      <c r="N1102">
        <v>32.9</v>
      </c>
      <c r="O1102">
        <v>27.5</v>
      </c>
      <c r="P1102">
        <v>3.1210000000000002E-2</v>
      </c>
      <c r="Q1102">
        <v>16.63</v>
      </c>
      <c r="R1102">
        <v>31.67</v>
      </c>
      <c r="S1102">
        <v>9</v>
      </c>
      <c r="T1102">
        <v>2</v>
      </c>
      <c r="U1102">
        <v>18</v>
      </c>
      <c r="V1102">
        <v>70</v>
      </c>
      <c r="W1102">
        <v>324.33999999999997</v>
      </c>
      <c r="X1102">
        <v>0.56178000000000006</v>
      </c>
      <c r="Y1102">
        <v>32.166666666666664</v>
      </c>
      <c r="Z1102">
        <v>1.0039216666666666</v>
      </c>
      <c r="AA1102">
        <v>1.787037037037037</v>
      </c>
      <c r="AB1102">
        <v>6112.31</v>
      </c>
      <c r="AC1102">
        <v>2</v>
      </c>
      <c r="AD1102" s="1" t="s">
        <v>40</v>
      </c>
      <c r="AE1102">
        <v>2</v>
      </c>
      <c r="AF1102">
        <v>0</v>
      </c>
      <c r="AG1102">
        <v>31.447368421052634</v>
      </c>
    </row>
    <row r="1103" spans="1:33">
      <c r="A1103" s="1" t="s">
        <v>1106</v>
      </c>
      <c r="B1103" s="1" t="s">
        <v>2169</v>
      </c>
      <c r="C1103" s="2">
        <v>47109</v>
      </c>
      <c r="D1103" s="1" t="s">
        <v>34</v>
      </c>
      <c r="E1103">
        <v>1660</v>
      </c>
      <c r="F1103" s="2">
        <v>46081</v>
      </c>
      <c r="G1103" s="1" t="s">
        <v>1107</v>
      </c>
      <c r="H1103" s="1" t="s">
        <v>1077</v>
      </c>
      <c r="I1103" s="1" t="s">
        <v>37</v>
      </c>
      <c r="J1103" s="1" t="s">
        <v>1078</v>
      </c>
      <c r="K1103" s="1" t="s">
        <v>39</v>
      </c>
      <c r="L1103">
        <v>24</v>
      </c>
      <c r="M1103">
        <v>35</v>
      </c>
      <c r="N1103">
        <v>28.6</v>
      </c>
      <c r="O1103">
        <v>23.2</v>
      </c>
      <c r="P1103">
        <v>2.3220000000000001E-2</v>
      </c>
      <c r="Q1103">
        <v>9.32</v>
      </c>
      <c r="R1103">
        <v>37.44</v>
      </c>
      <c r="S1103">
        <v>9</v>
      </c>
      <c r="T1103">
        <v>4</v>
      </c>
      <c r="U1103">
        <v>36</v>
      </c>
      <c r="V1103">
        <v>107.8</v>
      </c>
      <c r="W1103">
        <v>360.52</v>
      </c>
      <c r="X1103">
        <v>0.83592</v>
      </c>
      <c r="Y1103">
        <v>69.166666666666671</v>
      </c>
      <c r="Z1103">
        <v>1.6060500000000002</v>
      </c>
      <c r="AA1103">
        <v>1.9212962962962965</v>
      </c>
      <c r="AB1103">
        <v>62150.399999999994</v>
      </c>
      <c r="AC1103">
        <v>2</v>
      </c>
      <c r="AD1103" s="1" t="s">
        <v>40</v>
      </c>
      <c r="AE1103">
        <v>2</v>
      </c>
      <c r="AF1103">
        <v>0</v>
      </c>
      <c r="AG1103">
        <v>33.815789473684212</v>
      </c>
    </row>
    <row r="1104" spans="1:33">
      <c r="A1104" s="1" t="s">
        <v>1106</v>
      </c>
      <c r="B1104" s="1" t="s">
        <v>2170</v>
      </c>
      <c r="C1104" s="2">
        <v>46822</v>
      </c>
      <c r="D1104" s="1" t="s">
        <v>34</v>
      </c>
      <c r="E1104">
        <v>554</v>
      </c>
      <c r="F1104" s="2">
        <v>46081</v>
      </c>
      <c r="G1104" s="1" t="s">
        <v>1107</v>
      </c>
      <c r="H1104" s="1" t="s">
        <v>1077</v>
      </c>
      <c r="I1104" s="1" t="s">
        <v>37</v>
      </c>
      <c r="J1104" s="1" t="s">
        <v>1078</v>
      </c>
      <c r="K1104" s="1" t="s">
        <v>39</v>
      </c>
      <c r="L1104">
        <v>24</v>
      </c>
      <c r="M1104">
        <v>35</v>
      </c>
      <c r="N1104">
        <v>28.6</v>
      </c>
      <c r="O1104">
        <v>23.2</v>
      </c>
      <c r="P1104">
        <v>2.3220000000000001E-2</v>
      </c>
      <c r="Q1104">
        <v>9.32</v>
      </c>
      <c r="R1104">
        <v>37.44</v>
      </c>
      <c r="S1104">
        <v>9</v>
      </c>
      <c r="T1104">
        <v>4</v>
      </c>
      <c r="U1104">
        <v>36</v>
      </c>
      <c r="V1104">
        <v>107.8</v>
      </c>
      <c r="W1104">
        <v>360.52</v>
      </c>
      <c r="X1104">
        <v>0.83592</v>
      </c>
      <c r="Y1104">
        <v>23.083333333333332</v>
      </c>
      <c r="Z1104">
        <v>0.535995</v>
      </c>
      <c r="AA1104">
        <v>0.64120370370370372</v>
      </c>
      <c r="AB1104">
        <v>20741.759999999998</v>
      </c>
      <c r="AC1104">
        <v>1</v>
      </c>
      <c r="AD1104" s="1" t="s">
        <v>40</v>
      </c>
      <c r="AE1104">
        <v>1</v>
      </c>
      <c r="AF1104">
        <v>0</v>
      </c>
      <c r="AG1104">
        <v>24.375</v>
      </c>
    </row>
    <row r="1105" spans="1:33">
      <c r="A1105" s="1" t="s">
        <v>1106</v>
      </c>
      <c r="B1105" s="1" t="s">
        <v>2171</v>
      </c>
      <c r="C1105" s="2">
        <v>46299</v>
      </c>
      <c r="D1105" s="1" t="s">
        <v>34</v>
      </c>
      <c r="E1105">
        <v>1817</v>
      </c>
      <c r="F1105" s="2">
        <v>46081</v>
      </c>
      <c r="G1105" s="1" t="s">
        <v>1107</v>
      </c>
      <c r="H1105" s="1" t="s">
        <v>1077</v>
      </c>
      <c r="I1105" s="1" t="s">
        <v>37</v>
      </c>
      <c r="J1105" s="1" t="s">
        <v>1078</v>
      </c>
      <c r="K1105" s="1" t="s">
        <v>39</v>
      </c>
      <c r="L1105">
        <v>24</v>
      </c>
      <c r="M1105">
        <v>35</v>
      </c>
      <c r="N1105">
        <v>28.6</v>
      </c>
      <c r="O1105">
        <v>23.2</v>
      </c>
      <c r="P1105">
        <v>2.3220000000000001E-2</v>
      </c>
      <c r="Q1105">
        <v>9.32</v>
      </c>
      <c r="R1105">
        <v>37.44</v>
      </c>
      <c r="S1105">
        <v>9</v>
      </c>
      <c r="T1105">
        <v>4</v>
      </c>
      <c r="U1105">
        <v>36</v>
      </c>
      <c r="V1105">
        <v>107.8</v>
      </c>
      <c r="W1105">
        <v>360.52</v>
      </c>
      <c r="X1105">
        <v>0.83592</v>
      </c>
      <c r="Y1105">
        <v>75.708333333333329</v>
      </c>
      <c r="Z1105">
        <v>1.7579475</v>
      </c>
      <c r="AA1105">
        <v>2.1030092592592591</v>
      </c>
      <c r="AB1105">
        <v>68028.479999999996</v>
      </c>
      <c r="AC1105">
        <v>3</v>
      </c>
      <c r="AD1105" s="1" t="s">
        <v>40</v>
      </c>
      <c r="AE1105">
        <v>3</v>
      </c>
      <c r="AF1105">
        <v>0</v>
      </c>
      <c r="AG1105">
        <v>7.1710526315789478</v>
      </c>
    </row>
    <row r="1106" spans="1:33">
      <c r="A1106" s="1" t="s">
        <v>1106</v>
      </c>
      <c r="B1106" s="1" t="s">
        <v>2172</v>
      </c>
      <c r="C1106" s="2">
        <v>46406</v>
      </c>
      <c r="D1106" s="1" t="s">
        <v>45</v>
      </c>
      <c r="E1106">
        <v>80</v>
      </c>
      <c r="F1106" s="2">
        <v>46081</v>
      </c>
      <c r="G1106" s="1" t="s">
        <v>1107</v>
      </c>
      <c r="H1106" s="1" t="s">
        <v>1077</v>
      </c>
      <c r="I1106" s="1" t="s">
        <v>37</v>
      </c>
      <c r="J1106" s="1" t="s">
        <v>1078</v>
      </c>
      <c r="K1106" s="1" t="s">
        <v>39</v>
      </c>
      <c r="L1106">
        <v>24</v>
      </c>
      <c r="M1106">
        <v>35</v>
      </c>
      <c r="N1106">
        <v>28.6</v>
      </c>
      <c r="O1106">
        <v>23.2</v>
      </c>
      <c r="P1106">
        <v>2.3220000000000001E-2</v>
      </c>
      <c r="Q1106">
        <v>9.32</v>
      </c>
      <c r="R1106">
        <v>37.44</v>
      </c>
      <c r="S1106">
        <v>9</v>
      </c>
      <c r="T1106">
        <v>4</v>
      </c>
      <c r="U1106">
        <v>36</v>
      </c>
      <c r="V1106">
        <v>107.8</v>
      </c>
      <c r="W1106">
        <v>360.52</v>
      </c>
      <c r="X1106">
        <v>0.83592</v>
      </c>
      <c r="Y1106">
        <v>3.3333333333333335</v>
      </c>
      <c r="Z1106">
        <v>7.740000000000001E-2</v>
      </c>
      <c r="AA1106">
        <v>9.2592592592592601E-2</v>
      </c>
      <c r="AB1106">
        <v>2995.2</v>
      </c>
      <c r="AC1106">
        <v>1</v>
      </c>
      <c r="AD1106" s="1" t="s">
        <v>44</v>
      </c>
      <c r="AE1106">
        <v>0</v>
      </c>
      <c r="AF1106">
        <v>1</v>
      </c>
      <c r="AG1106">
        <v>10.690789473684211</v>
      </c>
    </row>
    <row r="1107" spans="1:33">
      <c r="A1107" s="1" t="s">
        <v>1108</v>
      </c>
      <c r="B1107" s="1" t="s">
        <v>2371</v>
      </c>
      <c r="C1107" s="2">
        <v>47122</v>
      </c>
      <c r="D1107" s="1" t="s">
        <v>34</v>
      </c>
      <c r="E1107">
        <v>890</v>
      </c>
      <c r="F1107" s="2">
        <v>46081</v>
      </c>
      <c r="G1107" s="1" t="s">
        <v>1109</v>
      </c>
      <c r="H1107" s="1" t="s">
        <v>1110</v>
      </c>
      <c r="I1107" s="1" t="s">
        <v>1111</v>
      </c>
      <c r="J1107" s="1" t="s">
        <v>1111</v>
      </c>
      <c r="K1107" s="1" t="s">
        <v>1081</v>
      </c>
      <c r="L1107">
        <v>10</v>
      </c>
      <c r="M1107">
        <v>46</v>
      </c>
      <c r="N1107">
        <v>43.3</v>
      </c>
      <c r="O1107">
        <v>33.700000000000003</v>
      </c>
      <c r="P1107">
        <v>6.7119999999999999E-2</v>
      </c>
      <c r="Q1107">
        <v>8.91</v>
      </c>
      <c r="R1107">
        <v>6.3</v>
      </c>
      <c r="S1107">
        <v>4</v>
      </c>
      <c r="T1107">
        <v>4</v>
      </c>
      <c r="U1107">
        <v>16</v>
      </c>
      <c r="V1107">
        <v>149.80000000000001</v>
      </c>
      <c r="W1107">
        <v>167.56</v>
      </c>
      <c r="X1107">
        <v>1.07392</v>
      </c>
      <c r="Y1107">
        <v>89</v>
      </c>
      <c r="Z1107">
        <v>5.9736799999999999</v>
      </c>
      <c r="AA1107">
        <v>5.5625</v>
      </c>
      <c r="AB1107">
        <v>5607</v>
      </c>
      <c r="AC1107">
        <v>6</v>
      </c>
      <c r="AD1107" s="1" t="s">
        <v>40</v>
      </c>
      <c r="AE1107">
        <v>6</v>
      </c>
      <c r="AF1107">
        <v>0</v>
      </c>
      <c r="AG1107">
        <v>34.243421052631582</v>
      </c>
    </row>
    <row r="1108" spans="1:33">
      <c r="A1108" s="1" t="s">
        <v>1108</v>
      </c>
      <c r="B1108" s="1" t="s">
        <v>2372</v>
      </c>
      <c r="C1108" s="2">
        <v>46598</v>
      </c>
      <c r="D1108" s="1" t="s">
        <v>34</v>
      </c>
      <c r="E1108">
        <v>609</v>
      </c>
      <c r="F1108" s="2">
        <v>46081</v>
      </c>
      <c r="G1108" s="1" t="s">
        <v>1109</v>
      </c>
      <c r="H1108" s="1" t="s">
        <v>1110</v>
      </c>
      <c r="I1108" s="1" t="s">
        <v>1111</v>
      </c>
      <c r="J1108" s="1" t="s">
        <v>1111</v>
      </c>
      <c r="K1108" s="1" t="s">
        <v>1081</v>
      </c>
      <c r="L1108">
        <v>10</v>
      </c>
      <c r="M1108">
        <v>46</v>
      </c>
      <c r="N1108">
        <v>43.3</v>
      </c>
      <c r="O1108">
        <v>33.700000000000003</v>
      </c>
      <c r="P1108">
        <v>6.7119999999999999E-2</v>
      </c>
      <c r="Q1108">
        <v>8.91</v>
      </c>
      <c r="R1108">
        <v>6.3</v>
      </c>
      <c r="S1108">
        <v>4</v>
      </c>
      <c r="T1108">
        <v>4</v>
      </c>
      <c r="U1108">
        <v>16</v>
      </c>
      <c r="V1108">
        <v>149.80000000000001</v>
      </c>
      <c r="W1108">
        <v>167.56</v>
      </c>
      <c r="X1108">
        <v>1.07392</v>
      </c>
      <c r="Y1108">
        <v>60.9</v>
      </c>
      <c r="Z1108">
        <v>4.0876079999999995</v>
      </c>
      <c r="AA1108">
        <v>3.8062499999999999</v>
      </c>
      <c r="AB1108">
        <v>3836.7</v>
      </c>
      <c r="AC1108">
        <v>4</v>
      </c>
      <c r="AD1108" s="1" t="s">
        <v>40</v>
      </c>
      <c r="AE1108">
        <v>4</v>
      </c>
      <c r="AF1108">
        <v>0</v>
      </c>
      <c r="AG1108">
        <v>17.006578947368421</v>
      </c>
    </row>
    <row r="1109" spans="1:33">
      <c r="A1109" s="1" t="s">
        <v>1108</v>
      </c>
      <c r="B1109" s="1" t="s">
        <v>2373</v>
      </c>
      <c r="C1109" s="2">
        <v>46714</v>
      </c>
      <c r="D1109" s="1" t="s">
        <v>45</v>
      </c>
      <c r="E1109">
        <v>30</v>
      </c>
      <c r="F1109" s="2">
        <v>46081</v>
      </c>
      <c r="G1109" s="1" t="s">
        <v>1109</v>
      </c>
      <c r="H1109" s="1" t="s">
        <v>1110</v>
      </c>
      <c r="I1109" s="1" t="s">
        <v>1111</v>
      </c>
      <c r="J1109" s="1" t="s">
        <v>1111</v>
      </c>
      <c r="K1109" s="1" t="s">
        <v>1081</v>
      </c>
      <c r="L1109">
        <v>10</v>
      </c>
      <c r="M1109">
        <v>46</v>
      </c>
      <c r="N1109">
        <v>43.3</v>
      </c>
      <c r="O1109">
        <v>33.700000000000003</v>
      </c>
      <c r="P1109">
        <v>6.7119999999999999E-2</v>
      </c>
      <c r="Q1109">
        <v>8.91</v>
      </c>
      <c r="R1109">
        <v>6.3</v>
      </c>
      <c r="S1109">
        <v>4</v>
      </c>
      <c r="T1109">
        <v>4</v>
      </c>
      <c r="U1109">
        <v>16</v>
      </c>
      <c r="V1109">
        <v>149.80000000000001</v>
      </c>
      <c r="W1109">
        <v>167.56</v>
      </c>
      <c r="X1109">
        <v>1.07392</v>
      </c>
      <c r="Y1109">
        <v>3</v>
      </c>
      <c r="Z1109">
        <v>0.20135999999999998</v>
      </c>
      <c r="AA1109">
        <v>0.1875</v>
      </c>
      <c r="AB1109">
        <v>189</v>
      </c>
      <c r="AC1109">
        <v>1</v>
      </c>
      <c r="AD1109" s="1" t="s">
        <v>44</v>
      </c>
      <c r="AE1109">
        <v>0</v>
      </c>
      <c r="AF1109">
        <v>1</v>
      </c>
      <c r="AG1109">
        <v>20.822368421052634</v>
      </c>
    </row>
    <row r="1110" spans="1:33">
      <c r="A1110" s="1" t="s">
        <v>1112</v>
      </c>
      <c r="B1110" s="1" t="s">
        <v>2374</v>
      </c>
      <c r="C1110" s="2">
        <v>46687</v>
      </c>
      <c r="D1110" s="1" t="s">
        <v>34</v>
      </c>
      <c r="E1110">
        <v>290</v>
      </c>
      <c r="F1110" s="2">
        <v>46081</v>
      </c>
      <c r="G1110" s="1" t="s">
        <v>1113</v>
      </c>
      <c r="H1110" s="1" t="s">
        <v>1110</v>
      </c>
      <c r="I1110" s="1" t="s">
        <v>1111</v>
      </c>
      <c r="J1110" s="1" t="s">
        <v>1111</v>
      </c>
      <c r="K1110" s="1" t="s">
        <v>1081</v>
      </c>
      <c r="L1110">
        <v>50</v>
      </c>
      <c r="M1110">
        <v>40.700000000000003</v>
      </c>
      <c r="N1110">
        <v>43.5</v>
      </c>
      <c r="O1110">
        <v>28.6</v>
      </c>
      <c r="P1110">
        <v>5.0630000000000001E-2</v>
      </c>
      <c r="Q1110">
        <v>8.27</v>
      </c>
      <c r="R1110">
        <v>2.17</v>
      </c>
      <c r="S1110">
        <v>4</v>
      </c>
      <c r="T1110">
        <v>5</v>
      </c>
      <c r="U1110">
        <v>20</v>
      </c>
      <c r="V1110">
        <v>158</v>
      </c>
      <c r="W1110">
        <v>190.4</v>
      </c>
      <c r="X1110">
        <v>1.0125999999999999</v>
      </c>
      <c r="Y1110">
        <v>5.8</v>
      </c>
      <c r="Z1110">
        <v>0.29365400000000003</v>
      </c>
      <c r="AA1110">
        <v>0.28999999999999998</v>
      </c>
      <c r="AB1110">
        <v>629.29999999999995</v>
      </c>
      <c r="AC1110">
        <v>1</v>
      </c>
      <c r="AD1110" s="1" t="s">
        <v>40</v>
      </c>
      <c r="AE1110">
        <v>1</v>
      </c>
      <c r="AF1110">
        <v>0</v>
      </c>
      <c r="AG1110">
        <v>19.934210526315791</v>
      </c>
    </row>
    <row r="1111" spans="1:33">
      <c r="A1111" s="1" t="s">
        <v>1114</v>
      </c>
      <c r="B1111" s="1" t="s">
        <v>2375</v>
      </c>
      <c r="C1111" s="2">
        <v>46340</v>
      </c>
      <c r="D1111" s="1" t="s">
        <v>34</v>
      </c>
      <c r="E1111">
        <v>590</v>
      </c>
      <c r="F1111" s="2">
        <v>46081</v>
      </c>
      <c r="G1111" s="1" t="s">
        <v>1115</v>
      </c>
      <c r="H1111" s="1" t="s">
        <v>1110</v>
      </c>
      <c r="I1111" s="1" t="s">
        <v>1111</v>
      </c>
      <c r="J1111" s="1" t="s">
        <v>1111</v>
      </c>
      <c r="K1111" s="1" t="s">
        <v>1081</v>
      </c>
      <c r="L1111">
        <v>50</v>
      </c>
      <c r="M1111">
        <v>57</v>
      </c>
      <c r="N1111">
        <v>39.799999999999997</v>
      </c>
      <c r="O1111">
        <v>43.9</v>
      </c>
      <c r="P1111">
        <v>9.9589999999999998E-2</v>
      </c>
      <c r="Q1111">
        <v>8.11</v>
      </c>
      <c r="R1111">
        <v>1.79</v>
      </c>
      <c r="S1111">
        <v>4</v>
      </c>
      <c r="T1111">
        <v>2</v>
      </c>
      <c r="U1111">
        <v>8</v>
      </c>
      <c r="V1111">
        <v>102.8</v>
      </c>
      <c r="W1111">
        <v>89.88</v>
      </c>
      <c r="X1111">
        <v>0.79671999999999998</v>
      </c>
      <c r="Y1111">
        <v>11.8</v>
      </c>
      <c r="Z1111">
        <v>1.175162</v>
      </c>
      <c r="AA1111">
        <v>1.4750000000000001</v>
      </c>
      <c r="AB1111">
        <v>1056.0999999999999</v>
      </c>
      <c r="AC1111">
        <v>2</v>
      </c>
      <c r="AD1111" s="1" t="s">
        <v>40</v>
      </c>
      <c r="AE1111">
        <v>2</v>
      </c>
      <c r="AF1111">
        <v>0</v>
      </c>
      <c r="AG1111">
        <v>8.5197368421052637</v>
      </c>
    </row>
    <row r="1112" spans="1:33">
      <c r="A1112" s="1" t="s">
        <v>1114</v>
      </c>
      <c r="B1112" s="1" t="s">
        <v>2376</v>
      </c>
      <c r="C1112" s="2">
        <v>46453</v>
      </c>
      <c r="D1112" s="1" t="s">
        <v>34</v>
      </c>
      <c r="E1112">
        <v>377</v>
      </c>
      <c r="F1112" s="2">
        <v>46081</v>
      </c>
      <c r="G1112" s="1" t="s">
        <v>1115</v>
      </c>
      <c r="H1112" s="1" t="s">
        <v>1110</v>
      </c>
      <c r="I1112" s="1" t="s">
        <v>1111</v>
      </c>
      <c r="J1112" s="1" t="s">
        <v>1111</v>
      </c>
      <c r="K1112" s="1" t="s">
        <v>1081</v>
      </c>
      <c r="L1112">
        <v>50</v>
      </c>
      <c r="M1112">
        <v>57</v>
      </c>
      <c r="N1112">
        <v>39.799999999999997</v>
      </c>
      <c r="O1112">
        <v>43.9</v>
      </c>
      <c r="P1112">
        <v>9.9589999999999998E-2</v>
      </c>
      <c r="Q1112">
        <v>8.11</v>
      </c>
      <c r="R1112">
        <v>1.79</v>
      </c>
      <c r="S1112">
        <v>4</v>
      </c>
      <c r="T1112">
        <v>2</v>
      </c>
      <c r="U1112">
        <v>8</v>
      </c>
      <c r="V1112">
        <v>102.8</v>
      </c>
      <c r="W1112">
        <v>89.88</v>
      </c>
      <c r="X1112">
        <v>0.79671999999999998</v>
      </c>
      <c r="Y1112">
        <v>7.54</v>
      </c>
      <c r="Z1112">
        <v>0.75090860000000004</v>
      </c>
      <c r="AA1112">
        <v>0.9425</v>
      </c>
      <c r="AB1112">
        <v>674.83</v>
      </c>
      <c r="AC1112">
        <v>1</v>
      </c>
      <c r="AD1112" s="1" t="s">
        <v>40</v>
      </c>
      <c r="AE1112">
        <v>1</v>
      </c>
      <c r="AF1112">
        <v>0</v>
      </c>
      <c r="AG1112">
        <v>12.236842105263159</v>
      </c>
    </row>
    <row r="1113" spans="1:33">
      <c r="A1113" s="1" t="s">
        <v>1116</v>
      </c>
      <c r="B1113" s="1" t="s">
        <v>2377</v>
      </c>
      <c r="C1113" s="2">
        <v>46692</v>
      </c>
      <c r="D1113" s="1" t="s">
        <v>34</v>
      </c>
      <c r="E1113">
        <v>2027</v>
      </c>
      <c r="F1113" s="2">
        <v>46081</v>
      </c>
      <c r="G1113" s="1" t="s">
        <v>1117</v>
      </c>
      <c r="H1113" s="1" t="s">
        <v>1110</v>
      </c>
      <c r="I1113" s="1" t="s">
        <v>1111</v>
      </c>
      <c r="J1113" s="1" t="s">
        <v>1111</v>
      </c>
      <c r="K1113" s="1" t="s">
        <v>1081</v>
      </c>
      <c r="L1113">
        <v>10</v>
      </c>
      <c r="M1113">
        <v>44.1</v>
      </c>
      <c r="N1113">
        <v>30.3</v>
      </c>
      <c r="O1113">
        <v>36.299999999999997</v>
      </c>
      <c r="P1113">
        <v>4.8509999999999998E-2</v>
      </c>
      <c r="Q1113">
        <v>5.7</v>
      </c>
      <c r="R1113">
        <v>6.99</v>
      </c>
      <c r="S1113">
        <v>6</v>
      </c>
      <c r="T1113">
        <v>3</v>
      </c>
      <c r="U1113">
        <v>18</v>
      </c>
      <c r="V1113">
        <v>123.9</v>
      </c>
      <c r="W1113">
        <v>127.6</v>
      </c>
      <c r="X1113">
        <v>0.87317999999999996</v>
      </c>
      <c r="Y1113">
        <v>202.7</v>
      </c>
      <c r="Z1113">
        <v>9.8329769999999996</v>
      </c>
      <c r="AA1113">
        <v>11.261111111111111</v>
      </c>
      <c r="AB1113">
        <v>14168.73</v>
      </c>
      <c r="AC1113">
        <v>12</v>
      </c>
      <c r="AD1113" s="1" t="s">
        <v>40</v>
      </c>
      <c r="AE1113">
        <v>12</v>
      </c>
      <c r="AF1113">
        <v>0</v>
      </c>
      <c r="AG1113">
        <v>20.098684210526315</v>
      </c>
    </row>
    <row r="1114" spans="1:33">
      <c r="A1114" s="1" t="s">
        <v>1118</v>
      </c>
      <c r="B1114" s="1" t="s">
        <v>2378</v>
      </c>
      <c r="C1114" s="2">
        <v>46682</v>
      </c>
      <c r="D1114" s="1" t="s">
        <v>34</v>
      </c>
      <c r="E1114">
        <v>74</v>
      </c>
      <c r="F1114" s="2">
        <v>46081</v>
      </c>
      <c r="G1114" s="1" t="s">
        <v>1119</v>
      </c>
      <c r="H1114" s="1" t="s">
        <v>1110</v>
      </c>
      <c r="I1114" s="1" t="s">
        <v>1111</v>
      </c>
      <c r="J1114" s="1" t="s">
        <v>1111</v>
      </c>
      <c r="K1114" s="1" t="s">
        <v>1081</v>
      </c>
      <c r="L1114">
        <v>20</v>
      </c>
      <c r="M1114">
        <v>44.1</v>
      </c>
      <c r="N1114">
        <v>36.9</v>
      </c>
      <c r="O1114">
        <v>33.299999999999997</v>
      </c>
      <c r="P1114">
        <v>5.4190000000000002E-2</v>
      </c>
      <c r="Q1114">
        <v>8.1300000000000008</v>
      </c>
      <c r="R1114">
        <v>7.3</v>
      </c>
      <c r="S1114">
        <v>4</v>
      </c>
      <c r="T1114">
        <v>4</v>
      </c>
      <c r="U1114">
        <v>16</v>
      </c>
      <c r="V1114">
        <v>148.19999999999999</v>
      </c>
      <c r="W1114">
        <v>155.08000000000001</v>
      </c>
      <c r="X1114">
        <v>0.86704000000000003</v>
      </c>
      <c r="Y1114">
        <v>3.7</v>
      </c>
      <c r="Z1114">
        <v>0.20050300000000001</v>
      </c>
      <c r="AA1114">
        <v>0.23125000000000001</v>
      </c>
      <c r="AB1114">
        <v>540.19999999999993</v>
      </c>
      <c r="AC1114">
        <v>1</v>
      </c>
      <c r="AD1114" s="1" t="s">
        <v>44</v>
      </c>
      <c r="AE1114">
        <v>0</v>
      </c>
      <c r="AF1114">
        <v>1</v>
      </c>
      <c r="AG1114">
        <v>19.769736842105264</v>
      </c>
    </row>
    <row r="1115" spans="1:33">
      <c r="A1115" s="1" t="s">
        <v>1118</v>
      </c>
      <c r="B1115" s="1" t="s">
        <v>2379</v>
      </c>
      <c r="C1115" s="2">
        <v>47014</v>
      </c>
      <c r="D1115" s="1" t="s">
        <v>34</v>
      </c>
      <c r="E1115">
        <v>754</v>
      </c>
      <c r="F1115" s="2">
        <v>46081</v>
      </c>
      <c r="G1115" s="1" t="s">
        <v>1119</v>
      </c>
      <c r="H1115" s="1" t="s">
        <v>1110</v>
      </c>
      <c r="I1115" s="1" t="s">
        <v>1111</v>
      </c>
      <c r="J1115" s="1" t="s">
        <v>1111</v>
      </c>
      <c r="K1115" s="1" t="s">
        <v>1081</v>
      </c>
      <c r="L1115">
        <v>20</v>
      </c>
      <c r="M1115">
        <v>44.1</v>
      </c>
      <c r="N1115">
        <v>36.9</v>
      </c>
      <c r="O1115">
        <v>33.299999999999997</v>
      </c>
      <c r="P1115">
        <v>5.4190000000000002E-2</v>
      </c>
      <c r="Q1115">
        <v>8.1300000000000008</v>
      </c>
      <c r="R1115">
        <v>7.3</v>
      </c>
      <c r="S1115">
        <v>4</v>
      </c>
      <c r="T1115">
        <v>4</v>
      </c>
      <c r="U1115">
        <v>16</v>
      </c>
      <c r="V1115">
        <v>148.19999999999999</v>
      </c>
      <c r="W1115">
        <v>155.08000000000001</v>
      </c>
      <c r="X1115">
        <v>0.86704000000000003</v>
      </c>
      <c r="Y1115">
        <v>37.700000000000003</v>
      </c>
      <c r="Z1115">
        <v>2.0429630000000003</v>
      </c>
      <c r="AA1115">
        <v>2.3562500000000002</v>
      </c>
      <c r="AB1115">
        <v>5504.2</v>
      </c>
      <c r="AC1115">
        <v>3</v>
      </c>
      <c r="AD1115" s="1" t="s">
        <v>40</v>
      </c>
      <c r="AE1115">
        <v>3</v>
      </c>
      <c r="AF1115">
        <v>0</v>
      </c>
      <c r="AG1115">
        <v>30.690789473684212</v>
      </c>
    </row>
    <row r="1116" spans="1:33">
      <c r="A1116" s="1" t="s">
        <v>1120</v>
      </c>
      <c r="B1116" s="1" t="s">
        <v>2380</v>
      </c>
      <c r="C1116" s="2">
        <v>46886</v>
      </c>
      <c r="D1116" s="1" t="s">
        <v>34</v>
      </c>
      <c r="E1116">
        <v>9289</v>
      </c>
      <c r="F1116" s="2">
        <v>46081</v>
      </c>
      <c r="G1116" s="1" t="s">
        <v>1121</v>
      </c>
      <c r="H1116" s="1" t="s">
        <v>1110</v>
      </c>
      <c r="I1116" s="1" t="s">
        <v>1111</v>
      </c>
      <c r="J1116" s="1" t="s">
        <v>1111</v>
      </c>
      <c r="K1116" s="1" t="s">
        <v>1081</v>
      </c>
      <c r="L1116">
        <v>100</v>
      </c>
      <c r="M1116">
        <v>47</v>
      </c>
      <c r="N1116">
        <v>31.3</v>
      </c>
      <c r="O1116">
        <v>42.3</v>
      </c>
      <c r="P1116">
        <v>6.2230000000000001E-2</v>
      </c>
      <c r="Q1116">
        <v>9.9700000000000006</v>
      </c>
      <c r="R1116">
        <v>6.94</v>
      </c>
      <c r="S1116">
        <v>6</v>
      </c>
      <c r="T1116">
        <v>3</v>
      </c>
      <c r="U1116">
        <v>18</v>
      </c>
      <c r="V1116">
        <v>141.89999999999998</v>
      </c>
      <c r="W1116">
        <v>204.46</v>
      </c>
      <c r="X1116">
        <v>1.1201399999999999</v>
      </c>
      <c r="Y1116">
        <v>92.89</v>
      </c>
      <c r="Z1116">
        <v>5.7805447000000001</v>
      </c>
      <c r="AA1116">
        <v>5.1605555555555558</v>
      </c>
      <c r="AB1116">
        <v>64465.66</v>
      </c>
      <c r="AC1116">
        <v>6</v>
      </c>
      <c r="AD1116" s="1" t="s">
        <v>40</v>
      </c>
      <c r="AE1116">
        <v>6</v>
      </c>
      <c r="AF1116">
        <v>0</v>
      </c>
      <c r="AG1116">
        <v>26.48026315789474</v>
      </c>
    </row>
    <row r="1117" spans="1:33">
      <c r="A1117" s="1" t="s">
        <v>1122</v>
      </c>
      <c r="B1117" s="1" t="s">
        <v>2381</v>
      </c>
      <c r="C1117" s="2">
        <v>46520</v>
      </c>
      <c r="D1117" s="1" t="s">
        <v>34</v>
      </c>
      <c r="E1117">
        <v>331</v>
      </c>
      <c r="F1117" s="2">
        <v>46081</v>
      </c>
      <c r="G1117" s="1" t="s">
        <v>1123</v>
      </c>
      <c r="H1117" s="1" t="s">
        <v>1110</v>
      </c>
      <c r="I1117" s="1" t="s">
        <v>1111</v>
      </c>
      <c r="J1117" s="1" t="s">
        <v>1111</v>
      </c>
      <c r="K1117" s="1" t="s">
        <v>1081</v>
      </c>
      <c r="L1117">
        <v>20</v>
      </c>
      <c r="M1117">
        <v>57</v>
      </c>
      <c r="N1117">
        <v>36.1</v>
      </c>
      <c r="O1117">
        <v>29.5</v>
      </c>
      <c r="P1117">
        <v>6.0699999999999997E-2</v>
      </c>
      <c r="Q1117">
        <v>7.39</v>
      </c>
      <c r="R1117">
        <v>3.93</v>
      </c>
      <c r="S1117">
        <v>4</v>
      </c>
      <c r="T1117">
        <v>3</v>
      </c>
      <c r="U1117">
        <v>12</v>
      </c>
      <c r="V1117">
        <v>103.5</v>
      </c>
      <c r="W1117">
        <v>113.68</v>
      </c>
      <c r="X1117">
        <v>0.72839999999999994</v>
      </c>
      <c r="Y1117">
        <v>16.55</v>
      </c>
      <c r="Z1117">
        <v>1.0045850000000001</v>
      </c>
      <c r="AA1117">
        <v>1.3791666666666667</v>
      </c>
      <c r="AB1117">
        <v>1300.8300000000002</v>
      </c>
      <c r="AC1117">
        <v>2</v>
      </c>
      <c r="AD1117" s="1" t="s">
        <v>40</v>
      </c>
      <c r="AE1117">
        <v>2</v>
      </c>
      <c r="AF1117">
        <v>0</v>
      </c>
      <c r="AG1117">
        <v>14.440789473684211</v>
      </c>
    </row>
    <row r="1118" spans="1:33">
      <c r="A1118" s="1" t="s">
        <v>1122</v>
      </c>
      <c r="B1118" s="1" t="s">
        <v>2382</v>
      </c>
      <c r="C1118" s="2">
        <v>46880</v>
      </c>
      <c r="D1118" s="1" t="s">
        <v>34</v>
      </c>
      <c r="E1118">
        <v>503</v>
      </c>
      <c r="F1118" s="2">
        <v>46081</v>
      </c>
      <c r="G1118" s="1" t="s">
        <v>1123</v>
      </c>
      <c r="H1118" s="1" t="s">
        <v>1110</v>
      </c>
      <c r="I1118" s="1" t="s">
        <v>1111</v>
      </c>
      <c r="J1118" s="1" t="s">
        <v>1111</v>
      </c>
      <c r="K1118" s="1" t="s">
        <v>1081</v>
      </c>
      <c r="L1118">
        <v>20</v>
      </c>
      <c r="M1118">
        <v>57</v>
      </c>
      <c r="N1118">
        <v>36.1</v>
      </c>
      <c r="O1118">
        <v>29.5</v>
      </c>
      <c r="P1118">
        <v>6.0699999999999997E-2</v>
      </c>
      <c r="Q1118">
        <v>7.39</v>
      </c>
      <c r="R1118">
        <v>3.93</v>
      </c>
      <c r="S1118">
        <v>4</v>
      </c>
      <c r="T1118">
        <v>3</v>
      </c>
      <c r="U1118">
        <v>12</v>
      </c>
      <c r="V1118">
        <v>103.5</v>
      </c>
      <c r="W1118">
        <v>113.68</v>
      </c>
      <c r="X1118">
        <v>0.72839999999999994</v>
      </c>
      <c r="Y1118">
        <v>25.15</v>
      </c>
      <c r="Z1118">
        <v>1.5266049999999998</v>
      </c>
      <c r="AA1118">
        <v>2.0958333333333332</v>
      </c>
      <c r="AB1118">
        <v>1976.7900000000002</v>
      </c>
      <c r="AC1118">
        <v>3</v>
      </c>
      <c r="AD1118" s="1" t="s">
        <v>40</v>
      </c>
      <c r="AE1118">
        <v>3</v>
      </c>
      <c r="AF1118">
        <v>0</v>
      </c>
      <c r="AG1118">
        <v>26.282894736842106</v>
      </c>
    </row>
    <row r="1119" spans="1:33">
      <c r="A1119" s="1" t="s">
        <v>1122</v>
      </c>
      <c r="B1119" s="1" t="s">
        <v>2383</v>
      </c>
      <c r="C1119" s="2">
        <v>47030</v>
      </c>
      <c r="D1119" s="1" t="s">
        <v>34</v>
      </c>
      <c r="E1119">
        <v>620</v>
      </c>
      <c r="F1119" s="2">
        <v>46081</v>
      </c>
      <c r="G1119" s="1" t="s">
        <v>1123</v>
      </c>
      <c r="H1119" s="1" t="s">
        <v>1110</v>
      </c>
      <c r="I1119" s="1" t="s">
        <v>1111</v>
      </c>
      <c r="J1119" s="1" t="s">
        <v>1111</v>
      </c>
      <c r="K1119" s="1" t="s">
        <v>1081</v>
      </c>
      <c r="L1119">
        <v>20</v>
      </c>
      <c r="M1119">
        <v>57</v>
      </c>
      <c r="N1119">
        <v>36.1</v>
      </c>
      <c r="O1119">
        <v>29.5</v>
      </c>
      <c r="P1119">
        <v>6.0699999999999997E-2</v>
      </c>
      <c r="Q1119">
        <v>7.39</v>
      </c>
      <c r="R1119">
        <v>3.93</v>
      </c>
      <c r="S1119">
        <v>4</v>
      </c>
      <c r="T1119">
        <v>3</v>
      </c>
      <c r="U1119">
        <v>12</v>
      </c>
      <c r="V1119">
        <v>103.5</v>
      </c>
      <c r="W1119">
        <v>113.68</v>
      </c>
      <c r="X1119">
        <v>0.72839999999999994</v>
      </c>
      <c r="Y1119">
        <v>31</v>
      </c>
      <c r="Z1119">
        <v>1.8816999999999999</v>
      </c>
      <c r="AA1119">
        <v>2.5833333333333335</v>
      </c>
      <c r="AB1119">
        <v>2436.6</v>
      </c>
      <c r="AC1119">
        <v>3</v>
      </c>
      <c r="AD1119" s="1" t="s">
        <v>40</v>
      </c>
      <c r="AE1119">
        <v>3</v>
      </c>
      <c r="AF1119">
        <v>0</v>
      </c>
      <c r="AG1119">
        <v>31.217105263157897</v>
      </c>
    </row>
    <row r="1120" spans="1:33">
      <c r="A1120" s="1" t="s">
        <v>1124</v>
      </c>
      <c r="B1120" s="1" t="s">
        <v>2384</v>
      </c>
      <c r="C1120" s="2">
        <v>46320</v>
      </c>
      <c r="D1120" s="1" t="s">
        <v>34</v>
      </c>
      <c r="E1120">
        <v>8130</v>
      </c>
      <c r="F1120" s="2">
        <v>46081</v>
      </c>
      <c r="G1120" s="1" t="s">
        <v>1125</v>
      </c>
      <c r="H1120" s="1" t="s">
        <v>1110</v>
      </c>
      <c r="I1120" s="1" t="s">
        <v>1111</v>
      </c>
      <c r="J1120" s="1" t="s">
        <v>1111</v>
      </c>
      <c r="K1120" s="1" t="s">
        <v>1081</v>
      </c>
      <c r="L1120">
        <v>50</v>
      </c>
      <c r="M1120">
        <v>40.700000000000003</v>
      </c>
      <c r="N1120">
        <v>32.6</v>
      </c>
      <c r="O1120">
        <v>37.9</v>
      </c>
      <c r="P1120">
        <v>5.0290000000000001E-2</v>
      </c>
      <c r="Q1120">
        <v>4.08</v>
      </c>
      <c r="R1120">
        <v>0.54</v>
      </c>
      <c r="S1120">
        <v>5</v>
      </c>
      <c r="T1120">
        <v>2</v>
      </c>
      <c r="U1120">
        <v>10</v>
      </c>
      <c r="V1120">
        <v>90.8</v>
      </c>
      <c r="W1120">
        <v>65.8</v>
      </c>
      <c r="X1120">
        <v>0.50290000000000001</v>
      </c>
      <c r="Y1120">
        <v>162.6</v>
      </c>
      <c r="Z1120">
        <v>8.1771539999999998</v>
      </c>
      <c r="AA1120">
        <v>16.259999999999998</v>
      </c>
      <c r="AB1120">
        <v>4390.2000000000007</v>
      </c>
      <c r="AC1120">
        <v>17</v>
      </c>
      <c r="AD1120" s="1" t="s">
        <v>40</v>
      </c>
      <c r="AE1120">
        <v>17</v>
      </c>
      <c r="AF1120">
        <v>0</v>
      </c>
      <c r="AG1120">
        <v>7.8618421052631584</v>
      </c>
    </row>
    <row r="1121" spans="1:33">
      <c r="A1121" s="1" t="s">
        <v>1126</v>
      </c>
      <c r="B1121" s="1" t="s">
        <v>2385</v>
      </c>
      <c r="C1121" s="2">
        <v>46517</v>
      </c>
      <c r="D1121" s="1" t="s">
        <v>34</v>
      </c>
      <c r="E1121">
        <v>5252</v>
      </c>
      <c r="F1121" s="2">
        <v>46081</v>
      </c>
      <c r="G1121" s="1" t="s">
        <v>1127</v>
      </c>
      <c r="H1121" s="1" t="s">
        <v>1110</v>
      </c>
      <c r="I1121" s="1" t="s">
        <v>1111</v>
      </c>
      <c r="J1121" s="1" t="s">
        <v>1111</v>
      </c>
      <c r="K1121" s="1" t="s">
        <v>1081</v>
      </c>
      <c r="L1121">
        <v>100</v>
      </c>
      <c r="M1121">
        <v>45</v>
      </c>
      <c r="N1121">
        <v>31.7</v>
      </c>
      <c r="O1121">
        <v>33.1</v>
      </c>
      <c r="P1121">
        <v>4.7219999999999998E-2</v>
      </c>
      <c r="Q1121">
        <v>3.35</v>
      </c>
      <c r="R1121">
        <v>0.67</v>
      </c>
      <c r="S1121">
        <v>6</v>
      </c>
      <c r="T1121">
        <v>3</v>
      </c>
      <c r="U1121">
        <v>18</v>
      </c>
      <c r="V1121">
        <v>114.3</v>
      </c>
      <c r="W1121">
        <v>85.300000000000011</v>
      </c>
      <c r="X1121">
        <v>0.84995999999999994</v>
      </c>
      <c r="Y1121">
        <v>52.52</v>
      </c>
      <c r="Z1121">
        <v>2.4799944000000003</v>
      </c>
      <c r="AA1121">
        <v>2.9177777777777778</v>
      </c>
      <c r="AB1121">
        <v>3518.84</v>
      </c>
      <c r="AC1121">
        <v>3</v>
      </c>
      <c r="AD1121" s="1" t="s">
        <v>40</v>
      </c>
      <c r="AE1121">
        <v>3</v>
      </c>
      <c r="AF1121">
        <v>0</v>
      </c>
      <c r="AG1121">
        <v>14.342105263157896</v>
      </c>
    </row>
    <row r="1122" spans="1:33">
      <c r="A1122" s="1" t="s">
        <v>1128</v>
      </c>
      <c r="B1122" s="1" t="s">
        <v>2386</v>
      </c>
      <c r="C1122" s="2">
        <v>46725</v>
      </c>
      <c r="D1122" s="1" t="s">
        <v>34</v>
      </c>
      <c r="E1122">
        <v>8816</v>
      </c>
      <c r="F1122" s="2">
        <v>46081</v>
      </c>
      <c r="G1122" s="1" t="s">
        <v>1129</v>
      </c>
      <c r="H1122" s="1" t="s">
        <v>1110</v>
      </c>
      <c r="I1122" s="1" t="s">
        <v>1111</v>
      </c>
      <c r="J1122" s="1" t="s">
        <v>1111</v>
      </c>
      <c r="K1122" s="1" t="s">
        <v>1081</v>
      </c>
      <c r="L1122">
        <v>100</v>
      </c>
      <c r="M1122">
        <v>61.6</v>
      </c>
      <c r="N1122">
        <v>32.6</v>
      </c>
      <c r="O1122">
        <v>27.3</v>
      </c>
      <c r="P1122">
        <v>5.4820000000000001E-2</v>
      </c>
      <c r="Q1122">
        <v>4</v>
      </c>
      <c r="R1122">
        <v>5.77</v>
      </c>
      <c r="S1122">
        <v>3</v>
      </c>
      <c r="T1122">
        <v>5</v>
      </c>
      <c r="U1122">
        <v>15</v>
      </c>
      <c r="V1122">
        <v>151.5</v>
      </c>
      <c r="W1122">
        <v>85</v>
      </c>
      <c r="X1122">
        <v>0.82230000000000003</v>
      </c>
      <c r="Y1122">
        <v>88.16</v>
      </c>
      <c r="Z1122">
        <v>4.8329312</v>
      </c>
      <c r="AA1122">
        <v>5.8773333333333335</v>
      </c>
      <c r="AB1122">
        <v>50868.32</v>
      </c>
      <c r="AC1122">
        <v>6</v>
      </c>
      <c r="AD1122" s="1" t="s">
        <v>40</v>
      </c>
      <c r="AE1122">
        <v>6</v>
      </c>
      <c r="AF1122">
        <v>0</v>
      </c>
      <c r="AG1122">
        <v>21.184210526315791</v>
      </c>
    </row>
    <row r="1123" spans="1:33">
      <c r="A1123" s="1" t="s">
        <v>1128</v>
      </c>
      <c r="B1123" s="1" t="s">
        <v>2387</v>
      </c>
      <c r="C1123" s="2">
        <v>46607</v>
      </c>
      <c r="D1123" s="1" t="s">
        <v>34</v>
      </c>
      <c r="E1123">
        <v>3198</v>
      </c>
      <c r="F1123" s="2">
        <v>46081</v>
      </c>
      <c r="G1123" s="1" t="s">
        <v>1129</v>
      </c>
      <c r="H1123" s="1" t="s">
        <v>1110</v>
      </c>
      <c r="I1123" s="1" t="s">
        <v>1111</v>
      </c>
      <c r="J1123" s="1" t="s">
        <v>1111</v>
      </c>
      <c r="K1123" s="1" t="s">
        <v>1081</v>
      </c>
      <c r="L1123">
        <v>100</v>
      </c>
      <c r="M1123">
        <v>61.6</v>
      </c>
      <c r="N1123">
        <v>32.6</v>
      </c>
      <c r="O1123">
        <v>27.3</v>
      </c>
      <c r="P1123">
        <v>5.4820000000000001E-2</v>
      </c>
      <c r="Q1123">
        <v>4</v>
      </c>
      <c r="R1123">
        <v>5.77</v>
      </c>
      <c r="S1123">
        <v>3</v>
      </c>
      <c r="T1123">
        <v>5</v>
      </c>
      <c r="U1123">
        <v>15</v>
      </c>
      <c r="V1123">
        <v>151.5</v>
      </c>
      <c r="W1123">
        <v>85</v>
      </c>
      <c r="X1123">
        <v>0.82230000000000003</v>
      </c>
      <c r="Y1123">
        <v>31.98</v>
      </c>
      <c r="Z1123">
        <v>1.7531436</v>
      </c>
      <c r="AA1123">
        <v>2.1320000000000001</v>
      </c>
      <c r="AB1123">
        <v>18452.46</v>
      </c>
      <c r="AC1123">
        <v>3</v>
      </c>
      <c r="AD1123" s="1" t="s">
        <v>40</v>
      </c>
      <c r="AE1123">
        <v>3</v>
      </c>
      <c r="AF1123">
        <v>0</v>
      </c>
      <c r="AG1123">
        <v>17.30263157894737</v>
      </c>
    </row>
    <row r="1124" spans="1:33">
      <c r="A1124" s="1" t="s">
        <v>1130</v>
      </c>
      <c r="B1124" s="1" t="s">
        <v>2388</v>
      </c>
      <c r="C1124" s="2">
        <v>46179</v>
      </c>
      <c r="D1124" s="1" t="s">
        <v>34</v>
      </c>
      <c r="E1124">
        <v>11473</v>
      </c>
      <c r="F1124" s="2">
        <v>46081</v>
      </c>
      <c r="G1124" s="1" t="s">
        <v>1131</v>
      </c>
      <c r="H1124" s="1" t="s">
        <v>1110</v>
      </c>
      <c r="I1124" s="1" t="s">
        <v>1111</v>
      </c>
      <c r="J1124" s="1" t="s">
        <v>1111</v>
      </c>
      <c r="K1124" s="1" t="s">
        <v>1081</v>
      </c>
      <c r="L1124">
        <v>20</v>
      </c>
      <c r="M1124">
        <v>56.5</v>
      </c>
      <c r="N1124">
        <v>35.9</v>
      </c>
      <c r="O1124">
        <v>26.6</v>
      </c>
      <c r="P1124">
        <v>5.395411E-2</v>
      </c>
      <c r="Q1124">
        <v>7.71</v>
      </c>
      <c r="R1124">
        <v>5.29</v>
      </c>
      <c r="S1124">
        <v>3</v>
      </c>
      <c r="T1124">
        <v>2</v>
      </c>
      <c r="U1124">
        <v>6</v>
      </c>
      <c r="V1124">
        <v>68.2</v>
      </c>
      <c r="W1124">
        <v>71.259999999999991</v>
      </c>
      <c r="X1124">
        <v>0.32372466</v>
      </c>
      <c r="Y1124">
        <v>573.65</v>
      </c>
      <c r="Z1124">
        <v>30.950775201499997</v>
      </c>
      <c r="AA1124">
        <v>95.608333333333334</v>
      </c>
      <c r="AB1124">
        <v>60692.17</v>
      </c>
      <c r="AC1124">
        <v>96</v>
      </c>
      <c r="AD1124" s="1" t="s">
        <v>40</v>
      </c>
      <c r="AE1124">
        <v>96</v>
      </c>
      <c r="AF1124">
        <v>0</v>
      </c>
      <c r="AG1124">
        <v>3.2236842105263159</v>
      </c>
    </row>
    <row r="1125" spans="1:33">
      <c r="A1125" s="1" t="s">
        <v>1132</v>
      </c>
      <c r="B1125" s="1" t="s">
        <v>2389</v>
      </c>
      <c r="C1125" s="2">
        <v>46675</v>
      </c>
      <c r="D1125" s="1" t="s">
        <v>34</v>
      </c>
      <c r="E1125">
        <v>2084</v>
      </c>
      <c r="F1125" s="2">
        <v>46081</v>
      </c>
      <c r="G1125" s="1" t="s">
        <v>1133</v>
      </c>
      <c r="H1125" s="1" t="s">
        <v>1110</v>
      </c>
      <c r="I1125" s="1" t="s">
        <v>1111</v>
      </c>
      <c r="J1125" s="1" t="s">
        <v>1111</v>
      </c>
      <c r="K1125" s="1" t="s">
        <v>1081</v>
      </c>
      <c r="L1125">
        <v>10</v>
      </c>
      <c r="M1125">
        <v>46</v>
      </c>
      <c r="N1125">
        <v>35.200000000000003</v>
      </c>
      <c r="O1125">
        <v>39.200000000000003</v>
      </c>
      <c r="P1125">
        <v>6.3469999999999999E-2</v>
      </c>
      <c r="Q1125">
        <v>10.47</v>
      </c>
      <c r="R1125">
        <v>6.79</v>
      </c>
      <c r="S1125">
        <v>6</v>
      </c>
      <c r="T1125">
        <v>2</v>
      </c>
      <c r="U1125">
        <v>12</v>
      </c>
      <c r="V1125">
        <v>93.4</v>
      </c>
      <c r="W1125">
        <v>150.63999999999999</v>
      </c>
      <c r="X1125">
        <v>0.76163999999999998</v>
      </c>
      <c r="Y1125">
        <v>208.4</v>
      </c>
      <c r="Z1125">
        <v>13.227148</v>
      </c>
      <c r="AA1125">
        <v>17.366666666666667</v>
      </c>
      <c r="AB1125">
        <v>14150.36</v>
      </c>
      <c r="AC1125">
        <v>18</v>
      </c>
      <c r="AD1125" s="1" t="s">
        <v>40</v>
      </c>
      <c r="AE1125">
        <v>18</v>
      </c>
      <c r="AF1125">
        <v>0</v>
      </c>
      <c r="AG1125">
        <v>19.539473684210527</v>
      </c>
    </row>
    <row r="1126" spans="1:33">
      <c r="A1126" s="1" t="s">
        <v>1132</v>
      </c>
      <c r="B1126" s="1" t="s">
        <v>2390</v>
      </c>
      <c r="C1126" s="2">
        <v>46813</v>
      </c>
      <c r="D1126" s="1" t="s">
        <v>34</v>
      </c>
      <c r="E1126">
        <v>25</v>
      </c>
      <c r="F1126" s="2">
        <v>46081</v>
      </c>
      <c r="G1126" s="1" t="s">
        <v>1133</v>
      </c>
      <c r="H1126" s="1" t="s">
        <v>1110</v>
      </c>
      <c r="I1126" s="1" t="s">
        <v>1111</v>
      </c>
      <c r="J1126" s="1" t="s">
        <v>1111</v>
      </c>
      <c r="K1126" s="1" t="s">
        <v>1081</v>
      </c>
      <c r="L1126">
        <v>10</v>
      </c>
      <c r="M1126">
        <v>46</v>
      </c>
      <c r="N1126">
        <v>35.200000000000003</v>
      </c>
      <c r="O1126">
        <v>39.200000000000003</v>
      </c>
      <c r="P1126">
        <v>6.3469999999999999E-2</v>
      </c>
      <c r="Q1126">
        <v>10.47</v>
      </c>
      <c r="R1126">
        <v>6.79</v>
      </c>
      <c r="S1126">
        <v>6</v>
      </c>
      <c r="T1126">
        <v>2</v>
      </c>
      <c r="U1126">
        <v>12</v>
      </c>
      <c r="V1126">
        <v>93.4</v>
      </c>
      <c r="W1126">
        <v>150.63999999999999</v>
      </c>
      <c r="X1126">
        <v>0.76163999999999998</v>
      </c>
      <c r="Y1126">
        <v>2.5</v>
      </c>
      <c r="Z1126">
        <v>0.15867500000000001</v>
      </c>
      <c r="AA1126">
        <v>0.20833333333333334</v>
      </c>
      <c r="AB1126">
        <v>169.75</v>
      </c>
      <c r="AC1126">
        <v>1</v>
      </c>
      <c r="AD1126" s="1" t="s">
        <v>44</v>
      </c>
      <c r="AE1126">
        <v>0</v>
      </c>
      <c r="AF1126">
        <v>1</v>
      </c>
      <c r="AG1126">
        <v>24.078947368421055</v>
      </c>
    </row>
    <row r="1127" spans="1:33">
      <c r="A1127" s="1" t="s">
        <v>1134</v>
      </c>
      <c r="B1127" s="1" t="s">
        <v>2391</v>
      </c>
      <c r="C1127" s="2">
        <v>47004</v>
      </c>
      <c r="D1127" s="1" t="s">
        <v>34</v>
      </c>
      <c r="E1127">
        <v>2293</v>
      </c>
      <c r="F1127" s="2">
        <v>46081</v>
      </c>
      <c r="G1127" s="1" t="s">
        <v>1135</v>
      </c>
      <c r="H1127" s="1" t="s">
        <v>1110</v>
      </c>
      <c r="I1127" s="1" t="s">
        <v>1111</v>
      </c>
      <c r="J1127" s="1" t="s">
        <v>1111</v>
      </c>
      <c r="K1127" s="1" t="s">
        <v>1081</v>
      </c>
      <c r="L1127">
        <v>20</v>
      </c>
      <c r="M1127">
        <v>64.3</v>
      </c>
      <c r="N1127">
        <v>31.2</v>
      </c>
      <c r="O1127">
        <v>31.4</v>
      </c>
      <c r="P1127">
        <v>6.2990000000000004E-2</v>
      </c>
      <c r="Q1127">
        <v>7.25</v>
      </c>
      <c r="R1127">
        <v>1.29</v>
      </c>
      <c r="S1127">
        <v>3</v>
      </c>
      <c r="T1127">
        <v>4</v>
      </c>
      <c r="U1127">
        <v>12</v>
      </c>
      <c r="V1127">
        <v>140.6</v>
      </c>
      <c r="W1127">
        <v>112</v>
      </c>
      <c r="X1127">
        <v>0.75588000000000011</v>
      </c>
      <c r="Y1127">
        <v>114.65</v>
      </c>
      <c r="Z1127">
        <v>7.2218035000000009</v>
      </c>
      <c r="AA1127">
        <v>9.5541666666666671</v>
      </c>
      <c r="AB1127">
        <v>2957.9700000000003</v>
      </c>
      <c r="AC1127">
        <v>10</v>
      </c>
      <c r="AD1127" s="1" t="s">
        <v>40</v>
      </c>
      <c r="AE1127">
        <v>10</v>
      </c>
      <c r="AF1127">
        <v>0</v>
      </c>
      <c r="AG1127">
        <v>30.361842105263161</v>
      </c>
    </row>
    <row r="1128" spans="1:33">
      <c r="A1128" s="1" t="s">
        <v>1136</v>
      </c>
      <c r="B1128" s="1" t="s">
        <v>2392</v>
      </c>
      <c r="C1128" s="2">
        <v>46178</v>
      </c>
      <c r="D1128" s="1" t="s">
        <v>34</v>
      </c>
      <c r="E1128">
        <v>2972</v>
      </c>
      <c r="F1128" s="2">
        <v>46081</v>
      </c>
      <c r="G1128" s="1" t="s">
        <v>1137</v>
      </c>
      <c r="H1128" s="1" t="s">
        <v>1110</v>
      </c>
      <c r="I1128" s="1" t="s">
        <v>1111</v>
      </c>
      <c r="J1128" s="1" t="s">
        <v>1111</v>
      </c>
      <c r="K1128" s="1" t="s">
        <v>1081</v>
      </c>
      <c r="L1128">
        <v>50</v>
      </c>
      <c r="M1128">
        <v>61.6</v>
      </c>
      <c r="N1128">
        <v>36</v>
      </c>
      <c r="O1128">
        <v>28.5</v>
      </c>
      <c r="P1128">
        <v>6.3200000000000006E-2</v>
      </c>
      <c r="Q1128">
        <v>9.31</v>
      </c>
      <c r="R1128">
        <v>1.73</v>
      </c>
      <c r="S1128">
        <v>3</v>
      </c>
      <c r="T1128">
        <v>3</v>
      </c>
      <c r="U1128">
        <v>9</v>
      </c>
      <c r="V1128">
        <v>100.5</v>
      </c>
      <c r="W1128">
        <v>108.79</v>
      </c>
      <c r="X1128">
        <v>0.56880000000000008</v>
      </c>
      <c r="Y1128">
        <v>59.44</v>
      </c>
      <c r="Z1128">
        <v>3.7566080000000004</v>
      </c>
      <c r="AA1128">
        <v>6.6044444444444439</v>
      </c>
      <c r="AB1128">
        <v>5141.5600000000004</v>
      </c>
      <c r="AC1128">
        <v>7</v>
      </c>
      <c r="AD1128" s="1" t="s">
        <v>40</v>
      </c>
      <c r="AE1128">
        <v>7</v>
      </c>
      <c r="AF1128">
        <v>0</v>
      </c>
      <c r="AG1128">
        <v>3.1907894736842106</v>
      </c>
    </row>
    <row r="1129" spans="1:33">
      <c r="A1129" s="1" t="s">
        <v>1136</v>
      </c>
      <c r="B1129" s="1" t="s">
        <v>2393</v>
      </c>
      <c r="C1129" s="2">
        <v>46295</v>
      </c>
      <c r="D1129" s="1" t="s">
        <v>34</v>
      </c>
      <c r="E1129">
        <v>1403</v>
      </c>
      <c r="F1129" s="2">
        <v>46081</v>
      </c>
      <c r="G1129" s="1" t="s">
        <v>1137</v>
      </c>
      <c r="H1129" s="1" t="s">
        <v>1110</v>
      </c>
      <c r="I1129" s="1" t="s">
        <v>1111</v>
      </c>
      <c r="J1129" s="1" t="s">
        <v>1111</v>
      </c>
      <c r="K1129" s="1" t="s">
        <v>1081</v>
      </c>
      <c r="L1129">
        <v>50</v>
      </c>
      <c r="M1129">
        <v>61.6</v>
      </c>
      <c r="N1129">
        <v>36</v>
      </c>
      <c r="O1129">
        <v>28.5</v>
      </c>
      <c r="P1129">
        <v>6.3200000000000006E-2</v>
      </c>
      <c r="Q1129">
        <v>9.31</v>
      </c>
      <c r="R1129">
        <v>1.73</v>
      </c>
      <c r="S1129">
        <v>3</v>
      </c>
      <c r="T1129">
        <v>3</v>
      </c>
      <c r="U1129">
        <v>9</v>
      </c>
      <c r="V1129">
        <v>100.5</v>
      </c>
      <c r="W1129">
        <v>108.79</v>
      </c>
      <c r="X1129">
        <v>0.56880000000000008</v>
      </c>
      <c r="Y1129">
        <v>28.06</v>
      </c>
      <c r="Z1129">
        <v>1.7733920000000001</v>
      </c>
      <c r="AA1129">
        <v>3.1177777777777775</v>
      </c>
      <c r="AB1129">
        <v>2427.19</v>
      </c>
      <c r="AC1129">
        <v>4</v>
      </c>
      <c r="AD1129" s="1" t="s">
        <v>40</v>
      </c>
      <c r="AE1129">
        <v>4</v>
      </c>
      <c r="AF1129">
        <v>0</v>
      </c>
      <c r="AG1129">
        <v>7.0394736842105265</v>
      </c>
    </row>
    <row r="1130" spans="1:33">
      <c r="A1130" s="1" t="s">
        <v>1138</v>
      </c>
      <c r="B1130" s="1" t="s">
        <v>2394</v>
      </c>
      <c r="C1130" s="2">
        <v>46469</v>
      </c>
      <c r="D1130" s="1" t="s">
        <v>34</v>
      </c>
      <c r="E1130">
        <v>2911</v>
      </c>
      <c r="F1130" s="2">
        <v>46081</v>
      </c>
      <c r="G1130" s="1" t="s">
        <v>1139</v>
      </c>
      <c r="H1130" s="1" t="s">
        <v>1110</v>
      </c>
      <c r="I1130" s="1" t="s">
        <v>1111</v>
      </c>
      <c r="J1130" s="1" t="s">
        <v>1111</v>
      </c>
      <c r="K1130" s="1" t="s">
        <v>1081</v>
      </c>
      <c r="L1130">
        <v>20</v>
      </c>
      <c r="M1130">
        <v>46.3</v>
      </c>
      <c r="N1130">
        <v>36</v>
      </c>
      <c r="O1130">
        <v>32.700000000000003</v>
      </c>
      <c r="P1130">
        <v>5.45E-2</v>
      </c>
      <c r="Q1130">
        <v>7.63</v>
      </c>
      <c r="R1130">
        <v>2.2200000000000002</v>
      </c>
      <c r="S1130">
        <v>4</v>
      </c>
      <c r="T1130">
        <v>2</v>
      </c>
      <c r="U1130">
        <v>8</v>
      </c>
      <c r="V1130">
        <v>80.400000000000006</v>
      </c>
      <c r="W1130">
        <v>86.039999999999992</v>
      </c>
      <c r="X1130">
        <v>0.436</v>
      </c>
      <c r="Y1130">
        <v>145.55000000000001</v>
      </c>
      <c r="Z1130">
        <v>7.9324750000000002</v>
      </c>
      <c r="AA1130">
        <v>18.193750000000001</v>
      </c>
      <c r="AB1130">
        <v>6462.420000000001</v>
      </c>
      <c r="AC1130">
        <v>19</v>
      </c>
      <c r="AD1130" s="1" t="s">
        <v>40</v>
      </c>
      <c r="AE1130">
        <v>19</v>
      </c>
      <c r="AF1130">
        <v>0</v>
      </c>
      <c r="AG1130">
        <v>12.763157894736842</v>
      </c>
    </row>
    <row r="1131" spans="1:33">
      <c r="A1131" s="1" t="s">
        <v>1138</v>
      </c>
      <c r="B1131" s="1" t="s">
        <v>2395</v>
      </c>
      <c r="C1131" s="2">
        <v>45921</v>
      </c>
      <c r="D1131" s="1" t="s">
        <v>73</v>
      </c>
      <c r="E1131">
        <v>232</v>
      </c>
      <c r="F1131" s="2">
        <v>46081</v>
      </c>
      <c r="G1131" s="1" t="s">
        <v>1139</v>
      </c>
      <c r="H1131" s="1" t="s">
        <v>1110</v>
      </c>
      <c r="I1131" s="1" t="s">
        <v>1111</v>
      </c>
      <c r="J1131" s="1" t="s">
        <v>1111</v>
      </c>
      <c r="K1131" s="1" t="s">
        <v>1081</v>
      </c>
      <c r="L1131">
        <v>20</v>
      </c>
      <c r="M1131">
        <v>46.3</v>
      </c>
      <c r="N1131">
        <v>36</v>
      </c>
      <c r="O1131">
        <v>32.700000000000003</v>
      </c>
      <c r="P1131">
        <v>5.45E-2</v>
      </c>
      <c r="Q1131">
        <v>7.63</v>
      </c>
      <c r="R1131">
        <v>2.2200000000000002</v>
      </c>
      <c r="S1131">
        <v>4</v>
      </c>
      <c r="T1131">
        <v>2</v>
      </c>
      <c r="U1131">
        <v>8</v>
      </c>
      <c r="V1131">
        <v>80.400000000000006</v>
      </c>
      <c r="W1131">
        <v>86.039999999999992</v>
      </c>
      <c r="X1131">
        <v>0.436</v>
      </c>
      <c r="Y1131">
        <v>11.6</v>
      </c>
      <c r="Z1131">
        <v>0.63219999999999998</v>
      </c>
      <c r="AA1131">
        <v>1.45</v>
      </c>
      <c r="AB1131">
        <v>515.04000000000008</v>
      </c>
      <c r="AC1131">
        <v>2</v>
      </c>
      <c r="AD1131" s="1" t="s">
        <v>74</v>
      </c>
      <c r="AE1131">
        <v>0</v>
      </c>
      <c r="AF1131">
        <v>0</v>
      </c>
      <c r="AG1131">
        <v>-5.2631578947368425</v>
      </c>
    </row>
    <row r="1132" spans="1:33">
      <c r="A1132" s="1" t="s">
        <v>1140</v>
      </c>
      <c r="B1132" s="1" t="s">
        <v>2396</v>
      </c>
      <c r="C1132" s="2">
        <v>46280</v>
      </c>
      <c r="D1132" s="1" t="s">
        <v>34</v>
      </c>
      <c r="E1132">
        <v>2244</v>
      </c>
      <c r="F1132" s="2">
        <v>46081</v>
      </c>
      <c r="G1132" s="1" t="s">
        <v>1141</v>
      </c>
      <c r="H1132" s="1" t="s">
        <v>1110</v>
      </c>
      <c r="I1132" s="1" t="s">
        <v>1111</v>
      </c>
      <c r="J1132" s="1" t="s">
        <v>1111</v>
      </c>
      <c r="K1132" s="1" t="s">
        <v>1081</v>
      </c>
      <c r="L1132">
        <v>50</v>
      </c>
      <c r="M1132">
        <v>46.7</v>
      </c>
      <c r="N1132">
        <v>45</v>
      </c>
      <c r="O1132">
        <v>37.9</v>
      </c>
      <c r="P1132">
        <v>7.9649999999999999E-2</v>
      </c>
      <c r="Q1132">
        <v>12.38</v>
      </c>
      <c r="R1132">
        <v>0.68</v>
      </c>
      <c r="S1132">
        <v>4</v>
      </c>
      <c r="T1132">
        <v>2</v>
      </c>
      <c r="U1132">
        <v>8</v>
      </c>
      <c r="V1132">
        <v>90.8</v>
      </c>
      <c r="W1132">
        <v>124.04</v>
      </c>
      <c r="X1132">
        <v>0.63719999999999999</v>
      </c>
      <c r="Y1132">
        <v>44.88</v>
      </c>
      <c r="Z1132">
        <v>3.5746920000000002</v>
      </c>
      <c r="AA1132">
        <v>5.61</v>
      </c>
      <c r="AB1132">
        <v>1525.92</v>
      </c>
      <c r="AC1132">
        <v>6</v>
      </c>
      <c r="AD1132" s="1" t="s">
        <v>40</v>
      </c>
      <c r="AE1132">
        <v>6</v>
      </c>
      <c r="AF1132">
        <v>0</v>
      </c>
      <c r="AG1132">
        <v>6.5460526315789478</v>
      </c>
    </row>
    <row r="1133" spans="1:33">
      <c r="A1133" s="1" t="s">
        <v>1140</v>
      </c>
      <c r="B1133" s="1" t="s">
        <v>2397</v>
      </c>
      <c r="C1133" s="2">
        <v>46434</v>
      </c>
      <c r="D1133" s="1" t="s">
        <v>34</v>
      </c>
      <c r="E1133">
        <v>11057</v>
      </c>
      <c r="F1133" s="2">
        <v>46081</v>
      </c>
      <c r="G1133" s="1" t="s">
        <v>1141</v>
      </c>
      <c r="H1133" s="1" t="s">
        <v>1110</v>
      </c>
      <c r="I1133" s="1" t="s">
        <v>1111</v>
      </c>
      <c r="J1133" s="1" t="s">
        <v>1111</v>
      </c>
      <c r="K1133" s="1" t="s">
        <v>1081</v>
      </c>
      <c r="L1133">
        <v>50</v>
      </c>
      <c r="M1133">
        <v>46.7</v>
      </c>
      <c r="N1133">
        <v>45</v>
      </c>
      <c r="O1133">
        <v>37.9</v>
      </c>
      <c r="P1133">
        <v>7.9649999999999999E-2</v>
      </c>
      <c r="Q1133">
        <v>12.38</v>
      </c>
      <c r="R1133">
        <v>0.68</v>
      </c>
      <c r="S1133">
        <v>4</v>
      </c>
      <c r="T1133">
        <v>2</v>
      </c>
      <c r="U1133">
        <v>8</v>
      </c>
      <c r="V1133">
        <v>90.8</v>
      </c>
      <c r="W1133">
        <v>124.04</v>
      </c>
      <c r="X1133">
        <v>0.63719999999999999</v>
      </c>
      <c r="Y1133">
        <v>221.14</v>
      </c>
      <c r="Z1133">
        <v>17.613800999999999</v>
      </c>
      <c r="AA1133">
        <v>27.642499999999998</v>
      </c>
      <c r="AB1133">
        <v>7518.76</v>
      </c>
      <c r="AC1133">
        <v>28</v>
      </c>
      <c r="AD1133" s="1" t="s">
        <v>40</v>
      </c>
      <c r="AE1133">
        <v>28</v>
      </c>
      <c r="AF1133">
        <v>0</v>
      </c>
      <c r="AG1133">
        <v>11.611842105263159</v>
      </c>
    </row>
    <row r="1134" spans="1:33">
      <c r="A1134" s="1" t="s">
        <v>1142</v>
      </c>
      <c r="B1134" s="1" t="s">
        <v>2398</v>
      </c>
      <c r="C1134" s="2">
        <v>46973</v>
      </c>
      <c r="D1134" s="1" t="s">
        <v>34</v>
      </c>
      <c r="E1134">
        <v>7369</v>
      </c>
      <c r="F1134" s="2">
        <v>46081</v>
      </c>
      <c r="G1134" s="1" t="s">
        <v>1143</v>
      </c>
      <c r="H1134" s="1" t="s">
        <v>1110</v>
      </c>
      <c r="I1134" s="1" t="s">
        <v>1111</v>
      </c>
      <c r="J1134" s="1" t="s">
        <v>1111</v>
      </c>
      <c r="K1134" s="1" t="s">
        <v>1081</v>
      </c>
      <c r="L1134">
        <v>20</v>
      </c>
      <c r="M1134">
        <v>60.8</v>
      </c>
      <c r="N1134">
        <v>33.700000000000003</v>
      </c>
      <c r="O1134">
        <v>30.5</v>
      </c>
      <c r="P1134">
        <v>6.2489999999999997E-2</v>
      </c>
      <c r="Q1134">
        <v>7.7</v>
      </c>
      <c r="R1134">
        <v>3.45</v>
      </c>
      <c r="S1134">
        <v>3</v>
      </c>
      <c r="T1134">
        <v>2</v>
      </c>
      <c r="U1134">
        <v>6</v>
      </c>
      <c r="V1134">
        <v>76</v>
      </c>
      <c r="W1134">
        <v>71.2</v>
      </c>
      <c r="X1134">
        <v>0.37494</v>
      </c>
      <c r="Y1134">
        <v>368.45</v>
      </c>
      <c r="Z1134">
        <v>23.024440499999997</v>
      </c>
      <c r="AA1134">
        <v>61.408333333333331</v>
      </c>
      <c r="AB1134">
        <v>25423.050000000003</v>
      </c>
      <c r="AC1134">
        <v>62</v>
      </c>
      <c r="AD1134" s="1" t="s">
        <v>40</v>
      </c>
      <c r="AE1134">
        <v>62</v>
      </c>
      <c r="AF1134">
        <v>0</v>
      </c>
      <c r="AG1134">
        <v>29.342105263157897</v>
      </c>
    </row>
    <row r="1135" spans="1:33">
      <c r="A1135" s="1" t="s">
        <v>1144</v>
      </c>
      <c r="B1135" s="1" t="s">
        <v>2399</v>
      </c>
      <c r="C1135" s="2">
        <v>46899</v>
      </c>
      <c r="D1135" s="1" t="s">
        <v>34</v>
      </c>
      <c r="E1135">
        <v>503</v>
      </c>
      <c r="F1135" s="2">
        <v>46081</v>
      </c>
      <c r="G1135" s="1" t="s">
        <v>1145</v>
      </c>
      <c r="H1135" s="1" t="s">
        <v>1110</v>
      </c>
      <c r="I1135" s="1" t="s">
        <v>1111</v>
      </c>
      <c r="J1135" s="1" t="s">
        <v>1111</v>
      </c>
      <c r="K1135" s="1" t="s">
        <v>1081</v>
      </c>
      <c r="L1135">
        <v>20</v>
      </c>
      <c r="M1135">
        <v>59.8</v>
      </c>
      <c r="N1135">
        <v>40.700000000000003</v>
      </c>
      <c r="O1135">
        <v>34.700000000000003</v>
      </c>
      <c r="P1135">
        <v>8.4449999999999997E-2</v>
      </c>
      <c r="Q1135">
        <v>7.96</v>
      </c>
      <c r="R1135">
        <v>7.5</v>
      </c>
      <c r="S1135">
        <v>2</v>
      </c>
      <c r="T1135">
        <v>4</v>
      </c>
      <c r="U1135">
        <v>8</v>
      </c>
      <c r="V1135">
        <v>153.80000000000001</v>
      </c>
      <c r="W1135">
        <v>88.68</v>
      </c>
      <c r="X1135">
        <v>0.67559999999999998</v>
      </c>
      <c r="Y1135">
        <v>25.15</v>
      </c>
      <c r="Z1135">
        <v>2.1239174999999997</v>
      </c>
      <c r="AA1135">
        <v>3.1437499999999998</v>
      </c>
      <c r="AB1135">
        <v>3772.5</v>
      </c>
      <c r="AC1135">
        <v>4</v>
      </c>
      <c r="AD1135" s="1" t="s">
        <v>40</v>
      </c>
      <c r="AE1135">
        <v>4</v>
      </c>
      <c r="AF1135">
        <v>0</v>
      </c>
      <c r="AG1135">
        <v>26.907894736842106</v>
      </c>
    </row>
    <row r="1136" spans="1:33">
      <c r="A1136" s="1" t="s">
        <v>1144</v>
      </c>
      <c r="B1136" s="1" t="s">
        <v>2400</v>
      </c>
      <c r="C1136" s="2">
        <v>47160</v>
      </c>
      <c r="D1136" s="1" t="s">
        <v>34</v>
      </c>
      <c r="E1136">
        <v>690</v>
      </c>
      <c r="F1136" s="2">
        <v>46081</v>
      </c>
      <c r="G1136" s="1" t="s">
        <v>1145</v>
      </c>
      <c r="H1136" s="1" t="s">
        <v>1110</v>
      </c>
      <c r="I1136" s="1" t="s">
        <v>1111</v>
      </c>
      <c r="J1136" s="1" t="s">
        <v>1111</v>
      </c>
      <c r="K1136" s="1" t="s">
        <v>1081</v>
      </c>
      <c r="L1136">
        <v>20</v>
      </c>
      <c r="M1136">
        <v>59.8</v>
      </c>
      <c r="N1136">
        <v>40.700000000000003</v>
      </c>
      <c r="O1136">
        <v>34.700000000000003</v>
      </c>
      <c r="P1136">
        <v>8.4449999999999997E-2</v>
      </c>
      <c r="Q1136">
        <v>7.96</v>
      </c>
      <c r="R1136">
        <v>7.5</v>
      </c>
      <c r="S1136">
        <v>2</v>
      </c>
      <c r="T1136">
        <v>4</v>
      </c>
      <c r="U1136">
        <v>8</v>
      </c>
      <c r="V1136">
        <v>153.80000000000001</v>
      </c>
      <c r="W1136">
        <v>88.68</v>
      </c>
      <c r="X1136">
        <v>0.67559999999999998</v>
      </c>
      <c r="Y1136">
        <v>34.5</v>
      </c>
      <c r="Z1136">
        <v>2.9135249999999999</v>
      </c>
      <c r="AA1136">
        <v>4.3125</v>
      </c>
      <c r="AB1136">
        <v>5175</v>
      </c>
      <c r="AC1136">
        <v>5</v>
      </c>
      <c r="AD1136" s="1" t="s">
        <v>40</v>
      </c>
      <c r="AE1136">
        <v>5</v>
      </c>
      <c r="AF1136">
        <v>0</v>
      </c>
      <c r="AG1136">
        <v>35.493421052631582</v>
      </c>
    </row>
    <row r="1137" spans="1:33">
      <c r="A1137" s="1" t="s">
        <v>1146</v>
      </c>
      <c r="B1137" s="1" t="s">
        <v>2401</v>
      </c>
      <c r="C1137" s="2">
        <v>46382</v>
      </c>
      <c r="D1137" s="1" t="s">
        <v>34</v>
      </c>
      <c r="E1137">
        <v>1239</v>
      </c>
      <c r="F1137" s="2">
        <v>46081</v>
      </c>
      <c r="G1137" s="1" t="s">
        <v>1147</v>
      </c>
      <c r="H1137" s="1" t="s">
        <v>1110</v>
      </c>
      <c r="I1137" s="1" t="s">
        <v>1111</v>
      </c>
      <c r="J1137" s="1" t="s">
        <v>1111</v>
      </c>
      <c r="K1137" s="1" t="s">
        <v>1081</v>
      </c>
      <c r="L1137">
        <v>50</v>
      </c>
      <c r="M1137">
        <v>57.8</v>
      </c>
      <c r="N1137">
        <v>30.2</v>
      </c>
      <c r="O1137">
        <v>38.700000000000003</v>
      </c>
      <c r="P1137">
        <v>6.7549999999999999E-2</v>
      </c>
      <c r="Q1137">
        <v>5.64</v>
      </c>
      <c r="R1137">
        <v>1.83</v>
      </c>
      <c r="S1137">
        <v>6</v>
      </c>
      <c r="T1137">
        <v>2</v>
      </c>
      <c r="U1137">
        <v>12</v>
      </c>
      <c r="V1137">
        <v>92.4</v>
      </c>
      <c r="W1137">
        <v>92.68</v>
      </c>
      <c r="X1137">
        <v>0.81059999999999999</v>
      </c>
      <c r="Y1137">
        <v>24.78</v>
      </c>
      <c r="Z1137">
        <v>1.673889</v>
      </c>
      <c r="AA1137">
        <v>2.0649999999999999</v>
      </c>
      <c r="AB1137">
        <v>2267.37</v>
      </c>
      <c r="AC1137">
        <v>3</v>
      </c>
      <c r="AD1137" s="1" t="s">
        <v>40</v>
      </c>
      <c r="AE1137">
        <v>3</v>
      </c>
      <c r="AF1137">
        <v>0</v>
      </c>
      <c r="AG1137">
        <v>9.901315789473685</v>
      </c>
    </row>
    <row r="1138" spans="1:33">
      <c r="A1138" s="1" t="s">
        <v>1148</v>
      </c>
      <c r="B1138" s="1" t="s">
        <v>2402</v>
      </c>
      <c r="C1138" s="2">
        <v>46505</v>
      </c>
      <c r="D1138" s="1" t="s">
        <v>34</v>
      </c>
      <c r="E1138">
        <v>3898</v>
      </c>
      <c r="F1138" s="2">
        <v>46081</v>
      </c>
      <c r="G1138" s="1" t="s">
        <v>1149</v>
      </c>
      <c r="H1138" s="1" t="s">
        <v>1110</v>
      </c>
      <c r="I1138" s="1" t="s">
        <v>1111</v>
      </c>
      <c r="J1138" s="1" t="s">
        <v>1111</v>
      </c>
      <c r="K1138" s="1" t="s">
        <v>1081</v>
      </c>
      <c r="L1138">
        <v>100</v>
      </c>
      <c r="M1138">
        <v>57.4</v>
      </c>
      <c r="N1138">
        <v>36.6</v>
      </c>
      <c r="O1138">
        <v>35.700000000000003</v>
      </c>
      <c r="P1138">
        <v>7.4999999999999997E-2</v>
      </c>
      <c r="Q1138">
        <v>6.42</v>
      </c>
      <c r="R1138">
        <v>7.89</v>
      </c>
      <c r="S1138">
        <v>4</v>
      </c>
      <c r="T1138">
        <v>3</v>
      </c>
      <c r="U1138">
        <v>12</v>
      </c>
      <c r="V1138">
        <v>122.1</v>
      </c>
      <c r="W1138">
        <v>102.04</v>
      </c>
      <c r="X1138">
        <v>0.89999999999999991</v>
      </c>
      <c r="Y1138">
        <v>38.979999999999997</v>
      </c>
      <c r="Z1138">
        <v>2.9234999999999998</v>
      </c>
      <c r="AA1138">
        <v>3.2483333333333331</v>
      </c>
      <c r="AB1138">
        <v>30755.219999999998</v>
      </c>
      <c r="AC1138">
        <v>4</v>
      </c>
      <c r="AD1138" s="1" t="s">
        <v>40</v>
      </c>
      <c r="AE1138">
        <v>4</v>
      </c>
      <c r="AF1138">
        <v>0</v>
      </c>
      <c r="AG1138">
        <v>13.947368421052632</v>
      </c>
    </row>
    <row r="1139" spans="1:33">
      <c r="A1139" s="1" t="s">
        <v>1148</v>
      </c>
      <c r="B1139" s="1" t="s">
        <v>2403</v>
      </c>
      <c r="C1139" s="2">
        <v>47044</v>
      </c>
      <c r="D1139" s="1" t="s">
        <v>34</v>
      </c>
      <c r="E1139">
        <v>6722</v>
      </c>
      <c r="F1139" s="2">
        <v>46081</v>
      </c>
      <c r="G1139" s="1" t="s">
        <v>1149</v>
      </c>
      <c r="H1139" s="1" t="s">
        <v>1110</v>
      </c>
      <c r="I1139" s="1" t="s">
        <v>1111</v>
      </c>
      <c r="J1139" s="1" t="s">
        <v>1111</v>
      </c>
      <c r="K1139" s="1" t="s">
        <v>1081</v>
      </c>
      <c r="L1139">
        <v>100</v>
      </c>
      <c r="M1139">
        <v>57.4</v>
      </c>
      <c r="N1139">
        <v>36.6</v>
      </c>
      <c r="O1139">
        <v>35.700000000000003</v>
      </c>
      <c r="P1139">
        <v>7.4999999999999997E-2</v>
      </c>
      <c r="Q1139">
        <v>6.42</v>
      </c>
      <c r="R1139">
        <v>7.89</v>
      </c>
      <c r="S1139">
        <v>4</v>
      </c>
      <c r="T1139">
        <v>3</v>
      </c>
      <c r="U1139">
        <v>12</v>
      </c>
      <c r="V1139">
        <v>122.1</v>
      </c>
      <c r="W1139">
        <v>102.04</v>
      </c>
      <c r="X1139">
        <v>0.89999999999999991</v>
      </c>
      <c r="Y1139">
        <v>67.22</v>
      </c>
      <c r="Z1139">
        <v>5.0415000000000001</v>
      </c>
      <c r="AA1139">
        <v>5.6016666666666666</v>
      </c>
      <c r="AB1139">
        <v>53036.579999999994</v>
      </c>
      <c r="AC1139">
        <v>6</v>
      </c>
      <c r="AD1139" s="1" t="s">
        <v>40</v>
      </c>
      <c r="AE1139">
        <v>6</v>
      </c>
      <c r="AF1139">
        <v>0</v>
      </c>
      <c r="AG1139">
        <v>31.67763157894737</v>
      </c>
    </row>
    <row r="1140" spans="1:33">
      <c r="A1140" s="1" t="s">
        <v>1150</v>
      </c>
      <c r="B1140" s="1" t="s">
        <v>2404</v>
      </c>
      <c r="C1140" s="2">
        <v>46453</v>
      </c>
      <c r="D1140" s="1" t="s">
        <v>34</v>
      </c>
      <c r="E1140">
        <v>461</v>
      </c>
      <c r="F1140" s="2">
        <v>46081</v>
      </c>
      <c r="G1140" s="1" t="s">
        <v>1151</v>
      </c>
      <c r="H1140" s="1" t="s">
        <v>1110</v>
      </c>
      <c r="I1140" s="1" t="s">
        <v>1111</v>
      </c>
      <c r="J1140" s="1" t="s">
        <v>1111</v>
      </c>
      <c r="K1140" s="1" t="s">
        <v>1081</v>
      </c>
      <c r="L1140">
        <v>10</v>
      </c>
      <c r="M1140">
        <v>40.700000000000003</v>
      </c>
      <c r="N1140">
        <v>43.1</v>
      </c>
      <c r="O1140">
        <v>30.8</v>
      </c>
      <c r="P1140">
        <v>5.4030000000000002E-2</v>
      </c>
      <c r="Q1140">
        <v>6.72</v>
      </c>
      <c r="R1140">
        <v>0.82</v>
      </c>
      <c r="S1140">
        <v>4</v>
      </c>
      <c r="T1140">
        <v>2</v>
      </c>
      <c r="U1140">
        <v>8</v>
      </c>
      <c r="V1140">
        <v>76.599999999999994</v>
      </c>
      <c r="W1140">
        <v>78.759999999999991</v>
      </c>
      <c r="X1140">
        <v>0.43224000000000001</v>
      </c>
      <c r="Y1140">
        <v>46.1</v>
      </c>
      <c r="Z1140">
        <v>2.490783</v>
      </c>
      <c r="AA1140">
        <v>5.7625000000000002</v>
      </c>
      <c r="AB1140">
        <v>378.02</v>
      </c>
      <c r="AC1140">
        <v>6</v>
      </c>
      <c r="AD1140" s="1" t="s">
        <v>40</v>
      </c>
      <c r="AE1140">
        <v>6</v>
      </c>
      <c r="AF1140">
        <v>0</v>
      </c>
      <c r="AG1140">
        <v>12.236842105263159</v>
      </c>
    </row>
    <row r="1141" spans="1:33">
      <c r="A1141" s="1" t="s">
        <v>1150</v>
      </c>
      <c r="B1141" s="1" t="s">
        <v>2405</v>
      </c>
      <c r="C1141" s="2">
        <v>46273</v>
      </c>
      <c r="D1141" s="1" t="s">
        <v>34</v>
      </c>
      <c r="E1141">
        <v>50985</v>
      </c>
      <c r="F1141" s="2">
        <v>46081</v>
      </c>
      <c r="G1141" s="1" t="s">
        <v>1151</v>
      </c>
      <c r="H1141" s="1" t="s">
        <v>1110</v>
      </c>
      <c r="I1141" s="1" t="s">
        <v>1111</v>
      </c>
      <c r="J1141" s="1" t="s">
        <v>1111</v>
      </c>
      <c r="K1141" s="1" t="s">
        <v>1081</v>
      </c>
      <c r="L1141">
        <v>10</v>
      </c>
      <c r="M1141">
        <v>40.700000000000003</v>
      </c>
      <c r="N1141">
        <v>43.1</v>
      </c>
      <c r="O1141">
        <v>30.8</v>
      </c>
      <c r="P1141">
        <v>5.4030000000000002E-2</v>
      </c>
      <c r="Q1141">
        <v>6.72</v>
      </c>
      <c r="R1141">
        <v>0.82</v>
      </c>
      <c r="S1141">
        <v>4</v>
      </c>
      <c r="T1141">
        <v>2</v>
      </c>
      <c r="U1141">
        <v>8</v>
      </c>
      <c r="V1141">
        <v>76.599999999999994</v>
      </c>
      <c r="W1141">
        <v>78.759999999999991</v>
      </c>
      <c r="X1141">
        <v>0.43224000000000001</v>
      </c>
      <c r="Y1141">
        <v>5098.5</v>
      </c>
      <c r="Z1141">
        <v>275.47195500000004</v>
      </c>
      <c r="AA1141">
        <v>637.3125</v>
      </c>
      <c r="AB1141">
        <v>41807.699999999997</v>
      </c>
      <c r="AC1141">
        <v>638</v>
      </c>
      <c r="AD1141" s="1" t="s">
        <v>40</v>
      </c>
      <c r="AE1141">
        <v>638</v>
      </c>
      <c r="AF1141">
        <v>0</v>
      </c>
      <c r="AG1141">
        <v>6.3157894736842106</v>
      </c>
    </row>
    <row r="1142" spans="1:33">
      <c r="A1142" s="1" t="s">
        <v>1152</v>
      </c>
      <c r="B1142" s="1" t="s">
        <v>2406</v>
      </c>
      <c r="C1142" s="2">
        <v>46664</v>
      </c>
      <c r="D1142" s="1" t="s">
        <v>34</v>
      </c>
      <c r="E1142">
        <v>1609</v>
      </c>
      <c r="F1142" s="2">
        <v>46081</v>
      </c>
      <c r="G1142" s="1" t="s">
        <v>1153</v>
      </c>
      <c r="H1142" s="1" t="s">
        <v>1110</v>
      </c>
      <c r="I1142" s="1" t="s">
        <v>1111</v>
      </c>
      <c r="J1142" s="1" t="s">
        <v>1111</v>
      </c>
      <c r="K1142" s="1" t="s">
        <v>1081</v>
      </c>
      <c r="L1142">
        <v>20</v>
      </c>
      <c r="M1142">
        <v>55.3</v>
      </c>
      <c r="N1142">
        <v>40.6</v>
      </c>
      <c r="O1142">
        <v>31.4</v>
      </c>
      <c r="P1142">
        <v>7.0499999999999993E-2</v>
      </c>
      <c r="Q1142">
        <v>10.029999999999999</v>
      </c>
      <c r="R1142">
        <v>3.88</v>
      </c>
      <c r="S1142">
        <v>4</v>
      </c>
      <c r="T1142">
        <v>4</v>
      </c>
      <c r="U1142">
        <v>16</v>
      </c>
      <c r="V1142">
        <v>140.6</v>
      </c>
      <c r="W1142">
        <v>185.48</v>
      </c>
      <c r="X1142">
        <v>1.1279999999999999</v>
      </c>
      <c r="Y1142">
        <v>80.45</v>
      </c>
      <c r="Z1142">
        <v>5.6717249999999995</v>
      </c>
      <c r="AA1142">
        <v>5.0281250000000002</v>
      </c>
      <c r="AB1142">
        <v>6242.92</v>
      </c>
      <c r="AC1142">
        <v>6</v>
      </c>
      <c r="AD1142" s="1" t="s">
        <v>40</v>
      </c>
      <c r="AE1142">
        <v>6</v>
      </c>
      <c r="AF1142">
        <v>0</v>
      </c>
      <c r="AG1142">
        <v>19.17763157894737</v>
      </c>
    </row>
    <row r="1143" spans="1:33">
      <c r="A1143" s="1" t="s">
        <v>1152</v>
      </c>
      <c r="B1143" s="1" t="s">
        <v>2407</v>
      </c>
      <c r="C1143" s="2">
        <v>47043</v>
      </c>
      <c r="D1143" s="1" t="s">
        <v>34</v>
      </c>
      <c r="E1143">
        <v>4468</v>
      </c>
      <c r="F1143" s="2">
        <v>46081</v>
      </c>
      <c r="G1143" s="1" t="s">
        <v>1153</v>
      </c>
      <c r="H1143" s="1" t="s">
        <v>1110</v>
      </c>
      <c r="I1143" s="1" t="s">
        <v>1111</v>
      </c>
      <c r="J1143" s="1" t="s">
        <v>1111</v>
      </c>
      <c r="K1143" s="1" t="s">
        <v>1081</v>
      </c>
      <c r="L1143">
        <v>20</v>
      </c>
      <c r="M1143">
        <v>55.3</v>
      </c>
      <c r="N1143">
        <v>40.6</v>
      </c>
      <c r="O1143">
        <v>31.4</v>
      </c>
      <c r="P1143">
        <v>7.0499999999999993E-2</v>
      </c>
      <c r="Q1143">
        <v>10.029999999999999</v>
      </c>
      <c r="R1143">
        <v>3.88</v>
      </c>
      <c r="S1143">
        <v>4</v>
      </c>
      <c r="T1143">
        <v>4</v>
      </c>
      <c r="U1143">
        <v>16</v>
      </c>
      <c r="V1143">
        <v>140.6</v>
      </c>
      <c r="W1143">
        <v>185.48</v>
      </c>
      <c r="X1143">
        <v>1.1279999999999999</v>
      </c>
      <c r="Y1143">
        <v>223.4</v>
      </c>
      <c r="Z1143">
        <v>15.749699999999999</v>
      </c>
      <c r="AA1143">
        <v>13.9625</v>
      </c>
      <c r="AB1143">
        <v>17335.84</v>
      </c>
      <c r="AC1143">
        <v>14</v>
      </c>
      <c r="AD1143" s="1" t="s">
        <v>40</v>
      </c>
      <c r="AE1143">
        <v>14</v>
      </c>
      <c r="AF1143">
        <v>0</v>
      </c>
      <c r="AG1143">
        <v>31.644736842105264</v>
      </c>
    </row>
    <row r="1144" spans="1:33">
      <c r="A1144" s="1" t="s">
        <v>1154</v>
      </c>
      <c r="B1144" s="1" t="s">
        <v>2408</v>
      </c>
      <c r="C1144" s="2">
        <v>46402</v>
      </c>
      <c r="D1144" s="1" t="s">
        <v>34</v>
      </c>
      <c r="E1144">
        <v>953</v>
      </c>
      <c r="F1144" s="2">
        <v>46081</v>
      </c>
      <c r="G1144" s="1" t="s">
        <v>1155</v>
      </c>
      <c r="H1144" s="1" t="s">
        <v>1110</v>
      </c>
      <c r="I1144" s="1" t="s">
        <v>1111</v>
      </c>
      <c r="J1144" s="1" t="s">
        <v>1111</v>
      </c>
      <c r="K1144" s="1" t="s">
        <v>1081</v>
      </c>
      <c r="L1144">
        <v>10</v>
      </c>
      <c r="M1144">
        <v>52.8</v>
      </c>
      <c r="N1144">
        <v>30.5</v>
      </c>
      <c r="O1144">
        <v>33.200000000000003</v>
      </c>
      <c r="P1144">
        <v>5.3469999999999997E-2</v>
      </c>
      <c r="Q1144">
        <v>6.45</v>
      </c>
      <c r="R1144">
        <v>0.69</v>
      </c>
      <c r="S1144">
        <v>5</v>
      </c>
      <c r="T1144">
        <v>3</v>
      </c>
      <c r="U1144">
        <v>15</v>
      </c>
      <c r="V1144">
        <v>114.6</v>
      </c>
      <c r="W1144">
        <v>121.75</v>
      </c>
      <c r="X1144">
        <v>0.80204999999999993</v>
      </c>
      <c r="Y1144">
        <v>95.3</v>
      </c>
      <c r="Z1144">
        <v>5.0956909999999995</v>
      </c>
      <c r="AA1144">
        <v>6.3533333333333335</v>
      </c>
      <c r="AB1144">
        <v>657.56999999999994</v>
      </c>
      <c r="AC1144">
        <v>7</v>
      </c>
      <c r="AD1144" s="1" t="s">
        <v>40</v>
      </c>
      <c r="AE1144">
        <v>7</v>
      </c>
      <c r="AF1144">
        <v>0</v>
      </c>
      <c r="AG1144">
        <v>10.559210526315789</v>
      </c>
    </row>
    <row r="1145" spans="1:33">
      <c r="A1145" s="1" t="s">
        <v>1154</v>
      </c>
      <c r="B1145" s="1" t="s">
        <v>2409</v>
      </c>
      <c r="C1145" s="2">
        <v>45987</v>
      </c>
      <c r="D1145" s="1" t="s">
        <v>73</v>
      </c>
      <c r="E1145">
        <v>76</v>
      </c>
      <c r="F1145" s="2">
        <v>46081</v>
      </c>
      <c r="G1145" s="1" t="s">
        <v>1155</v>
      </c>
      <c r="H1145" s="1" t="s">
        <v>1110</v>
      </c>
      <c r="I1145" s="1" t="s">
        <v>1111</v>
      </c>
      <c r="J1145" s="1" t="s">
        <v>1111</v>
      </c>
      <c r="K1145" s="1" t="s">
        <v>1081</v>
      </c>
      <c r="L1145">
        <v>10</v>
      </c>
      <c r="M1145">
        <v>52.8</v>
      </c>
      <c r="N1145">
        <v>30.5</v>
      </c>
      <c r="O1145">
        <v>33.200000000000003</v>
      </c>
      <c r="P1145">
        <v>5.3469999999999997E-2</v>
      </c>
      <c r="Q1145">
        <v>6.45</v>
      </c>
      <c r="R1145">
        <v>0.69</v>
      </c>
      <c r="S1145">
        <v>5</v>
      </c>
      <c r="T1145">
        <v>3</v>
      </c>
      <c r="U1145">
        <v>15</v>
      </c>
      <c r="V1145">
        <v>114.6</v>
      </c>
      <c r="W1145">
        <v>121.75</v>
      </c>
      <c r="X1145">
        <v>0.80204999999999993</v>
      </c>
      <c r="Y1145">
        <v>7.6</v>
      </c>
      <c r="Z1145">
        <v>0.40637199999999996</v>
      </c>
      <c r="AA1145">
        <v>0.5066666666666666</v>
      </c>
      <c r="AB1145">
        <v>52.44</v>
      </c>
      <c r="AC1145">
        <v>1</v>
      </c>
      <c r="AD1145" s="1" t="s">
        <v>74</v>
      </c>
      <c r="AE1145">
        <v>0</v>
      </c>
      <c r="AF1145">
        <v>0</v>
      </c>
      <c r="AG1145">
        <v>-3.0921052631578947</v>
      </c>
    </row>
    <row r="1146" spans="1:33">
      <c r="A1146" s="1" t="s">
        <v>1156</v>
      </c>
      <c r="B1146" s="1" t="s">
        <v>2410</v>
      </c>
      <c r="C1146" s="2">
        <v>47102</v>
      </c>
      <c r="D1146" s="1" t="s">
        <v>34</v>
      </c>
      <c r="E1146">
        <v>1204</v>
      </c>
      <c r="F1146" s="2">
        <v>46081</v>
      </c>
      <c r="G1146" s="1" t="s">
        <v>1157</v>
      </c>
      <c r="H1146" s="1" t="s">
        <v>1110</v>
      </c>
      <c r="I1146" s="1" t="s">
        <v>1111</v>
      </c>
      <c r="J1146" s="1" t="s">
        <v>1111</v>
      </c>
      <c r="K1146" s="1" t="s">
        <v>1081</v>
      </c>
      <c r="L1146">
        <v>100</v>
      </c>
      <c r="M1146">
        <v>47.5</v>
      </c>
      <c r="N1146">
        <v>31.5</v>
      </c>
      <c r="O1146">
        <v>38.4</v>
      </c>
      <c r="P1146">
        <v>5.7459999999999997E-2</v>
      </c>
      <c r="Q1146">
        <v>6.65</v>
      </c>
      <c r="R1146">
        <v>6.47</v>
      </c>
      <c r="S1146">
        <v>6</v>
      </c>
      <c r="T1146">
        <v>3</v>
      </c>
      <c r="U1146">
        <v>18</v>
      </c>
      <c r="V1146">
        <v>130.19999999999999</v>
      </c>
      <c r="W1146">
        <v>144.69999999999999</v>
      </c>
      <c r="X1146">
        <v>1.0342800000000001</v>
      </c>
      <c r="Y1146">
        <v>12.04</v>
      </c>
      <c r="Z1146">
        <v>0.69181840000000006</v>
      </c>
      <c r="AA1146">
        <v>0.66888888888888887</v>
      </c>
      <c r="AB1146">
        <v>7789.88</v>
      </c>
      <c r="AC1146">
        <v>1</v>
      </c>
      <c r="AD1146" s="1" t="s">
        <v>40</v>
      </c>
      <c r="AE1146">
        <v>1</v>
      </c>
      <c r="AF1146">
        <v>0</v>
      </c>
      <c r="AG1146">
        <v>33.585526315789473</v>
      </c>
    </row>
    <row r="1147" spans="1:33">
      <c r="A1147" s="1" t="s">
        <v>1158</v>
      </c>
      <c r="B1147" s="1" t="s">
        <v>2411</v>
      </c>
      <c r="C1147" s="2">
        <v>46958</v>
      </c>
      <c r="D1147" s="1" t="s">
        <v>34</v>
      </c>
      <c r="E1147">
        <v>13</v>
      </c>
      <c r="F1147" s="2">
        <v>46081</v>
      </c>
      <c r="G1147" s="1" t="s">
        <v>1159</v>
      </c>
      <c r="H1147" s="1" t="s">
        <v>1110</v>
      </c>
      <c r="I1147" s="1" t="s">
        <v>1111</v>
      </c>
      <c r="J1147" s="1" t="s">
        <v>1111</v>
      </c>
      <c r="K1147" s="1" t="s">
        <v>1081</v>
      </c>
      <c r="L1147">
        <v>20</v>
      </c>
      <c r="M1147">
        <v>41.8</v>
      </c>
      <c r="N1147">
        <v>35.700000000000003</v>
      </c>
      <c r="O1147">
        <v>30</v>
      </c>
      <c r="P1147">
        <v>4.4769999999999997E-2</v>
      </c>
      <c r="Q1147">
        <v>7</v>
      </c>
      <c r="R1147">
        <v>2.33</v>
      </c>
      <c r="S1147">
        <v>4</v>
      </c>
      <c r="T1147">
        <v>3</v>
      </c>
      <c r="U1147">
        <v>12</v>
      </c>
      <c r="V1147">
        <v>105</v>
      </c>
      <c r="W1147">
        <v>109</v>
      </c>
      <c r="X1147">
        <v>0.53723999999999994</v>
      </c>
      <c r="Y1147">
        <v>0.65</v>
      </c>
      <c r="Z1147">
        <v>2.9100499999999998E-2</v>
      </c>
      <c r="AA1147">
        <v>5.4166666666666669E-2</v>
      </c>
      <c r="AB1147">
        <v>30.29</v>
      </c>
      <c r="AC1147">
        <v>1</v>
      </c>
      <c r="AD1147" s="1" t="s">
        <v>44</v>
      </c>
      <c r="AE1147">
        <v>0</v>
      </c>
      <c r="AF1147">
        <v>1</v>
      </c>
      <c r="AG1147">
        <v>28.848684210526319</v>
      </c>
    </row>
    <row r="1148" spans="1:33">
      <c r="A1148" s="1" t="s">
        <v>1158</v>
      </c>
      <c r="B1148" s="1" t="s">
        <v>2412</v>
      </c>
      <c r="C1148" s="2">
        <v>46592</v>
      </c>
      <c r="D1148" s="1" t="s">
        <v>34</v>
      </c>
      <c r="E1148">
        <v>757</v>
      </c>
      <c r="F1148" s="2">
        <v>46081</v>
      </c>
      <c r="G1148" s="1" t="s">
        <v>1159</v>
      </c>
      <c r="H1148" s="1" t="s">
        <v>1110</v>
      </c>
      <c r="I1148" s="1" t="s">
        <v>1111</v>
      </c>
      <c r="J1148" s="1" t="s">
        <v>1111</v>
      </c>
      <c r="K1148" s="1" t="s">
        <v>1081</v>
      </c>
      <c r="L1148">
        <v>20</v>
      </c>
      <c r="M1148">
        <v>41.8</v>
      </c>
      <c r="N1148">
        <v>35.700000000000003</v>
      </c>
      <c r="O1148">
        <v>30</v>
      </c>
      <c r="P1148">
        <v>4.4769999999999997E-2</v>
      </c>
      <c r="Q1148">
        <v>7</v>
      </c>
      <c r="R1148">
        <v>2.33</v>
      </c>
      <c r="S1148">
        <v>4</v>
      </c>
      <c r="T1148">
        <v>3</v>
      </c>
      <c r="U1148">
        <v>12</v>
      </c>
      <c r="V1148">
        <v>105</v>
      </c>
      <c r="W1148">
        <v>109</v>
      </c>
      <c r="X1148">
        <v>0.53723999999999994</v>
      </c>
      <c r="Y1148">
        <v>37.85</v>
      </c>
      <c r="Z1148">
        <v>1.6945444999999999</v>
      </c>
      <c r="AA1148">
        <v>3.1541666666666668</v>
      </c>
      <c r="AB1148">
        <v>1763.81</v>
      </c>
      <c r="AC1148">
        <v>4</v>
      </c>
      <c r="AD1148" s="1" t="s">
        <v>40</v>
      </c>
      <c r="AE1148">
        <v>4</v>
      </c>
      <c r="AF1148">
        <v>0</v>
      </c>
      <c r="AG1148">
        <v>16.809210526315791</v>
      </c>
    </row>
    <row r="1149" spans="1:33">
      <c r="A1149" s="1" t="s">
        <v>1158</v>
      </c>
      <c r="B1149" s="1" t="s">
        <v>2413</v>
      </c>
      <c r="C1149" s="2">
        <v>46654</v>
      </c>
      <c r="D1149" s="1" t="s">
        <v>34</v>
      </c>
      <c r="E1149">
        <v>23</v>
      </c>
      <c r="F1149" s="2">
        <v>46081</v>
      </c>
      <c r="G1149" s="1" t="s">
        <v>1159</v>
      </c>
      <c r="H1149" s="1" t="s">
        <v>1110</v>
      </c>
      <c r="I1149" s="1" t="s">
        <v>1111</v>
      </c>
      <c r="J1149" s="1" t="s">
        <v>1111</v>
      </c>
      <c r="K1149" s="1" t="s">
        <v>1081</v>
      </c>
      <c r="L1149">
        <v>20</v>
      </c>
      <c r="M1149">
        <v>41.8</v>
      </c>
      <c r="N1149">
        <v>35.700000000000003</v>
      </c>
      <c r="O1149">
        <v>30</v>
      </c>
      <c r="P1149">
        <v>4.4769999999999997E-2</v>
      </c>
      <c r="Q1149">
        <v>7</v>
      </c>
      <c r="R1149">
        <v>2.33</v>
      </c>
      <c r="S1149">
        <v>4</v>
      </c>
      <c r="T1149">
        <v>3</v>
      </c>
      <c r="U1149">
        <v>12</v>
      </c>
      <c r="V1149">
        <v>105</v>
      </c>
      <c r="W1149">
        <v>109</v>
      </c>
      <c r="X1149">
        <v>0.53723999999999994</v>
      </c>
      <c r="Y1149">
        <v>1.1499999999999999</v>
      </c>
      <c r="Z1149">
        <v>5.148549999999999E-2</v>
      </c>
      <c r="AA1149">
        <v>9.5833333333333326E-2</v>
      </c>
      <c r="AB1149">
        <v>53.59</v>
      </c>
      <c r="AC1149">
        <v>1</v>
      </c>
      <c r="AD1149" s="1" t="s">
        <v>44</v>
      </c>
      <c r="AE1149">
        <v>0</v>
      </c>
      <c r="AF1149">
        <v>1</v>
      </c>
      <c r="AG1149">
        <v>18.848684210526315</v>
      </c>
    </row>
    <row r="1150" spans="1:33">
      <c r="A1150" s="1" t="s">
        <v>1158</v>
      </c>
      <c r="B1150" s="1" t="s">
        <v>2414</v>
      </c>
      <c r="C1150" s="2">
        <v>46649</v>
      </c>
      <c r="D1150" s="1" t="s">
        <v>34</v>
      </c>
      <c r="E1150">
        <v>54</v>
      </c>
      <c r="F1150" s="2">
        <v>46081</v>
      </c>
      <c r="G1150" s="1" t="s">
        <v>1159</v>
      </c>
      <c r="H1150" s="1" t="s">
        <v>1110</v>
      </c>
      <c r="I1150" s="1" t="s">
        <v>1111</v>
      </c>
      <c r="J1150" s="1" t="s">
        <v>1111</v>
      </c>
      <c r="K1150" s="1" t="s">
        <v>1081</v>
      </c>
      <c r="L1150">
        <v>20</v>
      </c>
      <c r="M1150">
        <v>41.8</v>
      </c>
      <c r="N1150">
        <v>35.700000000000003</v>
      </c>
      <c r="O1150">
        <v>30</v>
      </c>
      <c r="P1150">
        <v>4.4769999999999997E-2</v>
      </c>
      <c r="Q1150">
        <v>7</v>
      </c>
      <c r="R1150">
        <v>2.33</v>
      </c>
      <c r="S1150">
        <v>4</v>
      </c>
      <c r="T1150">
        <v>3</v>
      </c>
      <c r="U1150">
        <v>12</v>
      </c>
      <c r="V1150">
        <v>105</v>
      </c>
      <c r="W1150">
        <v>109</v>
      </c>
      <c r="X1150">
        <v>0.53723999999999994</v>
      </c>
      <c r="Y1150">
        <v>2.7</v>
      </c>
      <c r="Z1150">
        <v>0.120879</v>
      </c>
      <c r="AA1150">
        <v>0.22500000000000001</v>
      </c>
      <c r="AB1150">
        <v>125.82000000000001</v>
      </c>
      <c r="AC1150">
        <v>1</v>
      </c>
      <c r="AD1150" s="1" t="s">
        <v>44</v>
      </c>
      <c r="AE1150">
        <v>0</v>
      </c>
      <c r="AF1150">
        <v>1</v>
      </c>
      <c r="AG1150">
        <v>18.684210526315791</v>
      </c>
    </row>
    <row r="1151" spans="1:33">
      <c r="A1151" s="1" t="s">
        <v>1160</v>
      </c>
      <c r="B1151" s="1" t="s">
        <v>2415</v>
      </c>
      <c r="C1151" s="2">
        <v>47152</v>
      </c>
      <c r="D1151" s="1" t="s">
        <v>34</v>
      </c>
      <c r="E1151">
        <v>2303</v>
      </c>
      <c r="F1151" s="2">
        <v>46081</v>
      </c>
      <c r="G1151" s="1" t="s">
        <v>1161</v>
      </c>
      <c r="H1151" s="1" t="s">
        <v>1110</v>
      </c>
      <c r="I1151" s="1" t="s">
        <v>1111</v>
      </c>
      <c r="J1151" s="1" t="s">
        <v>1111</v>
      </c>
      <c r="K1151" s="1" t="s">
        <v>1081</v>
      </c>
      <c r="L1151">
        <v>50</v>
      </c>
      <c r="M1151">
        <v>53.3</v>
      </c>
      <c r="N1151">
        <v>41.6</v>
      </c>
      <c r="O1151">
        <v>35.6</v>
      </c>
      <c r="P1151">
        <v>7.8939999999999996E-2</v>
      </c>
      <c r="Q1151">
        <v>6.56</v>
      </c>
      <c r="R1151">
        <v>3.53</v>
      </c>
      <c r="S1151">
        <v>4</v>
      </c>
      <c r="T1151">
        <v>4</v>
      </c>
      <c r="U1151">
        <v>16</v>
      </c>
      <c r="V1151">
        <v>157.4</v>
      </c>
      <c r="W1151">
        <v>129.95999999999998</v>
      </c>
      <c r="X1151">
        <v>1.2630399999999999</v>
      </c>
      <c r="Y1151">
        <v>46.06</v>
      </c>
      <c r="Z1151">
        <v>3.6359764000000001</v>
      </c>
      <c r="AA1151">
        <v>2.8787500000000001</v>
      </c>
      <c r="AB1151">
        <v>8129.5899999999992</v>
      </c>
      <c r="AC1151">
        <v>3</v>
      </c>
      <c r="AD1151" s="1" t="s">
        <v>40</v>
      </c>
      <c r="AE1151">
        <v>3</v>
      </c>
      <c r="AF1151">
        <v>0</v>
      </c>
      <c r="AG1151">
        <v>35.23026315789474</v>
      </c>
    </row>
    <row r="1152" spans="1:33">
      <c r="A1152" s="1" t="s">
        <v>1160</v>
      </c>
      <c r="B1152" s="1" t="s">
        <v>2416</v>
      </c>
      <c r="C1152" s="2">
        <v>46615</v>
      </c>
      <c r="D1152" s="1" t="s">
        <v>34</v>
      </c>
      <c r="E1152">
        <v>902</v>
      </c>
      <c r="F1152" s="2">
        <v>46081</v>
      </c>
      <c r="G1152" s="1" t="s">
        <v>1161</v>
      </c>
      <c r="H1152" s="1" t="s">
        <v>1110</v>
      </c>
      <c r="I1152" s="1" t="s">
        <v>1111</v>
      </c>
      <c r="J1152" s="1" t="s">
        <v>1111</v>
      </c>
      <c r="K1152" s="1" t="s">
        <v>1081</v>
      </c>
      <c r="L1152">
        <v>50</v>
      </c>
      <c r="M1152">
        <v>53.3</v>
      </c>
      <c r="N1152">
        <v>41.6</v>
      </c>
      <c r="O1152">
        <v>35.6</v>
      </c>
      <c r="P1152">
        <v>7.8939999999999996E-2</v>
      </c>
      <c r="Q1152">
        <v>6.56</v>
      </c>
      <c r="R1152">
        <v>3.53</v>
      </c>
      <c r="S1152">
        <v>4</v>
      </c>
      <c r="T1152">
        <v>4</v>
      </c>
      <c r="U1152">
        <v>16</v>
      </c>
      <c r="V1152">
        <v>157.4</v>
      </c>
      <c r="W1152">
        <v>129.95999999999998</v>
      </c>
      <c r="X1152">
        <v>1.2630399999999999</v>
      </c>
      <c r="Y1152">
        <v>18.04</v>
      </c>
      <c r="Z1152">
        <v>1.4240775999999999</v>
      </c>
      <c r="AA1152">
        <v>1.1274999999999999</v>
      </c>
      <c r="AB1152">
        <v>3184.06</v>
      </c>
      <c r="AC1152">
        <v>2</v>
      </c>
      <c r="AD1152" s="1" t="s">
        <v>40</v>
      </c>
      <c r="AE1152">
        <v>2</v>
      </c>
      <c r="AF1152">
        <v>0</v>
      </c>
      <c r="AG1152">
        <v>17.565789473684212</v>
      </c>
    </row>
    <row r="1153" spans="1:33">
      <c r="A1153" s="1" t="s">
        <v>1160</v>
      </c>
      <c r="B1153" s="1" t="s">
        <v>2417</v>
      </c>
      <c r="C1153" s="2">
        <v>47109</v>
      </c>
      <c r="D1153" s="1" t="s">
        <v>34</v>
      </c>
      <c r="E1153">
        <v>3</v>
      </c>
      <c r="F1153" s="2">
        <v>46081</v>
      </c>
      <c r="G1153" s="1" t="s">
        <v>1161</v>
      </c>
      <c r="H1153" s="1" t="s">
        <v>1110</v>
      </c>
      <c r="I1153" s="1" t="s">
        <v>1111</v>
      </c>
      <c r="J1153" s="1" t="s">
        <v>1111</v>
      </c>
      <c r="K1153" s="1" t="s">
        <v>1081</v>
      </c>
      <c r="L1153">
        <v>50</v>
      </c>
      <c r="M1153">
        <v>53.3</v>
      </c>
      <c r="N1153">
        <v>41.6</v>
      </c>
      <c r="O1153">
        <v>35.6</v>
      </c>
      <c r="P1153">
        <v>7.8939999999999996E-2</v>
      </c>
      <c r="Q1153">
        <v>6.56</v>
      </c>
      <c r="R1153">
        <v>3.53</v>
      </c>
      <c r="S1153">
        <v>4</v>
      </c>
      <c r="T1153">
        <v>4</v>
      </c>
      <c r="U1153">
        <v>16</v>
      </c>
      <c r="V1153">
        <v>157.4</v>
      </c>
      <c r="W1153">
        <v>129.95999999999998</v>
      </c>
      <c r="X1153">
        <v>1.2630399999999999</v>
      </c>
      <c r="Y1153">
        <v>0.06</v>
      </c>
      <c r="Z1153">
        <v>4.7364E-3</v>
      </c>
      <c r="AA1153">
        <v>3.7499999999999999E-3</v>
      </c>
      <c r="AB1153">
        <v>10.59</v>
      </c>
      <c r="AC1153">
        <v>1</v>
      </c>
      <c r="AD1153" s="1" t="s">
        <v>44</v>
      </c>
      <c r="AE1153">
        <v>0</v>
      </c>
      <c r="AF1153">
        <v>1</v>
      </c>
      <c r="AG1153">
        <v>33.815789473684212</v>
      </c>
    </row>
    <row r="1154" spans="1:33">
      <c r="A1154" s="1" t="s">
        <v>1162</v>
      </c>
      <c r="B1154" s="1" t="s">
        <v>2418</v>
      </c>
      <c r="C1154" s="2">
        <v>46969</v>
      </c>
      <c r="D1154" s="1" t="s">
        <v>34</v>
      </c>
      <c r="E1154">
        <v>1029</v>
      </c>
      <c r="F1154" s="2">
        <v>46081</v>
      </c>
      <c r="G1154" s="1" t="s">
        <v>1163</v>
      </c>
      <c r="H1154" s="1" t="s">
        <v>1110</v>
      </c>
      <c r="I1154" s="1" t="s">
        <v>1111</v>
      </c>
      <c r="J1154" s="1" t="s">
        <v>1111</v>
      </c>
      <c r="K1154" s="1" t="s">
        <v>1081</v>
      </c>
      <c r="L1154">
        <v>50</v>
      </c>
      <c r="M1154">
        <v>47.4</v>
      </c>
      <c r="N1154">
        <v>35</v>
      </c>
      <c r="O1154">
        <v>37.4</v>
      </c>
      <c r="P1154">
        <v>6.2050000000000001E-2</v>
      </c>
      <c r="Q1154">
        <v>6.53</v>
      </c>
      <c r="R1154">
        <v>2.16</v>
      </c>
      <c r="S1154">
        <v>6</v>
      </c>
      <c r="T1154">
        <v>3</v>
      </c>
      <c r="U1154">
        <v>18</v>
      </c>
      <c r="V1154">
        <v>127.2</v>
      </c>
      <c r="W1154">
        <v>142.54000000000002</v>
      </c>
      <c r="X1154">
        <v>1.1169</v>
      </c>
      <c r="Y1154">
        <v>20.58</v>
      </c>
      <c r="Z1154">
        <v>1.2769889999999999</v>
      </c>
      <c r="AA1154">
        <v>1.1433333333333333</v>
      </c>
      <c r="AB1154">
        <v>2222.6400000000003</v>
      </c>
      <c r="AC1154">
        <v>2</v>
      </c>
      <c r="AD1154" s="1" t="s">
        <v>40</v>
      </c>
      <c r="AE1154">
        <v>2</v>
      </c>
      <c r="AF1154">
        <v>0</v>
      </c>
      <c r="AG1154">
        <v>29.210526315789476</v>
      </c>
    </row>
    <row r="1155" spans="1:33">
      <c r="A1155" s="1" t="s">
        <v>1164</v>
      </c>
      <c r="B1155" s="1" t="s">
        <v>2419</v>
      </c>
      <c r="C1155" s="2">
        <v>46393</v>
      </c>
      <c r="D1155" s="1" t="s">
        <v>34</v>
      </c>
      <c r="E1155">
        <v>62</v>
      </c>
      <c r="F1155" s="2">
        <v>46081</v>
      </c>
      <c r="G1155" s="1" t="s">
        <v>1165</v>
      </c>
      <c r="H1155" s="1" t="s">
        <v>1110</v>
      </c>
      <c r="I1155" s="1" t="s">
        <v>1111</v>
      </c>
      <c r="J1155" s="1" t="s">
        <v>1111</v>
      </c>
      <c r="K1155" s="1" t="s">
        <v>1081</v>
      </c>
      <c r="L1155">
        <v>50</v>
      </c>
      <c r="M1155">
        <v>55.6</v>
      </c>
      <c r="N1155">
        <v>41</v>
      </c>
      <c r="O1155">
        <v>38.4</v>
      </c>
      <c r="P1155">
        <v>8.7540000000000007E-2</v>
      </c>
      <c r="Q1155">
        <v>6.03</v>
      </c>
      <c r="R1155">
        <v>6.65</v>
      </c>
      <c r="S1155">
        <v>4</v>
      </c>
      <c r="T1155">
        <v>1</v>
      </c>
      <c r="U1155">
        <v>4</v>
      </c>
      <c r="V1155">
        <v>53.4</v>
      </c>
      <c r="W1155">
        <v>49.120000000000005</v>
      </c>
      <c r="X1155">
        <v>0.35016000000000003</v>
      </c>
      <c r="Y1155">
        <v>1.24</v>
      </c>
      <c r="Z1155">
        <v>0.10854960000000001</v>
      </c>
      <c r="AA1155">
        <v>0.31</v>
      </c>
      <c r="AB1155">
        <v>412.3</v>
      </c>
      <c r="AC1155">
        <v>1</v>
      </c>
      <c r="AD1155" s="1" t="s">
        <v>44</v>
      </c>
      <c r="AE1155">
        <v>0</v>
      </c>
      <c r="AF1155">
        <v>1</v>
      </c>
      <c r="AG1155">
        <v>10.263157894736842</v>
      </c>
    </row>
    <row r="1156" spans="1:33">
      <c r="A1156" s="1" t="s">
        <v>1164</v>
      </c>
      <c r="B1156" s="1" t="s">
        <v>2420</v>
      </c>
      <c r="C1156" s="2">
        <v>46463</v>
      </c>
      <c r="D1156" s="1" t="s">
        <v>34</v>
      </c>
      <c r="E1156">
        <v>929</v>
      </c>
      <c r="F1156" s="2">
        <v>46081</v>
      </c>
      <c r="G1156" s="1" t="s">
        <v>1165</v>
      </c>
      <c r="H1156" s="1" t="s">
        <v>1110</v>
      </c>
      <c r="I1156" s="1" t="s">
        <v>1111</v>
      </c>
      <c r="J1156" s="1" t="s">
        <v>1111</v>
      </c>
      <c r="K1156" s="1" t="s">
        <v>1081</v>
      </c>
      <c r="L1156">
        <v>50</v>
      </c>
      <c r="M1156">
        <v>55.6</v>
      </c>
      <c r="N1156">
        <v>41</v>
      </c>
      <c r="O1156">
        <v>38.4</v>
      </c>
      <c r="P1156">
        <v>8.7540000000000007E-2</v>
      </c>
      <c r="Q1156">
        <v>6.03</v>
      </c>
      <c r="R1156">
        <v>6.65</v>
      </c>
      <c r="S1156">
        <v>4</v>
      </c>
      <c r="T1156">
        <v>1</v>
      </c>
      <c r="U1156">
        <v>4</v>
      </c>
      <c r="V1156">
        <v>53.4</v>
      </c>
      <c r="W1156">
        <v>49.120000000000005</v>
      </c>
      <c r="X1156">
        <v>0.35016000000000003</v>
      </c>
      <c r="Y1156">
        <v>18.579999999999998</v>
      </c>
      <c r="Z1156">
        <v>1.6264932000000001</v>
      </c>
      <c r="AA1156">
        <v>4.6449999999999996</v>
      </c>
      <c r="AB1156">
        <v>6177.85</v>
      </c>
      <c r="AC1156">
        <v>5</v>
      </c>
      <c r="AD1156" s="1" t="s">
        <v>40</v>
      </c>
      <c r="AE1156">
        <v>5</v>
      </c>
      <c r="AF1156">
        <v>0</v>
      </c>
      <c r="AG1156">
        <v>12.565789473684211</v>
      </c>
    </row>
    <row r="1157" spans="1:33">
      <c r="A1157" s="1" t="s">
        <v>1166</v>
      </c>
      <c r="B1157" s="1" t="s">
        <v>2421</v>
      </c>
      <c r="C1157" s="2">
        <v>46338</v>
      </c>
      <c r="D1157" s="1" t="s">
        <v>34</v>
      </c>
      <c r="E1157">
        <v>43</v>
      </c>
      <c r="F1157" s="2">
        <v>46081</v>
      </c>
      <c r="G1157" s="1" t="s">
        <v>1167</v>
      </c>
      <c r="H1157" s="1" t="s">
        <v>1110</v>
      </c>
      <c r="I1157" s="1" t="s">
        <v>1111</v>
      </c>
      <c r="J1157" s="1" t="s">
        <v>1111</v>
      </c>
      <c r="K1157" s="1" t="s">
        <v>1081</v>
      </c>
      <c r="L1157">
        <v>100</v>
      </c>
      <c r="M1157">
        <v>46.4</v>
      </c>
      <c r="N1157">
        <v>39.299999999999997</v>
      </c>
      <c r="O1157">
        <v>43.4</v>
      </c>
      <c r="P1157">
        <v>7.9140000000000002E-2</v>
      </c>
      <c r="Q1157">
        <v>13.43</v>
      </c>
      <c r="R1157">
        <v>4.12</v>
      </c>
      <c r="S1157">
        <v>4</v>
      </c>
      <c r="T1157">
        <v>2</v>
      </c>
      <c r="U1157">
        <v>8</v>
      </c>
      <c r="V1157">
        <v>101.8</v>
      </c>
      <c r="W1157">
        <v>132.44</v>
      </c>
      <c r="X1157">
        <v>0.63312000000000002</v>
      </c>
      <c r="Y1157">
        <v>0.43</v>
      </c>
      <c r="Z1157">
        <v>3.4030200000000004E-2</v>
      </c>
      <c r="AA1157">
        <v>5.3749999999999999E-2</v>
      </c>
      <c r="AB1157">
        <v>177.16</v>
      </c>
      <c r="AC1157">
        <v>1</v>
      </c>
      <c r="AD1157" s="1" t="s">
        <v>44</v>
      </c>
      <c r="AE1157">
        <v>0</v>
      </c>
      <c r="AF1157">
        <v>1</v>
      </c>
      <c r="AG1157">
        <v>8.4539473684210531</v>
      </c>
    </row>
    <row r="1158" spans="1:33">
      <c r="A1158" s="1" t="s">
        <v>1168</v>
      </c>
      <c r="B1158" s="1" t="s">
        <v>2422</v>
      </c>
      <c r="C1158" s="2">
        <v>46649</v>
      </c>
      <c r="D1158" s="1" t="s">
        <v>34</v>
      </c>
      <c r="E1158">
        <v>826</v>
      </c>
      <c r="F1158" s="2">
        <v>46081</v>
      </c>
      <c r="G1158" s="1" t="s">
        <v>1169</v>
      </c>
      <c r="H1158" s="1" t="s">
        <v>1110</v>
      </c>
      <c r="I1158" s="1" t="s">
        <v>1111</v>
      </c>
      <c r="J1158" s="1" t="s">
        <v>1111</v>
      </c>
      <c r="K1158" s="1" t="s">
        <v>1081</v>
      </c>
      <c r="L1158">
        <v>20</v>
      </c>
      <c r="M1158">
        <v>41.1</v>
      </c>
      <c r="N1158">
        <v>33</v>
      </c>
      <c r="O1158">
        <v>35.4</v>
      </c>
      <c r="P1158">
        <v>4.8009999999999997E-2</v>
      </c>
      <c r="Q1158">
        <v>3.74</v>
      </c>
      <c r="R1158">
        <v>6.78</v>
      </c>
      <c r="S1158">
        <v>6</v>
      </c>
      <c r="T1158">
        <v>2</v>
      </c>
      <c r="U1158">
        <v>12</v>
      </c>
      <c r="V1158">
        <v>85.8</v>
      </c>
      <c r="W1158">
        <v>69.88</v>
      </c>
      <c r="X1158">
        <v>0.57611999999999997</v>
      </c>
      <c r="Y1158">
        <v>41.3</v>
      </c>
      <c r="Z1158">
        <v>1.9828129999999997</v>
      </c>
      <c r="AA1158">
        <v>3.4416666666666664</v>
      </c>
      <c r="AB1158">
        <v>5600.2800000000007</v>
      </c>
      <c r="AC1158">
        <v>4</v>
      </c>
      <c r="AD1158" s="1" t="s">
        <v>40</v>
      </c>
      <c r="AE1158">
        <v>4</v>
      </c>
      <c r="AF1158">
        <v>0</v>
      </c>
      <c r="AG1158">
        <v>18.684210526315791</v>
      </c>
    </row>
    <row r="1159" spans="1:33">
      <c r="A1159" s="1" t="s">
        <v>1170</v>
      </c>
      <c r="B1159" s="1" t="s">
        <v>2423</v>
      </c>
      <c r="C1159" s="2">
        <v>46938</v>
      </c>
      <c r="D1159" s="1" t="s">
        <v>34</v>
      </c>
      <c r="E1159">
        <v>87</v>
      </c>
      <c r="F1159" s="2">
        <v>46081</v>
      </c>
      <c r="G1159" s="1" t="s">
        <v>1171</v>
      </c>
      <c r="H1159" s="1" t="s">
        <v>1110</v>
      </c>
      <c r="I1159" s="1" t="s">
        <v>1111</v>
      </c>
      <c r="J1159" s="1" t="s">
        <v>1111</v>
      </c>
      <c r="K1159" s="1" t="s">
        <v>1081</v>
      </c>
      <c r="L1159">
        <v>100</v>
      </c>
      <c r="M1159">
        <v>53.1</v>
      </c>
      <c r="N1159">
        <v>32.4</v>
      </c>
      <c r="O1159">
        <v>41.7</v>
      </c>
      <c r="P1159">
        <v>7.1739999999999998E-2</v>
      </c>
      <c r="Q1159">
        <v>12.61</v>
      </c>
      <c r="R1159">
        <v>3.68</v>
      </c>
      <c r="S1159">
        <v>6</v>
      </c>
      <c r="T1159">
        <v>2</v>
      </c>
      <c r="U1159">
        <v>12</v>
      </c>
      <c r="V1159">
        <v>98.4</v>
      </c>
      <c r="W1159">
        <v>176.32</v>
      </c>
      <c r="X1159">
        <v>0.86087999999999998</v>
      </c>
      <c r="Y1159">
        <v>0.87</v>
      </c>
      <c r="Z1159">
        <v>6.2413799999999998E-2</v>
      </c>
      <c r="AA1159">
        <v>7.2499999999999995E-2</v>
      </c>
      <c r="AB1159">
        <v>320.16000000000003</v>
      </c>
      <c r="AC1159">
        <v>1</v>
      </c>
      <c r="AD1159" s="1" t="s">
        <v>44</v>
      </c>
      <c r="AE1159">
        <v>0</v>
      </c>
      <c r="AF1159">
        <v>1</v>
      </c>
      <c r="AG1159">
        <v>28.190789473684212</v>
      </c>
    </row>
    <row r="1160" spans="1:33">
      <c r="A1160" s="1" t="s">
        <v>1170</v>
      </c>
      <c r="B1160" s="1" t="s">
        <v>2424</v>
      </c>
      <c r="C1160" s="2">
        <v>46753</v>
      </c>
      <c r="D1160" s="1" t="s">
        <v>34</v>
      </c>
      <c r="E1160">
        <v>554</v>
      </c>
      <c r="F1160" s="2">
        <v>46081</v>
      </c>
      <c r="G1160" s="1" t="s">
        <v>1171</v>
      </c>
      <c r="H1160" s="1" t="s">
        <v>1110</v>
      </c>
      <c r="I1160" s="1" t="s">
        <v>1111</v>
      </c>
      <c r="J1160" s="1" t="s">
        <v>1111</v>
      </c>
      <c r="K1160" s="1" t="s">
        <v>1081</v>
      </c>
      <c r="L1160">
        <v>100</v>
      </c>
      <c r="M1160">
        <v>53.1</v>
      </c>
      <c r="N1160">
        <v>32.4</v>
      </c>
      <c r="O1160">
        <v>41.7</v>
      </c>
      <c r="P1160">
        <v>7.1739999999999998E-2</v>
      </c>
      <c r="Q1160">
        <v>12.61</v>
      </c>
      <c r="R1160">
        <v>3.68</v>
      </c>
      <c r="S1160">
        <v>6</v>
      </c>
      <c r="T1160">
        <v>2</v>
      </c>
      <c r="U1160">
        <v>12</v>
      </c>
      <c r="V1160">
        <v>98.4</v>
      </c>
      <c r="W1160">
        <v>176.32</v>
      </c>
      <c r="X1160">
        <v>0.86087999999999998</v>
      </c>
      <c r="Y1160">
        <v>5.54</v>
      </c>
      <c r="Z1160">
        <v>0.3974396</v>
      </c>
      <c r="AA1160">
        <v>0.46166666666666667</v>
      </c>
      <c r="AB1160">
        <v>2038.72</v>
      </c>
      <c r="AC1160">
        <v>1</v>
      </c>
      <c r="AD1160" s="1" t="s">
        <v>40</v>
      </c>
      <c r="AE1160">
        <v>1</v>
      </c>
      <c r="AF1160">
        <v>0</v>
      </c>
      <c r="AG1160">
        <v>22.105263157894736</v>
      </c>
    </row>
    <row r="1161" spans="1:33">
      <c r="A1161" s="1" t="s">
        <v>1170</v>
      </c>
      <c r="B1161" s="1" t="s">
        <v>2425</v>
      </c>
      <c r="C1161" s="2">
        <v>46706</v>
      </c>
      <c r="D1161" s="1" t="s">
        <v>34</v>
      </c>
      <c r="E1161">
        <v>1585</v>
      </c>
      <c r="F1161" s="2">
        <v>46081</v>
      </c>
      <c r="G1161" s="1" t="s">
        <v>1171</v>
      </c>
      <c r="H1161" s="1" t="s">
        <v>1110</v>
      </c>
      <c r="I1161" s="1" t="s">
        <v>1111</v>
      </c>
      <c r="J1161" s="1" t="s">
        <v>1111</v>
      </c>
      <c r="K1161" s="1" t="s">
        <v>1081</v>
      </c>
      <c r="L1161">
        <v>100</v>
      </c>
      <c r="M1161">
        <v>53.1</v>
      </c>
      <c r="N1161">
        <v>32.4</v>
      </c>
      <c r="O1161">
        <v>41.7</v>
      </c>
      <c r="P1161">
        <v>7.1739999999999998E-2</v>
      </c>
      <c r="Q1161">
        <v>12.61</v>
      </c>
      <c r="R1161">
        <v>3.68</v>
      </c>
      <c r="S1161">
        <v>6</v>
      </c>
      <c r="T1161">
        <v>2</v>
      </c>
      <c r="U1161">
        <v>12</v>
      </c>
      <c r="V1161">
        <v>98.4</v>
      </c>
      <c r="W1161">
        <v>176.32</v>
      </c>
      <c r="X1161">
        <v>0.86087999999999998</v>
      </c>
      <c r="Y1161">
        <v>15.85</v>
      </c>
      <c r="Z1161">
        <v>1.137079</v>
      </c>
      <c r="AA1161">
        <v>1.3208333333333333</v>
      </c>
      <c r="AB1161">
        <v>5832.8</v>
      </c>
      <c r="AC1161">
        <v>2</v>
      </c>
      <c r="AD1161" s="1" t="s">
        <v>40</v>
      </c>
      <c r="AE1161">
        <v>2</v>
      </c>
      <c r="AF1161">
        <v>0</v>
      </c>
      <c r="AG1161">
        <v>20.559210526315791</v>
      </c>
    </row>
    <row r="1162" spans="1:33">
      <c r="A1162" s="1" t="s">
        <v>1170</v>
      </c>
      <c r="B1162" s="1" t="s">
        <v>2426</v>
      </c>
      <c r="C1162" s="2">
        <v>46727</v>
      </c>
      <c r="D1162" s="1" t="s">
        <v>34</v>
      </c>
      <c r="E1162">
        <v>154</v>
      </c>
      <c r="F1162" s="2">
        <v>46081</v>
      </c>
      <c r="G1162" s="1" t="s">
        <v>1171</v>
      </c>
      <c r="H1162" s="1" t="s">
        <v>1110</v>
      </c>
      <c r="I1162" s="1" t="s">
        <v>1111</v>
      </c>
      <c r="J1162" s="1" t="s">
        <v>1111</v>
      </c>
      <c r="K1162" s="1" t="s">
        <v>1081</v>
      </c>
      <c r="L1162">
        <v>100</v>
      </c>
      <c r="M1162">
        <v>53.1</v>
      </c>
      <c r="N1162">
        <v>32.4</v>
      </c>
      <c r="O1162">
        <v>41.7</v>
      </c>
      <c r="P1162">
        <v>7.1739999999999998E-2</v>
      </c>
      <c r="Q1162">
        <v>12.61</v>
      </c>
      <c r="R1162">
        <v>3.68</v>
      </c>
      <c r="S1162">
        <v>6</v>
      </c>
      <c r="T1162">
        <v>2</v>
      </c>
      <c r="U1162">
        <v>12</v>
      </c>
      <c r="V1162">
        <v>98.4</v>
      </c>
      <c r="W1162">
        <v>176.32</v>
      </c>
      <c r="X1162">
        <v>0.86087999999999998</v>
      </c>
      <c r="Y1162">
        <v>1.54</v>
      </c>
      <c r="Z1162">
        <v>0.1104796</v>
      </c>
      <c r="AA1162">
        <v>0.12833333333333333</v>
      </c>
      <c r="AB1162">
        <v>566.72</v>
      </c>
      <c r="AC1162">
        <v>1</v>
      </c>
      <c r="AD1162" s="1" t="s">
        <v>44</v>
      </c>
      <c r="AE1162">
        <v>0</v>
      </c>
      <c r="AF1162">
        <v>1</v>
      </c>
      <c r="AG1162">
        <v>21.25</v>
      </c>
    </row>
    <row r="1163" spans="1:33">
      <c r="A1163" s="1" t="s">
        <v>1172</v>
      </c>
      <c r="B1163" s="1" t="s">
        <v>2427</v>
      </c>
      <c r="C1163" s="2">
        <v>46940</v>
      </c>
      <c r="D1163" s="1" t="s">
        <v>34</v>
      </c>
      <c r="E1163">
        <v>1713</v>
      </c>
      <c r="F1163" s="2">
        <v>46081</v>
      </c>
      <c r="G1163" s="1" t="s">
        <v>1173</v>
      </c>
      <c r="H1163" s="1" t="s">
        <v>1110</v>
      </c>
      <c r="I1163" s="1" t="s">
        <v>1111</v>
      </c>
      <c r="J1163" s="1" t="s">
        <v>1111</v>
      </c>
      <c r="K1163" s="1" t="s">
        <v>1081</v>
      </c>
      <c r="L1163">
        <v>50</v>
      </c>
      <c r="M1163">
        <v>59.4</v>
      </c>
      <c r="N1163">
        <v>39.799999999999997</v>
      </c>
      <c r="O1163">
        <v>39.5</v>
      </c>
      <c r="P1163">
        <v>9.3380000000000005E-2</v>
      </c>
      <c r="Q1163">
        <v>12.19</v>
      </c>
      <c r="R1163">
        <v>6.14</v>
      </c>
      <c r="S1163">
        <v>2</v>
      </c>
      <c r="T1163">
        <v>2</v>
      </c>
      <c r="U1163">
        <v>4</v>
      </c>
      <c r="V1163">
        <v>94</v>
      </c>
      <c r="W1163">
        <v>73.759999999999991</v>
      </c>
      <c r="X1163">
        <v>0.37352000000000002</v>
      </c>
      <c r="Y1163">
        <v>34.26</v>
      </c>
      <c r="Z1163">
        <v>3.1991988</v>
      </c>
      <c r="AA1163">
        <v>8.5649999999999995</v>
      </c>
      <c r="AB1163">
        <v>10517.82</v>
      </c>
      <c r="AC1163">
        <v>9</v>
      </c>
      <c r="AD1163" s="1" t="s">
        <v>40</v>
      </c>
      <c r="AE1163">
        <v>9</v>
      </c>
      <c r="AF1163">
        <v>0</v>
      </c>
      <c r="AG1163">
        <v>28.256578947368421</v>
      </c>
    </row>
    <row r="1164" spans="1:33">
      <c r="A1164" s="1" t="s">
        <v>1172</v>
      </c>
      <c r="B1164" s="1" t="s">
        <v>2428</v>
      </c>
      <c r="C1164" s="2">
        <v>46511</v>
      </c>
      <c r="D1164" s="1" t="s">
        <v>34</v>
      </c>
      <c r="E1164">
        <v>6030</v>
      </c>
      <c r="F1164" s="2">
        <v>46081</v>
      </c>
      <c r="G1164" s="1" t="s">
        <v>1173</v>
      </c>
      <c r="H1164" s="1" t="s">
        <v>1110</v>
      </c>
      <c r="I1164" s="1" t="s">
        <v>1111</v>
      </c>
      <c r="J1164" s="1" t="s">
        <v>1111</v>
      </c>
      <c r="K1164" s="1" t="s">
        <v>1081</v>
      </c>
      <c r="L1164">
        <v>50</v>
      </c>
      <c r="M1164">
        <v>59.4</v>
      </c>
      <c r="N1164">
        <v>39.799999999999997</v>
      </c>
      <c r="O1164">
        <v>39.5</v>
      </c>
      <c r="P1164">
        <v>9.3380000000000005E-2</v>
      </c>
      <c r="Q1164">
        <v>12.19</v>
      </c>
      <c r="R1164">
        <v>6.14</v>
      </c>
      <c r="S1164">
        <v>2</v>
      </c>
      <c r="T1164">
        <v>2</v>
      </c>
      <c r="U1164">
        <v>4</v>
      </c>
      <c r="V1164">
        <v>94</v>
      </c>
      <c r="W1164">
        <v>73.759999999999991</v>
      </c>
      <c r="X1164">
        <v>0.37352000000000002</v>
      </c>
      <c r="Y1164">
        <v>120.6</v>
      </c>
      <c r="Z1164">
        <v>11.261628</v>
      </c>
      <c r="AA1164">
        <v>30.15</v>
      </c>
      <c r="AB1164">
        <v>37024.199999999997</v>
      </c>
      <c r="AC1164">
        <v>31</v>
      </c>
      <c r="AD1164" s="1" t="s">
        <v>40</v>
      </c>
      <c r="AE1164">
        <v>31</v>
      </c>
      <c r="AF1164">
        <v>0</v>
      </c>
      <c r="AG1164">
        <v>14.144736842105264</v>
      </c>
    </row>
    <row r="1165" spans="1:33">
      <c r="A1165" s="1" t="s">
        <v>1174</v>
      </c>
      <c r="B1165" s="1" t="s">
        <v>2429</v>
      </c>
      <c r="C1165" s="2">
        <v>46215</v>
      </c>
      <c r="D1165" s="1" t="s">
        <v>34</v>
      </c>
      <c r="E1165">
        <v>304</v>
      </c>
      <c r="F1165" s="2">
        <v>46081</v>
      </c>
      <c r="G1165" s="1" t="s">
        <v>1175</v>
      </c>
      <c r="H1165" s="1" t="s">
        <v>1110</v>
      </c>
      <c r="I1165" s="1" t="s">
        <v>1111</v>
      </c>
      <c r="J1165" s="1" t="s">
        <v>1111</v>
      </c>
      <c r="K1165" s="1" t="s">
        <v>1081</v>
      </c>
      <c r="L1165">
        <v>20</v>
      </c>
      <c r="M1165">
        <v>56</v>
      </c>
      <c r="N1165">
        <v>37.6</v>
      </c>
      <c r="O1165">
        <v>44.2</v>
      </c>
      <c r="P1165">
        <v>9.307E-2</v>
      </c>
      <c r="Q1165">
        <v>16.57</v>
      </c>
      <c r="R1165">
        <v>5.63</v>
      </c>
      <c r="S1165">
        <v>4</v>
      </c>
      <c r="T1165">
        <v>2</v>
      </c>
      <c r="U1165">
        <v>8</v>
      </c>
      <c r="V1165">
        <v>103.4</v>
      </c>
      <c r="W1165">
        <v>157.56</v>
      </c>
      <c r="X1165">
        <v>0.74456</v>
      </c>
      <c r="Y1165">
        <v>15.2</v>
      </c>
      <c r="Z1165">
        <v>1.4146639999999999</v>
      </c>
      <c r="AA1165">
        <v>1.9</v>
      </c>
      <c r="AB1165">
        <v>1711.52</v>
      </c>
      <c r="AC1165">
        <v>2</v>
      </c>
      <c r="AD1165" s="1" t="s">
        <v>40</v>
      </c>
      <c r="AE1165">
        <v>2</v>
      </c>
      <c r="AF1165">
        <v>0</v>
      </c>
      <c r="AG1165">
        <v>4.4078947368421053</v>
      </c>
    </row>
    <row r="1166" spans="1:33">
      <c r="A1166" s="1" t="s">
        <v>1174</v>
      </c>
      <c r="B1166" s="1" t="s">
        <v>2430</v>
      </c>
      <c r="C1166" s="2">
        <v>46688</v>
      </c>
      <c r="D1166" s="1" t="s">
        <v>34</v>
      </c>
      <c r="E1166">
        <v>712</v>
      </c>
      <c r="F1166" s="2">
        <v>46081</v>
      </c>
      <c r="G1166" s="1" t="s">
        <v>1175</v>
      </c>
      <c r="H1166" s="1" t="s">
        <v>1110</v>
      </c>
      <c r="I1166" s="1" t="s">
        <v>1111</v>
      </c>
      <c r="J1166" s="1" t="s">
        <v>1111</v>
      </c>
      <c r="K1166" s="1" t="s">
        <v>1081</v>
      </c>
      <c r="L1166">
        <v>20</v>
      </c>
      <c r="M1166">
        <v>56</v>
      </c>
      <c r="N1166">
        <v>37.6</v>
      </c>
      <c r="O1166">
        <v>44.2</v>
      </c>
      <c r="P1166">
        <v>9.307E-2</v>
      </c>
      <c r="Q1166">
        <v>16.57</v>
      </c>
      <c r="R1166">
        <v>5.63</v>
      </c>
      <c r="S1166">
        <v>4</v>
      </c>
      <c r="T1166">
        <v>2</v>
      </c>
      <c r="U1166">
        <v>8</v>
      </c>
      <c r="V1166">
        <v>103.4</v>
      </c>
      <c r="W1166">
        <v>157.56</v>
      </c>
      <c r="X1166">
        <v>0.74456</v>
      </c>
      <c r="Y1166">
        <v>35.6</v>
      </c>
      <c r="Z1166">
        <v>3.3132920000000001</v>
      </c>
      <c r="AA1166">
        <v>4.45</v>
      </c>
      <c r="AB1166">
        <v>4008.56</v>
      </c>
      <c r="AC1166">
        <v>5</v>
      </c>
      <c r="AD1166" s="1" t="s">
        <v>40</v>
      </c>
      <c r="AE1166">
        <v>5</v>
      </c>
      <c r="AF1166">
        <v>0</v>
      </c>
      <c r="AG1166">
        <v>19.967105263157897</v>
      </c>
    </row>
    <row r="1167" spans="1:33">
      <c r="A1167" s="1" t="s">
        <v>1174</v>
      </c>
      <c r="B1167" s="1" t="s">
        <v>2431</v>
      </c>
      <c r="C1167" s="2">
        <v>46618</v>
      </c>
      <c r="D1167" s="1" t="s">
        <v>45</v>
      </c>
      <c r="E1167">
        <v>20</v>
      </c>
      <c r="F1167" s="2">
        <v>46081</v>
      </c>
      <c r="G1167" s="1" t="s">
        <v>1175</v>
      </c>
      <c r="H1167" s="1" t="s">
        <v>1110</v>
      </c>
      <c r="I1167" s="1" t="s">
        <v>1111</v>
      </c>
      <c r="J1167" s="1" t="s">
        <v>1111</v>
      </c>
      <c r="K1167" s="1" t="s">
        <v>1081</v>
      </c>
      <c r="L1167">
        <v>20</v>
      </c>
      <c r="M1167">
        <v>56</v>
      </c>
      <c r="N1167">
        <v>37.6</v>
      </c>
      <c r="O1167">
        <v>44.2</v>
      </c>
      <c r="P1167">
        <v>9.307E-2</v>
      </c>
      <c r="Q1167">
        <v>16.57</v>
      </c>
      <c r="R1167">
        <v>5.63</v>
      </c>
      <c r="S1167">
        <v>4</v>
      </c>
      <c r="T1167">
        <v>2</v>
      </c>
      <c r="U1167">
        <v>8</v>
      </c>
      <c r="V1167">
        <v>103.4</v>
      </c>
      <c r="W1167">
        <v>157.56</v>
      </c>
      <c r="X1167">
        <v>0.74456</v>
      </c>
      <c r="Y1167">
        <v>1</v>
      </c>
      <c r="Z1167">
        <v>9.307E-2</v>
      </c>
      <c r="AA1167">
        <v>0.125</v>
      </c>
      <c r="AB1167">
        <v>112.6</v>
      </c>
      <c r="AC1167">
        <v>1</v>
      </c>
      <c r="AD1167" s="1" t="s">
        <v>44</v>
      </c>
      <c r="AE1167">
        <v>0</v>
      </c>
      <c r="AF1167">
        <v>1</v>
      </c>
      <c r="AG1167">
        <v>17.664473684210527</v>
      </c>
    </row>
    <row r="1168" spans="1:33">
      <c r="A1168" s="1" t="s">
        <v>1176</v>
      </c>
      <c r="B1168" s="1" t="s">
        <v>2432</v>
      </c>
      <c r="C1168" s="2">
        <v>46317</v>
      </c>
      <c r="D1168" s="1" t="s">
        <v>34</v>
      </c>
      <c r="E1168">
        <v>27249</v>
      </c>
      <c r="F1168" s="2">
        <v>46081</v>
      </c>
      <c r="G1168" s="1" t="s">
        <v>1177</v>
      </c>
      <c r="H1168" s="1" t="s">
        <v>1110</v>
      </c>
      <c r="I1168" s="1" t="s">
        <v>1111</v>
      </c>
      <c r="J1168" s="1" t="s">
        <v>1111</v>
      </c>
      <c r="K1168" s="1" t="s">
        <v>1081</v>
      </c>
      <c r="L1168">
        <v>100</v>
      </c>
      <c r="M1168">
        <v>56</v>
      </c>
      <c r="N1168">
        <v>31.6</v>
      </c>
      <c r="O1168">
        <v>40.700000000000003</v>
      </c>
      <c r="P1168">
        <v>7.2020000000000001E-2</v>
      </c>
      <c r="Q1168">
        <v>6.84</v>
      </c>
      <c r="R1168">
        <v>2.88</v>
      </c>
      <c r="S1168">
        <v>6</v>
      </c>
      <c r="T1168">
        <v>2</v>
      </c>
      <c r="U1168">
        <v>12</v>
      </c>
      <c r="V1168">
        <v>96.4</v>
      </c>
      <c r="W1168">
        <v>107.08</v>
      </c>
      <c r="X1168">
        <v>0.86424000000000001</v>
      </c>
      <c r="Y1168">
        <v>272.49</v>
      </c>
      <c r="Z1168">
        <v>19.624729800000001</v>
      </c>
      <c r="AA1168">
        <v>22.7075</v>
      </c>
      <c r="AB1168">
        <v>78477.119999999995</v>
      </c>
      <c r="AC1168">
        <v>23</v>
      </c>
      <c r="AD1168" s="1" t="s">
        <v>40</v>
      </c>
      <c r="AE1168">
        <v>23</v>
      </c>
      <c r="AF1168">
        <v>0</v>
      </c>
      <c r="AG1168">
        <v>7.7631578947368425</v>
      </c>
    </row>
    <row r="1169" spans="1:33">
      <c r="A1169" s="1" t="s">
        <v>1178</v>
      </c>
      <c r="B1169" s="1" t="s">
        <v>2433</v>
      </c>
      <c r="C1169" s="2">
        <v>46216</v>
      </c>
      <c r="D1169" s="1" t="s">
        <v>34</v>
      </c>
      <c r="E1169">
        <v>27</v>
      </c>
      <c r="F1169" s="2">
        <v>46081</v>
      </c>
      <c r="G1169" s="1" t="s">
        <v>1179</v>
      </c>
      <c r="H1169" s="1" t="s">
        <v>1110</v>
      </c>
      <c r="I1169" s="1" t="s">
        <v>1111</v>
      </c>
      <c r="J1169" s="1" t="s">
        <v>1111</v>
      </c>
      <c r="K1169" s="1" t="s">
        <v>1081</v>
      </c>
      <c r="L1169">
        <v>50</v>
      </c>
      <c r="M1169">
        <v>54.3</v>
      </c>
      <c r="N1169">
        <v>34.299999999999997</v>
      </c>
      <c r="O1169">
        <v>41.6</v>
      </c>
      <c r="P1169">
        <v>7.7479999999999993E-2</v>
      </c>
      <c r="Q1169">
        <v>6.31</v>
      </c>
      <c r="R1169">
        <v>7.62</v>
      </c>
      <c r="S1169">
        <v>4</v>
      </c>
      <c r="T1169">
        <v>1</v>
      </c>
      <c r="U1169">
        <v>4</v>
      </c>
      <c r="V1169">
        <v>56.6</v>
      </c>
      <c r="W1169">
        <v>50.24</v>
      </c>
      <c r="X1169">
        <v>0.30991999999999997</v>
      </c>
      <c r="Y1169">
        <v>0.54</v>
      </c>
      <c r="Z1169">
        <v>4.18392E-2</v>
      </c>
      <c r="AA1169">
        <v>0.13500000000000001</v>
      </c>
      <c r="AB1169">
        <v>205.74</v>
      </c>
      <c r="AC1169">
        <v>1</v>
      </c>
      <c r="AD1169" s="1" t="s">
        <v>44</v>
      </c>
      <c r="AE1169">
        <v>0</v>
      </c>
      <c r="AF1169">
        <v>1</v>
      </c>
      <c r="AG1169">
        <v>4.4407894736842106</v>
      </c>
    </row>
    <row r="1170" spans="1:33">
      <c r="A1170" s="1" t="s">
        <v>1178</v>
      </c>
      <c r="B1170" s="1" t="s">
        <v>2434</v>
      </c>
      <c r="C1170" s="2">
        <v>45841</v>
      </c>
      <c r="D1170" s="1" t="s">
        <v>73</v>
      </c>
      <c r="E1170">
        <v>2</v>
      </c>
      <c r="F1170" s="2">
        <v>46081</v>
      </c>
      <c r="G1170" s="1" t="s">
        <v>1179</v>
      </c>
      <c r="H1170" s="1" t="s">
        <v>1110</v>
      </c>
      <c r="I1170" s="1" t="s">
        <v>1111</v>
      </c>
      <c r="J1170" s="1" t="s">
        <v>1111</v>
      </c>
      <c r="K1170" s="1" t="s">
        <v>1081</v>
      </c>
      <c r="L1170">
        <v>50</v>
      </c>
      <c r="M1170">
        <v>54.3</v>
      </c>
      <c r="N1170">
        <v>34.299999999999997</v>
      </c>
      <c r="O1170">
        <v>41.6</v>
      </c>
      <c r="P1170">
        <v>7.7479999999999993E-2</v>
      </c>
      <c r="Q1170">
        <v>6.31</v>
      </c>
      <c r="R1170">
        <v>7.62</v>
      </c>
      <c r="S1170">
        <v>4</v>
      </c>
      <c r="T1170">
        <v>1</v>
      </c>
      <c r="U1170">
        <v>4</v>
      </c>
      <c r="V1170">
        <v>56.6</v>
      </c>
      <c r="W1170">
        <v>50.24</v>
      </c>
      <c r="X1170">
        <v>0.30991999999999997</v>
      </c>
      <c r="Y1170">
        <v>0.04</v>
      </c>
      <c r="Z1170">
        <v>3.0991999999999999E-3</v>
      </c>
      <c r="AA1170">
        <v>0.01</v>
      </c>
      <c r="AB1170">
        <v>15.24</v>
      </c>
      <c r="AC1170">
        <v>1</v>
      </c>
      <c r="AD1170" s="1" t="s">
        <v>74</v>
      </c>
      <c r="AE1170">
        <v>0</v>
      </c>
      <c r="AF1170">
        <v>0</v>
      </c>
      <c r="AG1170">
        <v>-7.8947368421052637</v>
      </c>
    </row>
    <row r="1171" spans="1:33">
      <c r="A1171" s="1" t="s">
        <v>1180</v>
      </c>
      <c r="B1171" s="1" t="s">
        <v>2435</v>
      </c>
      <c r="C1171" s="2">
        <v>46532</v>
      </c>
      <c r="D1171" s="1" t="s">
        <v>34</v>
      </c>
      <c r="E1171">
        <v>13</v>
      </c>
      <c r="F1171" s="2">
        <v>46081</v>
      </c>
      <c r="G1171" s="1" t="s">
        <v>1181</v>
      </c>
      <c r="H1171" s="1" t="s">
        <v>1110</v>
      </c>
      <c r="I1171" s="1" t="s">
        <v>1111</v>
      </c>
      <c r="J1171" s="1" t="s">
        <v>1111</v>
      </c>
      <c r="K1171" s="1" t="s">
        <v>1081</v>
      </c>
      <c r="L1171">
        <v>100</v>
      </c>
      <c r="M1171">
        <v>41</v>
      </c>
      <c r="N1171">
        <v>42.3</v>
      </c>
      <c r="O1171">
        <v>36.9</v>
      </c>
      <c r="P1171">
        <v>6.4000000000000001E-2</v>
      </c>
      <c r="Q1171">
        <v>7.5</v>
      </c>
      <c r="R1171">
        <v>6.16</v>
      </c>
      <c r="S1171">
        <v>4</v>
      </c>
      <c r="T1171">
        <v>4</v>
      </c>
      <c r="U1171">
        <v>16</v>
      </c>
      <c r="V1171">
        <v>162.6</v>
      </c>
      <c r="W1171">
        <v>145</v>
      </c>
      <c r="X1171">
        <v>1.024</v>
      </c>
      <c r="Y1171">
        <v>0.13</v>
      </c>
      <c r="Z1171">
        <v>8.320000000000001E-3</v>
      </c>
      <c r="AA1171">
        <v>8.1250000000000003E-3</v>
      </c>
      <c r="AB1171">
        <v>80.08</v>
      </c>
      <c r="AC1171">
        <v>1</v>
      </c>
      <c r="AD1171" s="1" t="s">
        <v>44</v>
      </c>
      <c r="AE1171">
        <v>0</v>
      </c>
      <c r="AF1171">
        <v>1</v>
      </c>
      <c r="AG1171">
        <v>14.835526315789474</v>
      </c>
    </row>
    <row r="1172" spans="1:33">
      <c r="A1172" s="1" t="s">
        <v>1180</v>
      </c>
      <c r="B1172" s="1" t="s">
        <v>2436</v>
      </c>
      <c r="C1172" s="2">
        <v>46311</v>
      </c>
      <c r="D1172" s="1" t="s">
        <v>34</v>
      </c>
      <c r="E1172">
        <v>14686</v>
      </c>
      <c r="F1172" s="2">
        <v>46081</v>
      </c>
      <c r="G1172" s="1" t="s">
        <v>1181</v>
      </c>
      <c r="H1172" s="1" t="s">
        <v>1110</v>
      </c>
      <c r="I1172" s="1" t="s">
        <v>1111</v>
      </c>
      <c r="J1172" s="1" t="s">
        <v>1111</v>
      </c>
      <c r="K1172" s="1" t="s">
        <v>1081</v>
      </c>
      <c r="L1172">
        <v>100</v>
      </c>
      <c r="M1172">
        <v>41</v>
      </c>
      <c r="N1172">
        <v>42.3</v>
      </c>
      <c r="O1172">
        <v>36.9</v>
      </c>
      <c r="P1172">
        <v>6.4000000000000001E-2</v>
      </c>
      <c r="Q1172">
        <v>7.5</v>
      </c>
      <c r="R1172">
        <v>6.16</v>
      </c>
      <c r="S1172">
        <v>4</v>
      </c>
      <c r="T1172">
        <v>4</v>
      </c>
      <c r="U1172">
        <v>16</v>
      </c>
      <c r="V1172">
        <v>162.6</v>
      </c>
      <c r="W1172">
        <v>145</v>
      </c>
      <c r="X1172">
        <v>1.024</v>
      </c>
      <c r="Y1172">
        <v>146.86000000000001</v>
      </c>
      <c r="Z1172">
        <v>9.3990400000000012</v>
      </c>
      <c r="AA1172">
        <v>9.1787500000000009</v>
      </c>
      <c r="AB1172">
        <v>90465.760000000009</v>
      </c>
      <c r="AC1172">
        <v>10</v>
      </c>
      <c r="AD1172" s="1" t="s">
        <v>40</v>
      </c>
      <c r="AE1172">
        <v>10</v>
      </c>
      <c r="AF1172">
        <v>0</v>
      </c>
      <c r="AG1172">
        <v>7.5657894736842106</v>
      </c>
    </row>
    <row r="1173" spans="1:33">
      <c r="A1173" s="1" t="s">
        <v>1182</v>
      </c>
      <c r="B1173" s="1" t="s">
        <v>2437</v>
      </c>
      <c r="C1173" s="2">
        <v>46656</v>
      </c>
      <c r="D1173" s="1" t="s">
        <v>34</v>
      </c>
      <c r="E1173">
        <v>17</v>
      </c>
      <c r="F1173" s="2">
        <v>46081</v>
      </c>
      <c r="G1173" s="1" t="s">
        <v>1183</v>
      </c>
      <c r="H1173" s="1" t="s">
        <v>1110</v>
      </c>
      <c r="I1173" s="1" t="s">
        <v>1111</v>
      </c>
      <c r="J1173" s="1" t="s">
        <v>1111</v>
      </c>
      <c r="K1173" s="1" t="s">
        <v>1081</v>
      </c>
      <c r="L1173">
        <v>10</v>
      </c>
      <c r="M1173">
        <v>44.1</v>
      </c>
      <c r="N1173">
        <v>34.5</v>
      </c>
      <c r="O1173">
        <v>31</v>
      </c>
      <c r="P1173">
        <v>4.7160000000000001E-2</v>
      </c>
      <c r="Q1173">
        <v>2.97</v>
      </c>
      <c r="R1173">
        <v>7.15</v>
      </c>
      <c r="S1173">
        <v>6</v>
      </c>
      <c r="T1173">
        <v>2</v>
      </c>
      <c r="U1173">
        <v>12</v>
      </c>
      <c r="V1173">
        <v>77</v>
      </c>
      <c r="W1173">
        <v>60.64</v>
      </c>
      <c r="X1173">
        <v>0.56591999999999998</v>
      </c>
      <c r="Y1173">
        <v>1.7</v>
      </c>
      <c r="Z1173">
        <v>8.0171999999999993E-2</v>
      </c>
      <c r="AA1173">
        <v>0.14166666666666666</v>
      </c>
      <c r="AB1173">
        <v>121.55000000000001</v>
      </c>
      <c r="AC1173">
        <v>1</v>
      </c>
      <c r="AD1173" s="1" t="s">
        <v>44</v>
      </c>
      <c r="AE1173">
        <v>0</v>
      </c>
      <c r="AF1173">
        <v>1</v>
      </c>
      <c r="AG1173">
        <v>18.914473684210527</v>
      </c>
    </row>
    <row r="1174" spans="1:33">
      <c r="A1174" s="1" t="s">
        <v>1182</v>
      </c>
      <c r="B1174" s="1" t="s">
        <v>2438</v>
      </c>
      <c r="C1174" s="2">
        <v>46811</v>
      </c>
      <c r="D1174" s="1" t="s">
        <v>34</v>
      </c>
      <c r="E1174">
        <v>13</v>
      </c>
      <c r="F1174" s="2">
        <v>46081</v>
      </c>
      <c r="G1174" s="1" t="s">
        <v>1183</v>
      </c>
      <c r="H1174" s="1" t="s">
        <v>1110</v>
      </c>
      <c r="I1174" s="1" t="s">
        <v>1111</v>
      </c>
      <c r="J1174" s="1" t="s">
        <v>1111</v>
      </c>
      <c r="K1174" s="1" t="s">
        <v>1081</v>
      </c>
      <c r="L1174">
        <v>10</v>
      </c>
      <c r="M1174">
        <v>44.1</v>
      </c>
      <c r="N1174">
        <v>34.5</v>
      </c>
      <c r="O1174">
        <v>31</v>
      </c>
      <c r="P1174">
        <v>4.7160000000000001E-2</v>
      </c>
      <c r="Q1174">
        <v>2.97</v>
      </c>
      <c r="R1174">
        <v>7.15</v>
      </c>
      <c r="S1174">
        <v>6</v>
      </c>
      <c r="T1174">
        <v>2</v>
      </c>
      <c r="U1174">
        <v>12</v>
      </c>
      <c r="V1174">
        <v>77</v>
      </c>
      <c r="W1174">
        <v>60.64</v>
      </c>
      <c r="X1174">
        <v>0.56591999999999998</v>
      </c>
      <c r="Y1174">
        <v>1.3</v>
      </c>
      <c r="Z1174">
        <v>6.1308000000000001E-2</v>
      </c>
      <c r="AA1174">
        <v>0.10833333333333334</v>
      </c>
      <c r="AB1174">
        <v>92.95</v>
      </c>
      <c r="AC1174">
        <v>1</v>
      </c>
      <c r="AD1174" s="1" t="s">
        <v>44</v>
      </c>
      <c r="AE1174">
        <v>0</v>
      </c>
      <c r="AF1174">
        <v>1</v>
      </c>
      <c r="AG1174">
        <v>24.013157894736842</v>
      </c>
    </row>
    <row r="1175" spans="1:33">
      <c r="A1175" s="1" t="s">
        <v>1182</v>
      </c>
      <c r="B1175" s="1" t="s">
        <v>2439</v>
      </c>
      <c r="C1175" s="2">
        <v>46448</v>
      </c>
      <c r="D1175" s="1" t="s">
        <v>34</v>
      </c>
      <c r="E1175">
        <v>3</v>
      </c>
      <c r="F1175" s="2">
        <v>46081</v>
      </c>
      <c r="G1175" s="1" t="s">
        <v>1183</v>
      </c>
      <c r="H1175" s="1" t="s">
        <v>1110</v>
      </c>
      <c r="I1175" s="1" t="s">
        <v>1111</v>
      </c>
      <c r="J1175" s="1" t="s">
        <v>1111</v>
      </c>
      <c r="K1175" s="1" t="s">
        <v>1081</v>
      </c>
      <c r="L1175">
        <v>10</v>
      </c>
      <c r="M1175">
        <v>44.1</v>
      </c>
      <c r="N1175">
        <v>34.5</v>
      </c>
      <c r="O1175">
        <v>31</v>
      </c>
      <c r="P1175">
        <v>4.7160000000000001E-2</v>
      </c>
      <c r="Q1175">
        <v>2.97</v>
      </c>
      <c r="R1175">
        <v>7.15</v>
      </c>
      <c r="S1175">
        <v>6</v>
      </c>
      <c r="T1175">
        <v>2</v>
      </c>
      <c r="U1175">
        <v>12</v>
      </c>
      <c r="V1175">
        <v>77</v>
      </c>
      <c r="W1175">
        <v>60.64</v>
      </c>
      <c r="X1175">
        <v>0.56591999999999998</v>
      </c>
      <c r="Y1175">
        <v>0.3</v>
      </c>
      <c r="Z1175">
        <v>1.4147999999999999E-2</v>
      </c>
      <c r="AA1175">
        <v>2.4999999999999998E-2</v>
      </c>
      <c r="AB1175">
        <v>21.450000000000003</v>
      </c>
      <c r="AC1175">
        <v>1</v>
      </c>
      <c r="AD1175" s="1" t="s">
        <v>44</v>
      </c>
      <c r="AE1175">
        <v>0</v>
      </c>
      <c r="AF1175">
        <v>1</v>
      </c>
      <c r="AG1175">
        <v>12.072368421052632</v>
      </c>
    </row>
    <row r="1176" spans="1:33">
      <c r="A1176" s="1" t="s">
        <v>1184</v>
      </c>
      <c r="B1176" s="1" t="s">
        <v>2440</v>
      </c>
      <c r="C1176" s="2">
        <v>46953</v>
      </c>
      <c r="D1176" s="1" t="s">
        <v>34</v>
      </c>
      <c r="E1176">
        <v>3040</v>
      </c>
      <c r="F1176" s="2">
        <v>46081</v>
      </c>
      <c r="G1176" s="1" t="s">
        <v>1185</v>
      </c>
      <c r="H1176" s="1" t="s">
        <v>1110</v>
      </c>
      <c r="I1176" s="1" t="s">
        <v>1111</v>
      </c>
      <c r="J1176" s="1" t="s">
        <v>1111</v>
      </c>
      <c r="K1176" s="1" t="s">
        <v>1081</v>
      </c>
      <c r="L1176">
        <v>20</v>
      </c>
      <c r="M1176">
        <v>64.3</v>
      </c>
      <c r="N1176">
        <v>41</v>
      </c>
      <c r="O1176">
        <v>27.5</v>
      </c>
      <c r="P1176">
        <v>7.2499999999999995E-2</v>
      </c>
      <c r="Q1176">
        <v>11.88</v>
      </c>
      <c r="R1176">
        <v>3.35</v>
      </c>
      <c r="S1176">
        <v>2</v>
      </c>
      <c r="T1176">
        <v>2</v>
      </c>
      <c r="U1176">
        <v>4</v>
      </c>
      <c r="V1176">
        <v>70</v>
      </c>
      <c r="W1176">
        <v>72.52000000000001</v>
      </c>
      <c r="X1176">
        <v>0.28999999999999998</v>
      </c>
      <c r="Y1176">
        <v>152</v>
      </c>
      <c r="Z1176">
        <v>11.02</v>
      </c>
      <c r="AA1176">
        <v>38</v>
      </c>
      <c r="AB1176">
        <v>10184</v>
      </c>
      <c r="AC1176">
        <v>38</v>
      </c>
      <c r="AD1176" s="1" t="s">
        <v>40</v>
      </c>
      <c r="AE1176">
        <v>38</v>
      </c>
      <c r="AF1176">
        <v>0</v>
      </c>
      <c r="AG1176">
        <v>28.684210526315791</v>
      </c>
    </row>
    <row r="1177" spans="1:33">
      <c r="A1177" s="1" t="s">
        <v>1184</v>
      </c>
      <c r="B1177" s="1" t="s">
        <v>2441</v>
      </c>
      <c r="C1177" s="2">
        <v>46680</v>
      </c>
      <c r="D1177" s="1" t="s">
        <v>34</v>
      </c>
      <c r="E1177">
        <v>935</v>
      </c>
      <c r="F1177" s="2">
        <v>46081</v>
      </c>
      <c r="G1177" s="1" t="s">
        <v>1185</v>
      </c>
      <c r="H1177" s="1" t="s">
        <v>1110</v>
      </c>
      <c r="I1177" s="1" t="s">
        <v>1111</v>
      </c>
      <c r="J1177" s="1" t="s">
        <v>1111</v>
      </c>
      <c r="K1177" s="1" t="s">
        <v>1081</v>
      </c>
      <c r="L1177">
        <v>20</v>
      </c>
      <c r="M1177">
        <v>64.3</v>
      </c>
      <c r="N1177">
        <v>41</v>
      </c>
      <c r="O1177">
        <v>27.5</v>
      </c>
      <c r="P1177">
        <v>7.2499999999999995E-2</v>
      </c>
      <c r="Q1177">
        <v>11.88</v>
      </c>
      <c r="R1177">
        <v>3.35</v>
      </c>
      <c r="S1177">
        <v>2</v>
      </c>
      <c r="T1177">
        <v>2</v>
      </c>
      <c r="U1177">
        <v>4</v>
      </c>
      <c r="V1177">
        <v>70</v>
      </c>
      <c r="W1177">
        <v>72.52000000000001</v>
      </c>
      <c r="X1177">
        <v>0.28999999999999998</v>
      </c>
      <c r="Y1177">
        <v>46.75</v>
      </c>
      <c r="Z1177">
        <v>3.3893749999999998</v>
      </c>
      <c r="AA1177">
        <v>11.6875</v>
      </c>
      <c r="AB1177">
        <v>3132.25</v>
      </c>
      <c r="AC1177">
        <v>12</v>
      </c>
      <c r="AD1177" s="1" t="s">
        <v>40</v>
      </c>
      <c r="AE1177">
        <v>12</v>
      </c>
      <c r="AF1177">
        <v>0</v>
      </c>
      <c r="AG1177">
        <v>19.703947368421055</v>
      </c>
    </row>
    <row r="1178" spans="1:33">
      <c r="A1178" s="1" t="s">
        <v>1186</v>
      </c>
      <c r="B1178" s="1" t="s">
        <v>2442</v>
      </c>
      <c r="C1178" s="2">
        <v>46683</v>
      </c>
      <c r="D1178" s="1" t="s">
        <v>34</v>
      </c>
      <c r="E1178">
        <v>62</v>
      </c>
      <c r="F1178" s="2">
        <v>46081</v>
      </c>
      <c r="G1178" s="1" t="s">
        <v>1187</v>
      </c>
      <c r="H1178" s="1" t="s">
        <v>1110</v>
      </c>
      <c r="I1178" s="1" t="s">
        <v>1111</v>
      </c>
      <c r="J1178" s="1" t="s">
        <v>1111</v>
      </c>
      <c r="K1178" s="1" t="s">
        <v>1081</v>
      </c>
      <c r="L1178">
        <v>100</v>
      </c>
      <c r="M1178">
        <v>64.8</v>
      </c>
      <c r="N1178">
        <v>31.7</v>
      </c>
      <c r="O1178">
        <v>35.200000000000003</v>
      </c>
      <c r="P1178">
        <v>7.2309999999999999E-2</v>
      </c>
      <c r="Q1178">
        <v>8.68</v>
      </c>
      <c r="R1178">
        <v>4.5</v>
      </c>
      <c r="S1178">
        <v>3</v>
      </c>
      <c r="T1178">
        <v>3</v>
      </c>
      <c r="U1178">
        <v>9</v>
      </c>
      <c r="V1178">
        <v>120.6</v>
      </c>
      <c r="W1178">
        <v>103.12</v>
      </c>
      <c r="X1178">
        <v>0.65078999999999998</v>
      </c>
      <c r="Y1178">
        <v>0.62</v>
      </c>
      <c r="Z1178">
        <v>4.4832200000000003E-2</v>
      </c>
      <c r="AA1178">
        <v>6.8888888888888888E-2</v>
      </c>
      <c r="AB1178">
        <v>279</v>
      </c>
      <c r="AC1178">
        <v>1</v>
      </c>
      <c r="AD1178" s="1" t="s">
        <v>44</v>
      </c>
      <c r="AE1178">
        <v>0</v>
      </c>
      <c r="AF1178">
        <v>1</v>
      </c>
      <c r="AG1178">
        <v>19.80263157894737</v>
      </c>
    </row>
    <row r="1179" spans="1:33">
      <c r="A1179" s="1" t="s">
        <v>1186</v>
      </c>
      <c r="B1179" s="1" t="s">
        <v>2443</v>
      </c>
      <c r="C1179" s="2">
        <v>46646</v>
      </c>
      <c r="D1179" s="1" t="s">
        <v>34</v>
      </c>
      <c r="E1179">
        <v>4104</v>
      </c>
      <c r="F1179" s="2">
        <v>46081</v>
      </c>
      <c r="G1179" s="1" t="s">
        <v>1187</v>
      </c>
      <c r="H1179" s="1" t="s">
        <v>1110</v>
      </c>
      <c r="I1179" s="1" t="s">
        <v>1111</v>
      </c>
      <c r="J1179" s="1" t="s">
        <v>1111</v>
      </c>
      <c r="K1179" s="1" t="s">
        <v>1081</v>
      </c>
      <c r="L1179">
        <v>100</v>
      </c>
      <c r="M1179">
        <v>64.8</v>
      </c>
      <c r="N1179">
        <v>31.7</v>
      </c>
      <c r="O1179">
        <v>35.200000000000003</v>
      </c>
      <c r="P1179">
        <v>7.2309999999999999E-2</v>
      </c>
      <c r="Q1179">
        <v>8.68</v>
      </c>
      <c r="R1179">
        <v>4.5</v>
      </c>
      <c r="S1179">
        <v>3</v>
      </c>
      <c r="T1179">
        <v>3</v>
      </c>
      <c r="U1179">
        <v>9</v>
      </c>
      <c r="V1179">
        <v>120.6</v>
      </c>
      <c r="W1179">
        <v>103.12</v>
      </c>
      <c r="X1179">
        <v>0.65078999999999998</v>
      </c>
      <c r="Y1179">
        <v>41.04</v>
      </c>
      <c r="Z1179">
        <v>2.9676024000000001</v>
      </c>
      <c r="AA1179">
        <v>4.5599999999999996</v>
      </c>
      <c r="AB1179">
        <v>18468</v>
      </c>
      <c r="AC1179">
        <v>5</v>
      </c>
      <c r="AD1179" s="1" t="s">
        <v>40</v>
      </c>
      <c r="AE1179">
        <v>5</v>
      </c>
      <c r="AF1179">
        <v>0</v>
      </c>
      <c r="AG1179">
        <v>18.585526315789476</v>
      </c>
    </row>
    <row r="1180" spans="1:33">
      <c r="A1180" s="1" t="s">
        <v>1188</v>
      </c>
      <c r="B1180" s="1" t="s">
        <v>2444</v>
      </c>
      <c r="C1180" s="2">
        <v>46783</v>
      </c>
      <c r="D1180" s="1" t="s">
        <v>34</v>
      </c>
      <c r="E1180">
        <v>363</v>
      </c>
      <c r="F1180" s="2">
        <v>46081</v>
      </c>
      <c r="G1180" s="1" t="s">
        <v>1189</v>
      </c>
      <c r="H1180" s="1" t="s">
        <v>1110</v>
      </c>
      <c r="I1180" s="1" t="s">
        <v>1111</v>
      </c>
      <c r="J1180" s="1" t="s">
        <v>1111</v>
      </c>
      <c r="K1180" s="1" t="s">
        <v>1081</v>
      </c>
      <c r="L1180">
        <v>20</v>
      </c>
      <c r="M1180">
        <v>54.1</v>
      </c>
      <c r="N1180">
        <v>39</v>
      </c>
      <c r="O1180">
        <v>26.5</v>
      </c>
      <c r="P1180">
        <v>5.5910000000000001E-2</v>
      </c>
      <c r="Q1180">
        <v>4.7</v>
      </c>
      <c r="R1180">
        <v>3.86</v>
      </c>
      <c r="S1180">
        <v>4</v>
      </c>
      <c r="T1180">
        <v>2</v>
      </c>
      <c r="U1180">
        <v>8</v>
      </c>
      <c r="V1180">
        <v>68</v>
      </c>
      <c r="W1180">
        <v>62.6</v>
      </c>
      <c r="X1180">
        <v>0.44728000000000001</v>
      </c>
      <c r="Y1180">
        <v>18.149999999999999</v>
      </c>
      <c r="Z1180">
        <v>1.0147664999999999</v>
      </c>
      <c r="AA1180">
        <v>2.2687499999999998</v>
      </c>
      <c r="AB1180">
        <v>1401.18</v>
      </c>
      <c r="AC1180">
        <v>3</v>
      </c>
      <c r="AD1180" s="1" t="s">
        <v>40</v>
      </c>
      <c r="AE1180">
        <v>3</v>
      </c>
      <c r="AF1180">
        <v>0</v>
      </c>
      <c r="AG1180">
        <v>23.092105263157897</v>
      </c>
    </row>
    <row r="1181" spans="1:33">
      <c r="A1181" s="1" t="s">
        <v>1188</v>
      </c>
      <c r="B1181" s="1" t="s">
        <v>2445</v>
      </c>
      <c r="C1181" s="2">
        <v>46311</v>
      </c>
      <c r="D1181" s="1" t="s">
        <v>34</v>
      </c>
      <c r="E1181">
        <v>490</v>
      </c>
      <c r="F1181" s="2">
        <v>46081</v>
      </c>
      <c r="G1181" s="1" t="s">
        <v>1189</v>
      </c>
      <c r="H1181" s="1" t="s">
        <v>1110</v>
      </c>
      <c r="I1181" s="1" t="s">
        <v>1111</v>
      </c>
      <c r="J1181" s="1" t="s">
        <v>1111</v>
      </c>
      <c r="K1181" s="1" t="s">
        <v>1081</v>
      </c>
      <c r="L1181">
        <v>20</v>
      </c>
      <c r="M1181">
        <v>54.1</v>
      </c>
      <c r="N1181">
        <v>39</v>
      </c>
      <c r="O1181">
        <v>26.5</v>
      </c>
      <c r="P1181">
        <v>5.5910000000000001E-2</v>
      </c>
      <c r="Q1181">
        <v>4.7</v>
      </c>
      <c r="R1181">
        <v>3.86</v>
      </c>
      <c r="S1181">
        <v>4</v>
      </c>
      <c r="T1181">
        <v>2</v>
      </c>
      <c r="U1181">
        <v>8</v>
      </c>
      <c r="V1181">
        <v>68</v>
      </c>
      <c r="W1181">
        <v>62.6</v>
      </c>
      <c r="X1181">
        <v>0.44728000000000001</v>
      </c>
      <c r="Y1181">
        <v>24.5</v>
      </c>
      <c r="Z1181">
        <v>1.3697950000000001</v>
      </c>
      <c r="AA1181">
        <v>3.0625</v>
      </c>
      <c r="AB1181">
        <v>1891.3999999999999</v>
      </c>
      <c r="AC1181">
        <v>4</v>
      </c>
      <c r="AD1181" s="1" t="s">
        <v>40</v>
      </c>
      <c r="AE1181">
        <v>4</v>
      </c>
      <c r="AF1181">
        <v>0</v>
      </c>
      <c r="AG1181">
        <v>7.5657894736842106</v>
      </c>
    </row>
    <row r="1182" spans="1:33">
      <c r="A1182" s="1" t="s">
        <v>1190</v>
      </c>
      <c r="B1182" s="1" t="s">
        <v>2446</v>
      </c>
      <c r="C1182" s="2">
        <v>46702</v>
      </c>
      <c r="D1182" s="1" t="s">
        <v>34</v>
      </c>
      <c r="E1182">
        <v>11441</v>
      </c>
      <c r="F1182" s="2">
        <v>46081</v>
      </c>
      <c r="G1182" s="1" t="s">
        <v>1191</v>
      </c>
      <c r="H1182" s="1" t="s">
        <v>1110</v>
      </c>
      <c r="I1182" s="1" t="s">
        <v>1111</v>
      </c>
      <c r="J1182" s="1" t="s">
        <v>1111</v>
      </c>
      <c r="K1182" s="1" t="s">
        <v>1081</v>
      </c>
      <c r="L1182">
        <v>50</v>
      </c>
      <c r="M1182">
        <v>52.3</v>
      </c>
      <c r="N1182">
        <v>40.6</v>
      </c>
      <c r="O1182">
        <v>32</v>
      </c>
      <c r="P1182">
        <v>6.7949999999999997E-2</v>
      </c>
      <c r="Q1182">
        <v>8.41</v>
      </c>
      <c r="R1182">
        <v>0.72</v>
      </c>
      <c r="S1182">
        <v>4</v>
      </c>
      <c r="T1182">
        <v>4</v>
      </c>
      <c r="U1182">
        <v>16</v>
      </c>
      <c r="V1182">
        <v>143</v>
      </c>
      <c r="W1182">
        <v>159.56</v>
      </c>
      <c r="X1182">
        <v>1.0871999999999999</v>
      </c>
      <c r="Y1182">
        <v>228.82</v>
      </c>
      <c r="Z1182">
        <v>15.548318999999999</v>
      </c>
      <c r="AA1182">
        <v>14.30125</v>
      </c>
      <c r="AB1182">
        <v>8237.52</v>
      </c>
      <c r="AC1182">
        <v>15</v>
      </c>
      <c r="AD1182" s="1" t="s">
        <v>40</v>
      </c>
      <c r="AE1182">
        <v>15</v>
      </c>
      <c r="AF1182">
        <v>0</v>
      </c>
      <c r="AG1182">
        <v>20.42763157894737</v>
      </c>
    </row>
    <row r="1183" spans="1:33">
      <c r="A1183" s="1" t="s">
        <v>1190</v>
      </c>
      <c r="B1183" s="1" t="s">
        <v>2447</v>
      </c>
      <c r="C1183" s="2">
        <v>46859</v>
      </c>
      <c r="D1183" s="1" t="s">
        <v>34</v>
      </c>
      <c r="E1183">
        <v>14565</v>
      </c>
      <c r="F1183" s="2">
        <v>46081</v>
      </c>
      <c r="G1183" s="1" t="s">
        <v>1191</v>
      </c>
      <c r="H1183" s="1" t="s">
        <v>1110</v>
      </c>
      <c r="I1183" s="1" t="s">
        <v>1111</v>
      </c>
      <c r="J1183" s="1" t="s">
        <v>1111</v>
      </c>
      <c r="K1183" s="1" t="s">
        <v>1081</v>
      </c>
      <c r="L1183">
        <v>50</v>
      </c>
      <c r="M1183">
        <v>52.3</v>
      </c>
      <c r="N1183">
        <v>40.6</v>
      </c>
      <c r="O1183">
        <v>32</v>
      </c>
      <c r="P1183">
        <v>6.7949999999999997E-2</v>
      </c>
      <c r="Q1183">
        <v>8.41</v>
      </c>
      <c r="R1183">
        <v>0.72</v>
      </c>
      <c r="S1183">
        <v>4</v>
      </c>
      <c r="T1183">
        <v>4</v>
      </c>
      <c r="U1183">
        <v>16</v>
      </c>
      <c r="V1183">
        <v>143</v>
      </c>
      <c r="W1183">
        <v>159.56</v>
      </c>
      <c r="X1183">
        <v>1.0871999999999999</v>
      </c>
      <c r="Y1183">
        <v>291.3</v>
      </c>
      <c r="Z1183">
        <v>19.793835000000001</v>
      </c>
      <c r="AA1183">
        <v>18.206250000000001</v>
      </c>
      <c r="AB1183">
        <v>10486.8</v>
      </c>
      <c r="AC1183">
        <v>19</v>
      </c>
      <c r="AD1183" s="1" t="s">
        <v>40</v>
      </c>
      <c r="AE1183">
        <v>19</v>
      </c>
      <c r="AF1183">
        <v>0</v>
      </c>
      <c r="AG1183">
        <v>25.592105263157897</v>
      </c>
    </row>
    <row r="1184" spans="1:33">
      <c r="A1184" s="1" t="s">
        <v>1190</v>
      </c>
      <c r="B1184" s="1" t="s">
        <v>2448</v>
      </c>
      <c r="C1184" s="2">
        <v>46687</v>
      </c>
      <c r="D1184" s="1" t="s">
        <v>34</v>
      </c>
      <c r="E1184">
        <v>7964</v>
      </c>
      <c r="F1184" s="2">
        <v>46081</v>
      </c>
      <c r="G1184" s="1" t="s">
        <v>1191</v>
      </c>
      <c r="H1184" s="1" t="s">
        <v>1110</v>
      </c>
      <c r="I1184" s="1" t="s">
        <v>1111</v>
      </c>
      <c r="J1184" s="1" t="s">
        <v>1111</v>
      </c>
      <c r="K1184" s="1" t="s">
        <v>1081</v>
      </c>
      <c r="L1184">
        <v>50</v>
      </c>
      <c r="M1184">
        <v>52.3</v>
      </c>
      <c r="N1184">
        <v>40.6</v>
      </c>
      <c r="O1184">
        <v>32</v>
      </c>
      <c r="P1184">
        <v>6.7949999999999997E-2</v>
      </c>
      <c r="Q1184">
        <v>8.41</v>
      </c>
      <c r="R1184">
        <v>0.72</v>
      </c>
      <c r="S1184">
        <v>4</v>
      </c>
      <c r="T1184">
        <v>4</v>
      </c>
      <c r="U1184">
        <v>16</v>
      </c>
      <c r="V1184">
        <v>143</v>
      </c>
      <c r="W1184">
        <v>159.56</v>
      </c>
      <c r="X1184">
        <v>1.0871999999999999</v>
      </c>
      <c r="Y1184">
        <v>159.28</v>
      </c>
      <c r="Z1184">
        <v>10.823076</v>
      </c>
      <c r="AA1184">
        <v>9.9550000000000001</v>
      </c>
      <c r="AB1184">
        <v>5734.08</v>
      </c>
      <c r="AC1184">
        <v>10</v>
      </c>
      <c r="AD1184" s="1" t="s">
        <v>40</v>
      </c>
      <c r="AE1184">
        <v>10</v>
      </c>
      <c r="AF1184">
        <v>0</v>
      </c>
      <c r="AG1184">
        <v>19.934210526315791</v>
      </c>
    </row>
    <row r="1185" spans="1:33">
      <c r="A1185" s="1" t="s">
        <v>1190</v>
      </c>
      <c r="B1185" s="1" t="s">
        <v>2449</v>
      </c>
      <c r="C1185" s="2">
        <v>46817</v>
      </c>
      <c r="D1185" s="1" t="s">
        <v>34</v>
      </c>
      <c r="E1185">
        <v>37864</v>
      </c>
      <c r="F1185" s="2">
        <v>46081</v>
      </c>
      <c r="G1185" s="1" t="s">
        <v>1191</v>
      </c>
      <c r="H1185" s="1" t="s">
        <v>1110</v>
      </c>
      <c r="I1185" s="1" t="s">
        <v>1111</v>
      </c>
      <c r="J1185" s="1" t="s">
        <v>1111</v>
      </c>
      <c r="K1185" s="1" t="s">
        <v>1081</v>
      </c>
      <c r="L1185">
        <v>50</v>
      </c>
      <c r="M1185">
        <v>52.3</v>
      </c>
      <c r="N1185">
        <v>40.6</v>
      </c>
      <c r="O1185">
        <v>32</v>
      </c>
      <c r="P1185">
        <v>6.7949999999999997E-2</v>
      </c>
      <c r="Q1185">
        <v>8.41</v>
      </c>
      <c r="R1185">
        <v>0.72</v>
      </c>
      <c r="S1185">
        <v>4</v>
      </c>
      <c r="T1185">
        <v>4</v>
      </c>
      <c r="U1185">
        <v>16</v>
      </c>
      <c r="V1185">
        <v>143</v>
      </c>
      <c r="W1185">
        <v>159.56</v>
      </c>
      <c r="X1185">
        <v>1.0871999999999999</v>
      </c>
      <c r="Y1185">
        <v>757.28</v>
      </c>
      <c r="Z1185">
        <v>51.457175999999997</v>
      </c>
      <c r="AA1185">
        <v>47.33</v>
      </c>
      <c r="AB1185">
        <v>27262.079999999998</v>
      </c>
      <c r="AC1185">
        <v>48</v>
      </c>
      <c r="AD1185" s="1" t="s">
        <v>40</v>
      </c>
      <c r="AE1185">
        <v>48</v>
      </c>
      <c r="AF1185">
        <v>0</v>
      </c>
      <c r="AG1185">
        <v>24.210526315789476</v>
      </c>
    </row>
    <row r="1186" spans="1:33">
      <c r="A1186" s="1" t="s">
        <v>1192</v>
      </c>
      <c r="B1186" s="1" t="s">
        <v>2450</v>
      </c>
      <c r="C1186" s="2">
        <v>46288</v>
      </c>
      <c r="D1186" s="1" t="s">
        <v>34</v>
      </c>
      <c r="E1186">
        <v>160</v>
      </c>
      <c r="F1186" s="2">
        <v>46081</v>
      </c>
      <c r="G1186" s="1" t="s">
        <v>1193</v>
      </c>
      <c r="H1186" s="1" t="s">
        <v>1110</v>
      </c>
      <c r="I1186" s="1" t="s">
        <v>1111</v>
      </c>
      <c r="J1186" s="1" t="s">
        <v>1111</v>
      </c>
      <c r="K1186" s="1" t="s">
        <v>1081</v>
      </c>
      <c r="L1186">
        <v>10</v>
      </c>
      <c r="M1186">
        <v>60.5</v>
      </c>
      <c r="N1186">
        <v>36.4</v>
      </c>
      <c r="O1186">
        <v>28.1</v>
      </c>
      <c r="P1186">
        <v>6.1879999999999998E-2</v>
      </c>
      <c r="Q1186">
        <v>10.62</v>
      </c>
      <c r="R1186">
        <v>2.17</v>
      </c>
      <c r="S1186">
        <v>3</v>
      </c>
      <c r="T1186">
        <v>3</v>
      </c>
      <c r="U1186">
        <v>9</v>
      </c>
      <c r="V1186">
        <v>99.3</v>
      </c>
      <c r="W1186">
        <v>120.58</v>
      </c>
      <c r="X1186">
        <v>0.55691999999999997</v>
      </c>
      <c r="Y1186">
        <v>16</v>
      </c>
      <c r="Z1186">
        <v>0.99007999999999996</v>
      </c>
      <c r="AA1186">
        <v>1.7777777777777777</v>
      </c>
      <c r="AB1186">
        <v>347.2</v>
      </c>
      <c r="AC1186">
        <v>2</v>
      </c>
      <c r="AD1186" s="1" t="s">
        <v>40</v>
      </c>
      <c r="AE1186">
        <v>2</v>
      </c>
      <c r="AF1186">
        <v>0</v>
      </c>
      <c r="AG1186">
        <v>6.8092105263157894</v>
      </c>
    </row>
    <row r="1187" spans="1:33">
      <c r="A1187" s="1" t="s">
        <v>1192</v>
      </c>
      <c r="B1187" s="1" t="s">
        <v>2451</v>
      </c>
      <c r="C1187" s="2">
        <v>46728</v>
      </c>
      <c r="D1187" s="1" t="s">
        <v>34</v>
      </c>
      <c r="E1187">
        <v>349</v>
      </c>
      <c r="F1187" s="2">
        <v>46081</v>
      </c>
      <c r="G1187" s="1" t="s">
        <v>1193</v>
      </c>
      <c r="H1187" s="1" t="s">
        <v>1110</v>
      </c>
      <c r="I1187" s="1" t="s">
        <v>1111</v>
      </c>
      <c r="J1187" s="1" t="s">
        <v>1111</v>
      </c>
      <c r="K1187" s="1" t="s">
        <v>1081</v>
      </c>
      <c r="L1187">
        <v>10</v>
      </c>
      <c r="M1187">
        <v>60.5</v>
      </c>
      <c r="N1187">
        <v>36.4</v>
      </c>
      <c r="O1187">
        <v>28.1</v>
      </c>
      <c r="P1187">
        <v>6.1879999999999998E-2</v>
      </c>
      <c r="Q1187">
        <v>10.62</v>
      </c>
      <c r="R1187">
        <v>2.17</v>
      </c>
      <c r="S1187">
        <v>3</v>
      </c>
      <c r="T1187">
        <v>3</v>
      </c>
      <c r="U1187">
        <v>9</v>
      </c>
      <c r="V1187">
        <v>99.3</v>
      </c>
      <c r="W1187">
        <v>120.58</v>
      </c>
      <c r="X1187">
        <v>0.55691999999999997</v>
      </c>
      <c r="Y1187">
        <v>34.9</v>
      </c>
      <c r="Z1187">
        <v>2.1596119999999996</v>
      </c>
      <c r="AA1187">
        <v>3.8777777777777778</v>
      </c>
      <c r="AB1187">
        <v>757.32999999999993</v>
      </c>
      <c r="AC1187">
        <v>4</v>
      </c>
      <c r="AD1187" s="1" t="s">
        <v>40</v>
      </c>
      <c r="AE1187">
        <v>4</v>
      </c>
      <c r="AF1187">
        <v>0</v>
      </c>
      <c r="AG1187">
        <v>21.282894736842106</v>
      </c>
    </row>
    <row r="1188" spans="1:33">
      <c r="A1188" s="1" t="s">
        <v>1194</v>
      </c>
      <c r="B1188" s="1" t="s">
        <v>2452</v>
      </c>
      <c r="C1188" s="2">
        <v>46743</v>
      </c>
      <c r="D1188" s="1" t="s">
        <v>34</v>
      </c>
      <c r="E1188">
        <v>5002</v>
      </c>
      <c r="F1188" s="2">
        <v>46081</v>
      </c>
      <c r="G1188" s="1" t="s">
        <v>1195</v>
      </c>
      <c r="H1188" s="1" t="s">
        <v>1110</v>
      </c>
      <c r="I1188" s="1" t="s">
        <v>1111</v>
      </c>
      <c r="J1188" s="1" t="s">
        <v>1111</v>
      </c>
      <c r="K1188" s="1" t="s">
        <v>1081</v>
      </c>
      <c r="L1188">
        <v>50</v>
      </c>
      <c r="M1188">
        <v>62.3</v>
      </c>
      <c r="N1188">
        <v>34.5</v>
      </c>
      <c r="O1188">
        <v>41</v>
      </c>
      <c r="P1188">
        <v>8.8120000000000004E-2</v>
      </c>
      <c r="Q1188">
        <v>10.99</v>
      </c>
      <c r="R1188">
        <v>2.82</v>
      </c>
      <c r="S1188">
        <v>3</v>
      </c>
      <c r="T1188">
        <v>2</v>
      </c>
      <c r="U1188">
        <v>6</v>
      </c>
      <c r="V1188">
        <v>97</v>
      </c>
      <c r="W1188">
        <v>90.94</v>
      </c>
      <c r="X1188">
        <v>0.52872000000000008</v>
      </c>
      <c r="Y1188">
        <v>100.04</v>
      </c>
      <c r="Z1188">
        <v>8.8155248000000004</v>
      </c>
      <c r="AA1188">
        <v>16.673333333333336</v>
      </c>
      <c r="AB1188">
        <v>14105.64</v>
      </c>
      <c r="AC1188">
        <v>17</v>
      </c>
      <c r="AD1188" s="1" t="s">
        <v>40</v>
      </c>
      <c r="AE1188">
        <v>17</v>
      </c>
      <c r="AF1188">
        <v>0</v>
      </c>
      <c r="AG1188">
        <v>21.776315789473685</v>
      </c>
    </row>
    <row r="1189" spans="1:33">
      <c r="A1189" s="1" t="s">
        <v>1194</v>
      </c>
      <c r="B1189" s="1" t="s">
        <v>2453</v>
      </c>
      <c r="C1189" s="2">
        <v>46873</v>
      </c>
      <c r="D1189" s="1" t="s">
        <v>34</v>
      </c>
      <c r="E1189">
        <v>17693</v>
      </c>
      <c r="F1189" s="2">
        <v>46081</v>
      </c>
      <c r="G1189" s="1" t="s">
        <v>1195</v>
      </c>
      <c r="H1189" s="1" t="s">
        <v>1110</v>
      </c>
      <c r="I1189" s="1" t="s">
        <v>1111</v>
      </c>
      <c r="J1189" s="1" t="s">
        <v>1111</v>
      </c>
      <c r="K1189" s="1" t="s">
        <v>1081</v>
      </c>
      <c r="L1189">
        <v>50</v>
      </c>
      <c r="M1189">
        <v>62.3</v>
      </c>
      <c r="N1189">
        <v>34.5</v>
      </c>
      <c r="O1189">
        <v>41</v>
      </c>
      <c r="P1189">
        <v>8.8120000000000004E-2</v>
      </c>
      <c r="Q1189">
        <v>10.99</v>
      </c>
      <c r="R1189">
        <v>2.82</v>
      </c>
      <c r="S1189">
        <v>3</v>
      </c>
      <c r="T1189">
        <v>2</v>
      </c>
      <c r="U1189">
        <v>6</v>
      </c>
      <c r="V1189">
        <v>97</v>
      </c>
      <c r="W1189">
        <v>90.94</v>
      </c>
      <c r="X1189">
        <v>0.52872000000000008</v>
      </c>
      <c r="Y1189">
        <v>353.86</v>
      </c>
      <c r="Z1189">
        <v>31.182143200000002</v>
      </c>
      <c r="AA1189">
        <v>58.976666666666667</v>
      </c>
      <c r="AB1189">
        <v>49894.259999999995</v>
      </c>
      <c r="AC1189">
        <v>59</v>
      </c>
      <c r="AD1189" s="1" t="s">
        <v>40</v>
      </c>
      <c r="AE1189">
        <v>59</v>
      </c>
      <c r="AF1189">
        <v>0</v>
      </c>
      <c r="AG1189">
        <v>26.05263157894737</v>
      </c>
    </row>
    <row r="1190" spans="1:33">
      <c r="A1190" s="1" t="s">
        <v>1194</v>
      </c>
      <c r="B1190" s="1" t="s">
        <v>2454</v>
      </c>
      <c r="C1190" s="2">
        <v>46471</v>
      </c>
      <c r="D1190" s="1" t="s">
        <v>34</v>
      </c>
      <c r="E1190">
        <v>3357</v>
      </c>
      <c r="F1190" s="2">
        <v>46081</v>
      </c>
      <c r="G1190" s="1" t="s">
        <v>1195</v>
      </c>
      <c r="H1190" s="1" t="s">
        <v>1110</v>
      </c>
      <c r="I1190" s="1" t="s">
        <v>1111</v>
      </c>
      <c r="J1190" s="1" t="s">
        <v>1111</v>
      </c>
      <c r="K1190" s="1" t="s">
        <v>1081</v>
      </c>
      <c r="L1190">
        <v>50</v>
      </c>
      <c r="M1190">
        <v>62.3</v>
      </c>
      <c r="N1190">
        <v>34.5</v>
      </c>
      <c r="O1190">
        <v>41</v>
      </c>
      <c r="P1190">
        <v>8.8120000000000004E-2</v>
      </c>
      <c r="Q1190">
        <v>10.99</v>
      </c>
      <c r="R1190">
        <v>2.82</v>
      </c>
      <c r="S1190">
        <v>3</v>
      </c>
      <c r="T1190">
        <v>2</v>
      </c>
      <c r="U1190">
        <v>6</v>
      </c>
      <c r="V1190">
        <v>97</v>
      </c>
      <c r="W1190">
        <v>90.94</v>
      </c>
      <c r="X1190">
        <v>0.52872000000000008</v>
      </c>
      <c r="Y1190">
        <v>67.14</v>
      </c>
      <c r="Z1190">
        <v>5.9163768000000001</v>
      </c>
      <c r="AA1190">
        <v>11.19</v>
      </c>
      <c r="AB1190">
        <v>9466.74</v>
      </c>
      <c r="AC1190">
        <v>12</v>
      </c>
      <c r="AD1190" s="1" t="s">
        <v>40</v>
      </c>
      <c r="AE1190">
        <v>12</v>
      </c>
      <c r="AF1190">
        <v>0</v>
      </c>
      <c r="AG1190">
        <v>12.828947368421053</v>
      </c>
    </row>
    <row r="1191" spans="1:33">
      <c r="A1191" s="1" t="s">
        <v>1196</v>
      </c>
      <c r="B1191" s="1" t="s">
        <v>2455</v>
      </c>
      <c r="C1191" s="2">
        <v>46587</v>
      </c>
      <c r="D1191" s="1" t="s">
        <v>34</v>
      </c>
      <c r="E1191">
        <v>25</v>
      </c>
      <c r="F1191" s="2">
        <v>46081</v>
      </c>
      <c r="G1191" s="1" t="s">
        <v>1197</v>
      </c>
      <c r="H1191" s="1" t="s">
        <v>1110</v>
      </c>
      <c r="I1191" s="1" t="s">
        <v>1111</v>
      </c>
      <c r="J1191" s="1" t="s">
        <v>1111</v>
      </c>
      <c r="K1191" s="1" t="s">
        <v>1081</v>
      </c>
      <c r="L1191">
        <v>20</v>
      </c>
      <c r="M1191">
        <v>62.2</v>
      </c>
      <c r="N1191">
        <v>36.6</v>
      </c>
      <c r="O1191">
        <v>44.1</v>
      </c>
      <c r="P1191">
        <v>0.10038999999999999</v>
      </c>
      <c r="Q1191">
        <v>9.83</v>
      </c>
      <c r="R1191">
        <v>4.38</v>
      </c>
      <c r="S1191">
        <v>3</v>
      </c>
      <c r="T1191">
        <v>1</v>
      </c>
      <c r="U1191">
        <v>3</v>
      </c>
      <c r="V1191">
        <v>59.1</v>
      </c>
      <c r="W1191">
        <v>54.49</v>
      </c>
      <c r="X1191">
        <v>0.30116999999999999</v>
      </c>
      <c r="Y1191">
        <v>1.25</v>
      </c>
      <c r="Z1191">
        <v>0.1254875</v>
      </c>
      <c r="AA1191">
        <v>0.41666666666666669</v>
      </c>
      <c r="AB1191">
        <v>109.5</v>
      </c>
      <c r="AC1191">
        <v>1</v>
      </c>
      <c r="AD1191" s="1" t="s">
        <v>44</v>
      </c>
      <c r="AE1191">
        <v>0</v>
      </c>
      <c r="AF1191">
        <v>1</v>
      </c>
      <c r="AG1191">
        <v>16.644736842105264</v>
      </c>
    </row>
    <row r="1192" spans="1:33">
      <c r="A1192" s="1" t="s">
        <v>1196</v>
      </c>
      <c r="B1192" s="1" t="s">
        <v>2456</v>
      </c>
      <c r="C1192" s="2">
        <v>46452</v>
      </c>
      <c r="D1192" s="1" t="s">
        <v>34</v>
      </c>
      <c r="E1192">
        <v>5</v>
      </c>
      <c r="F1192" s="2">
        <v>46081</v>
      </c>
      <c r="G1192" s="1" t="s">
        <v>1197</v>
      </c>
      <c r="H1192" s="1" t="s">
        <v>1110</v>
      </c>
      <c r="I1192" s="1" t="s">
        <v>1111</v>
      </c>
      <c r="J1192" s="1" t="s">
        <v>1111</v>
      </c>
      <c r="K1192" s="1" t="s">
        <v>1081</v>
      </c>
      <c r="L1192">
        <v>20</v>
      </c>
      <c r="M1192">
        <v>62.2</v>
      </c>
      <c r="N1192">
        <v>36.6</v>
      </c>
      <c r="O1192">
        <v>44.1</v>
      </c>
      <c r="P1192">
        <v>0.10038999999999999</v>
      </c>
      <c r="Q1192">
        <v>9.83</v>
      </c>
      <c r="R1192">
        <v>4.38</v>
      </c>
      <c r="S1192">
        <v>3</v>
      </c>
      <c r="T1192">
        <v>1</v>
      </c>
      <c r="U1192">
        <v>3</v>
      </c>
      <c r="V1192">
        <v>59.1</v>
      </c>
      <c r="W1192">
        <v>54.49</v>
      </c>
      <c r="X1192">
        <v>0.30116999999999999</v>
      </c>
      <c r="Y1192">
        <v>0.25</v>
      </c>
      <c r="Z1192">
        <v>2.5097499999999998E-2</v>
      </c>
      <c r="AA1192">
        <v>8.3333333333333329E-2</v>
      </c>
      <c r="AB1192">
        <v>21.9</v>
      </c>
      <c r="AC1192">
        <v>1</v>
      </c>
      <c r="AD1192" s="1" t="s">
        <v>44</v>
      </c>
      <c r="AE1192">
        <v>0</v>
      </c>
      <c r="AF1192">
        <v>1</v>
      </c>
      <c r="AG1192">
        <v>12.203947368421053</v>
      </c>
    </row>
    <row r="1193" spans="1:33">
      <c r="A1193" s="1" t="s">
        <v>1196</v>
      </c>
      <c r="B1193" s="1" t="s">
        <v>2457</v>
      </c>
      <c r="C1193" s="2">
        <v>47021</v>
      </c>
      <c r="D1193" s="1" t="s">
        <v>34</v>
      </c>
      <c r="E1193">
        <v>9</v>
      </c>
      <c r="F1193" s="2">
        <v>46081</v>
      </c>
      <c r="G1193" s="1" t="s">
        <v>1197</v>
      </c>
      <c r="H1193" s="1" t="s">
        <v>1110</v>
      </c>
      <c r="I1193" s="1" t="s">
        <v>1111</v>
      </c>
      <c r="J1193" s="1" t="s">
        <v>1111</v>
      </c>
      <c r="K1193" s="1" t="s">
        <v>1081</v>
      </c>
      <c r="L1193">
        <v>20</v>
      </c>
      <c r="M1193">
        <v>62.2</v>
      </c>
      <c r="N1193">
        <v>36.6</v>
      </c>
      <c r="O1193">
        <v>44.1</v>
      </c>
      <c r="P1193">
        <v>0.10038999999999999</v>
      </c>
      <c r="Q1193">
        <v>9.83</v>
      </c>
      <c r="R1193">
        <v>4.38</v>
      </c>
      <c r="S1193">
        <v>3</v>
      </c>
      <c r="T1193">
        <v>1</v>
      </c>
      <c r="U1193">
        <v>3</v>
      </c>
      <c r="V1193">
        <v>59.1</v>
      </c>
      <c r="W1193">
        <v>54.49</v>
      </c>
      <c r="X1193">
        <v>0.30116999999999999</v>
      </c>
      <c r="Y1193">
        <v>0.45</v>
      </c>
      <c r="Z1193">
        <v>4.51755E-2</v>
      </c>
      <c r="AA1193">
        <v>0.15</v>
      </c>
      <c r="AB1193">
        <v>39.42</v>
      </c>
      <c r="AC1193">
        <v>1</v>
      </c>
      <c r="AD1193" s="1" t="s">
        <v>44</v>
      </c>
      <c r="AE1193">
        <v>0</v>
      </c>
      <c r="AF1193">
        <v>1</v>
      </c>
      <c r="AG1193">
        <v>30.921052631578949</v>
      </c>
    </row>
    <row r="1194" spans="1:33">
      <c r="A1194" s="1" t="s">
        <v>1198</v>
      </c>
      <c r="B1194" s="1" t="s">
        <v>2458</v>
      </c>
      <c r="C1194" s="2">
        <v>46294</v>
      </c>
      <c r="D1194" s="1" t="s">
        <v>34</v>
      </c>
      <c r="E1194">
        <v>6</v>
      </c>
      <c r="F1194" s="2">
        <v>46081</v>
      </c>
      <c r="G1194" s="1" t="s">
        <v>1199</v>
      </c>
      <c r="H1194" s="1" t="s">
        <v>1110</v>
      </c>
      <c r="I1194" s="1" t="s">
        <v>1111</v>
      </c>
      <c r="J1194" s="1" t="s">
        <v>1111</v>
      </c>
      <c r="K1194" s="1" t="s">
        <v>1081</v>
      </c>
      <c r="L1194">
        <v>50</v>
      </c>
      <c r="M1194">
        <v>44.7</v>
      </c>
      <c r="N1194">
        <v>41.8</v>
      </c>
      <c r="O1194">
        <v>34.200000000000003</v>
      </c>
      <c r="P1194">
        <v>6.3899999999999998E-2</v>
      </c>
      <c r="Q1194">
        <v>11.29</v>
      </c>
      <c r="R1194">
        <v>1.21</v>
      </c>
      <c r="S1194">
        <v>2</v>
      </c>
      <c r="T1194">
        <v>4</v>
      </c>
      <c r="U1194">
        <v>8</v>
      </c>
      <c r="V1194">
        <v>151.80000000000001</v>
      </c>
      <c r="W1194">
        <v>115.32</v>
      </c>
      <c r="X1194">
        <v>0.51119999999999999</v>
      </c>
      <c r="Y1194">
        <v>0.12</v>
      </c>
      <c r="Z1194">
        <v>7.6679999999999995E-3</v>
      </c>
      <c r="AA1194">
        <v>1.4999999999999999E-2</v>
      </c>
      <c r="AB1194">
        <v>7.26</v>
      </c>
      <c r="AC1194">
        <v>1</v>
      </c>
      <c r="AD1194" s="1" t="s">
        <v>44</v>
      </c>
      <c r="AE1194">
        <v>0</v>
      </c>
      <c r="AF1194">
        <v>1</v>
      </c>
      <c r="AG1194">
        <v>7.0065789473684212</v>
      </c>
    </row>
    <row r="1195" spans="1:33">
      <c r="A1195" s="1" t="s">
        <v>1198</v>
      </c>
      <c r="B1195" s="1" t="s">
        <v>2459</v>
      </c>
      <c r="C1195" s="2">
        <v>46661</v>
      </c>
      <c r="D1195" s="1" t="s">
        <v>34</v>
      </c>
      <c r="E1195">
        <v>4</v>
      </c>
      <c r="F1195" s="2">
        <v>46081</v>
      </c>
      <c r="G1195" s="1" t="s">
        <v>1199</v>
      </c>
      <c r="H1195" s="1" t="s">
        <v>1110</v>
      </c>
      <c r="I1195" s="1" t="s">
        <v>1111</v>
      </c>
      <c r="J1195" s="1" t="s">
        <v>1111</v>
      </c>
      <c r="K1195" s="1" t="s">
        <v>1081</v>
      </c>
      <c r="L1195">
        <v>50</v>
      </c>
      <c r="M1195">
        <v>44.7</v>
      </c>
      <c r="N1195">
        <v>41.8</v>
      </c>
      <c r="O1195">
        <v>34.200000000000003</v>
      </c>
      <c r="P1195">
        <v>6.3899999999999998E-2</v>
      </c>
      <c r="Q1195">
        <v>11.29</v>
      </c>
      <c r="R1195">
        <v>1.21</v>
      </c>
      <c r="S1195">
        <v>2</v>
      </c>
      <c r="T1195">
        <v>4</v>
      </c>
      <c r="U1195">
        <v>8</v>
      </c>
      <c r="V1195">
        <v>151.80000000000001</v>
      </c>
      <c r="W1195">
        <v>115.32</v>
      </c>
      <c r="X1195">
        <v>0.51119999999999999</v>
      </c>
      <c r="Y1195">
        <v>0.08</v>
      </c>
      <c r="Z1195">
        <v>5.1120000000000002E-3</v>
      </c>
      <c r="AA1195">
        <v>0.01</v>
      </c>
      <c r="AB1195">
        <v>4.84</v>
      </c>
      <c r="AC1195">
        <v>1</v>
      </c>
      <c r="AD1195" s="1" t="s">
        <v>44</v>
      </c>
      <c r="AE1195">
        <v>0</v>
      </c>
      <c r="AF1195">
        <v>1</v>
      </c>
      <c r="AG1195">
        <v>19.078947368421055</v>
      </c>
    </row>
    <row r="1196" spans="1:33">
      <c r="A1196" s="1" t="s">
        <v>1198</v>
      </c>
      <c r="B1196" s="1" t="s">
        <v>2460</v>
      </c>
      <c r="C1196" s="2">
        <v>46822</v>
      </c>
      <c r="D1196" s="1" t="s">
        <v>34</v>
      </c>
      <c r="E1196">
        <v>14</v>
      </c>
      <c r="F1196" s="2">
        <v>46081</v>
      </c>
      <c r="G1196" s="1" t="s">
        <v>1199</v>
      </c>
      <c r="H1196" s="1" t="s">
        <v>1110</v>
      </c>
      <c r="I1196" s="1" t="s">
        <v>1111</v>
      </c>
      <c r="J1196" s="1" t="s">
        <v>1111</v>
      </c>
      <c r="K1196" s="1" t="s">
        <v>1081</v>
      </c>
      <c r="L1196">
        <v>50</v>
      </c>
      <c r="M1196">
        <v>44.7</v>
      </c>
      <c r="N1196">
        <v>41.8</v>
      </c>
      <c r="O1196">
        <v>34.200000000000003</v>
      </c>
      <c r="P1196">
        <v>6.3899999999999998E-2</v>
      </c>
      <c r="Q1196">
        <v>11.29</v>
      </c>
      <c r="R1196">
        <v>1.21</v>
      </c>
      <c r="S1196">
        <v>2</v>
      </c>
      <c r="T1196">
        <v>4</v>
      </c>
      <c r="U1196">
        <v>8</v>
      </c>
      <c r="V1196">
        <v>151.80000000000001</v>
      </c>
      <c r="W1196">
        <v>115.32</v>
      </c>
      <c r="X1196">
        <v>0.51119999999999999</v>
      </c>
      <c r="Y1196">
        <v>0.28000000000000003</v>
      </c>
      <c r="Z1196">
        <v>1.7892000000000002E-2</v>
      </c>
      <c r="AA1196">
        <v>3.5000000000000003E-2</v>
      </c>
      <c r="AB1196">
        <v>16.939999999999998</v>
      </c>
      <c r="AC1196">
        <v>1</v>
      </c>
      <c r="AD1196" s="1" t="s">
        <v>44</v>
      </c>
      <c r="AE1196">
        <v>0</v>
      </c>
      <c r="AF1196">
        <v>1</v>
      </c>
      <c r="AG1196">
        <v>24.375</v>
      </c>
    </row>
    <row r="1197" spans="1:33">
      <c r="A1197" s="1" t="s">
        <v>1200</v>
      </c>
      <c r="B1197" s="1" t="s">
        <v>2461</v>
      </c>
      <c r="C1197" s="2">
        <v>46794</v>
      </c>
      <c r="D1197" s="1" t="s">
        <v>34</v>
      </c>
      <c r="E1197">
        <v>1137</v>
      </c>
      <c r="F1197" s="2">
        <v>46081</v>
      </c>
      <c r="G1197" s="1" t="s">
        <v>1201</v>
      </c>
      <c r="H1197" s="1" t="s">
        <v>1110</v>
      </c>
      <c r="I1197" s="1" t="s">
        <v>1111</v>
      </c>
      <c r="J1197" s="1" t="s">
        <v>1111</v>
      </c>
      <c r="K1197" s="1" t="s">
        <v>1081</v>
      </c>
      <c r="L1197">
        <v>50</v>
      </c>
      <c r="M1197">
        <v>45.8</v>
      </c>
      <c r="N1197">
        <v>43.1</v>
      </c>
      <c r="O1197">
        <v>36.799999999999997</v>
      </c>
      <c r="P1197">
        <v>7.2639999999999996E-2</v>
      </c>
      <c r="Q1197">
        <v>10.7</v>
      </c>
      <c r="R1197">
        <v>5.69</v>
      </c>
      <c r="S1197">
        <v>4</v>
      </c>
      <c r="T1197">
        <v>4</v>
      </c>
      <c r="U1197">
        <v>16</v>
      </c>
      <c r="V1197">
        <v>162.19999999999999</v>
      </c>
      <c r="W1197">
        <v>196.2</v>
      </c>
      <c r="X1197">
        <v>1.1622399999999999</v>
      </c>
      <c r="Y1197">
        <v>22.74</v>
      </c>
      <c r="Z1197">
        <v>1.6518335999999998</v>
      </c>
      <c r="AA1197">
        <v>1.4212499999999999</v>
      </c>
      <c r="AB1197">
        <v>6469.5300000000007</v>
      </c>
      <c r="AC1197">
        <v>2</v>
      </c>
      <c r="AD1197" s="1" t="s">
        <v>40</v>
      </c>
      <c r="AE1197">
        <v>2</v>
      </c>
      <c r="AF1197">
        <v>0</v>
      </c>
      <c r="AG1197">
        <v>23.453947368421055</v>
      </c>
    </row>
    <row r="1198" spans="1:33">
      <c r="A1198" s="1" t="s">
        <v>1200</v>
      </c>
      <c r="B1198" s="1" t="s">
        <v>2462</v>
      </c>
      <c r="C1198" s="2">
        <v>46831</v>
      </c>
      <c r="D1198" s="1" t="s">
        <v>34</v>
      </c>
      <c r="E1198">
        <v>76</v>
      </c>
      <c r="F1198" s="2">
        <v>46081</v>
      </c>
      <c r="G1198" s="1" t="s">
        <v>1201</v>
      </c>
      <c r="H1198" s="1" t="s">
        <v>1110</v>
      </c>
      <c r="I1198" s="1" t="s">
        <v>1111</v>
      </c>
      <c r="J1198" s="1" t="s">
        <v>1111</v>
      </c>
      <c r="K1198" s="1" t="s">
        <v>1081</v>
      </c>
      <c r="L1198">
        <v>50</v>
      </c>
      <c r="M1198">
        <v>45.8</v>
      </c>
      <c r="N1198">
        <v>43.1</v>
      </c>
      <c r="O1198">
        <v>36.799999999999997</v>
      </c>
      <c r="P1198">
        <v>7.2639999999999996E-2</v>
      </c>
      <c r="Q1198">
        <v>10.7</v>
      </c>
      <c r="R1198">
        <v>5.69</v>
      </c>
      <c r="S1198">
        <v>4</v>
      </c>
      <c r="T1198">
        <v>4</v>
      </c>
      <c r="U1198">
        <v>16</v>
      </c>
      <c r="V1198">
        <v>162.19999999999999</v>
      </c>
      <c r="W1198">
        <v>196.2</v>
      </c>
      <c r="X1198">
        <v>1.1622399999999999</v>
      </c>
      <c r="Y1198">
        <v>1.52</v>
      </c>
      <c r="Z1198">
        <v>0.11041279999999999</v>
      </c>
      <c r="AA1198">
        <v>9.5000000000000001E-2</v>
      </c>
      <c r="AB1198">
        <v>432.44000000000005</v>
      </c>
      <c r="AC1198">
        <v>1</v>
      </c>
      <c r="AD1198" s="1" t="s">
        <v>44</v>
      </c>
      <c r="AE1198">
        <v>0</v>
      </c>
      <c r="AF1198">
        <v>1</v>
      </c>
      <c r="AG1198">
        <v>24.671052631578949</v>
      </c>
    </row>
    <row r="1199" spans="1:33">
      <c r="A1199" s="1" t="s">
        <v>1200</v>
      </c>
      <c r="B1199" s="1" t="s">
        <v>2463</v>
      </c>
      <c r="C1199" s="2">
        <v>46335</v>
      </c>
      <c r="D1199" s="1" t="s">
        <v>34</v>
      </c>
      <c r="E1199">
        <v>363</v>
      </c>
      <c r="F1199" s="2">
        <v>46081</v>
      </c>
      <c r="G1199" s="1" t="s">
        <v>1201</v>
      </c>
      <c r="H1199" s="1" t="s">
        <v>1110</v>
      </c>
      <c r="I1199" s="1" t="s">
        <v>1111</v>
      </c>
      <c r="J1199" s="1" t="s">
        <v>1111</v>
      </c>
      <c r="K1199" s="1" t="s">
        <v>1081</v>
      </c>
      <c r="L1199">
        <v>50</v>
      </c>
      <c r="M1199">
        <v>45.8</v>
      </c>
      <c r="N1199">
        <v>43.1</v>
      </c>
      <c r="O1199">
        <v>36.799999999999997</v>
      </c>
      <c r="P1199">
        <v>7.2639999999999996E-2</v>
      </c>
      <c r="Q1199">
        <v>10.7</v>
      </c>
      <c r="R1199">
        <v>5.69</v>
      </c>
      <c r="S1199">
        <v>4</v>
      </c>
      <c r="T1199">
        <v>4</v>
      </c>
      <c r="U1199">
        <v>16</v>
      </c>
      <c r="V1199">
        <v>162.19999999999999</v>
      </c>
      <c r="W1199">
        <v>196.2</v>
      </c>
      <c r="X1199">
        <v>1.1622399999999999</v>
      </c>
      <c r="Y1199">
        <v>7.26</v>
      </c>
      <c r="Z1199">
        <v>0.5273663999999999</v>
      </c>
      <c r="AA1199">
        <v>0.45374999999999999</v>
      </c>
      <c r="AB1199">
        <v>2065.4700000000003</v>
      </c>
      <c r="AC1199">
        <v>1</v>
      </c>
      <c r="AD1199" s="1" t="s">
        <v>40</v>
      </c>
      <c r="AE1199">
        <v>1</v>
      </c>
      <c r="AF1199">
        <v>0</v>
      </c>
      <c r="AG1199">
        <v>8.3552631578947381</v>
      </c>
    </row>
    <row r="1200" spans="1:33">
      <c r="A1200" s="1" t="s">
        <v>1200</v>
      </c>
      <c r="B1200" s="1" t="s">
        <v>2464</v>
      </c>
      <c r="C1200" s="2">
        <v>45734</v>
      </c>
      <c r="D1200" s="1" t="s">
        <v>73</v>
      </c>
      <c r="E1200">
        <v>126</v>
      </c>
      <c r="F1200" s="2">
        <v>46081</v>
      </c>
      <c r="G1200" s="1" t="s">
        <v>1201</v>
      </c>
      <c r="H1200" s="1" t="s">
        <v>1110</v>
      </c>
      <c r="I1200" s="1" t="s">
        <v>1111</v>
      </c>
      <c r="J1200" s="1" t="s">
        <v>1111</v>
      </c>
      <c r="K1200" s="1" t="s">
        <v>1081</v>
      </c>
      <c r="L1200">
        <v>50</v>
      </c>
      <c r="M1200">
        <v>45.8</v>
      </c>
      <c r="N1200">
        <v>43.1</v>
      </c>
      <c r="O1200">
        <v>36.799999999999997</v>
      </c>
      <c r="P1200">
        <v>7.2639999999999996E-2</v>
      </c>
      <c r="Q1200">
        <v>10.7</v>
      </c>
      <c r="R1200">
        <v>5.69</v>
      </c>
      <c r="S1200">
        <v>4</v>
      </c>
      <c r="T1200">
        <v>4</v>
      </c>
      <c r="U1200">
        <v>16</v>
      </c>
      <c r="V1200">
        <v>162.19999999999999</v>
      </c>
      <c r="W1200">
        <v>196.2</v>
      </c>
      <c r="X1200">
        <v>1.1622399999999999</v>
      </c>
      <c r="Y1200">
        <v>2.52</v>
      </c>
      <c r="Z1200">
        <v>0.18305279999999999</v>
      </c>
      <c r="AA1200">
        <v>0.1575</v>
      </c>
      <c r="AB1200">
        <v>716.94</v>
      </c>
      <c r="AC1200">
        <v>1</v>
      </c>
      <c r="AD1200" s="1" t="s">
        <v>74</v>
      </c>
      <c r="AE1200">
        <v>0</v>
      </c>
      <c r="AF1200">
        <v>0</v>
      </c>
      <c r="AG1200">
        <v>-11.414473684210527</v>
      </c>
    </row>
    <row r="1201" spans="1:33">
      <c r="A1201" s="1" t="s">
        <v>1202</v>
      </c>
      <c r="B1201" s="1" t="s">
        <v>2465</v>
      </c>
      <c r="C1201" s="2">
        <v>47093</v>
      </c>
      <c r="D1201" s="1" t="s">
        <v>34</v>
      </c>
      <c r="E1201">
        <v>18</v>
      </c>
      <c r="F1201" s="2">
        <v>46081</v>
      </c>
      <c r="G1201" s="1" t="s">
        <v>1203</v>
      </c>
      <c r="H1201" s="1" t="s">
        <v>1110</v>
      </c>
      <c r="I1201" s="1" t="s">
        <v>1111</v>
      </c>
      <c r="J1201" s="1" t="s">
        <v>1111</v>
      </c>
      <c r="K1201" s="1" t="s">
        <v>1081</v>
      </c>
      <c r="L1201">
        <v>20</v>
      </c>
      <c r="M1201">
        <v>56.7</v>
      </c>
      <c r="N1201">
        <v>36.6</v>
      </c>
      <c r="O1201">
        <v>31.2</v>
      </c>
      <c r="P1201">
        <v>6.4750000000000002E-2</v>
      </c>
      <c r="Q1201">
        <v>10.88</v>
      </c>
      <c r="R1201">
        <v>1.92</v>
      </c>
      <c r="S1201">
        <v>4</v>
      </c>
      <c r="T1201">
        <v>2</v>
      </c>
      <c r="U1201">
        <v>8</v>
      </c>
      <c r="V1201">
        <v>77.400000000000006</v>
      </c>
      <c r="W1201">
        <v>112.04</v>
      </c>
      <c r="X1201">
        <v>0.51800000000000002</v>
      </c>
      <c r="Y1201">
        <v>0.9</v>
      </c>
      <c r="Z1201">
        <v>5.8275E-2</v>
      </c>
      <c r="AA1201">
        <v>0.1125</v>
      </c>
      <c r="AB1201">
        <v>34.56</v>
      </c>
      <c r="AC1201">
        <v>1</v>
      </c>
      <c r="AD1201" s="1" t="s">
        <v>44</v>
      </c>
      <c r="AE1201">
        <v>0</v>
      </c>
      <c r="AF1201">
        <v>1</v>
      </c>
      <c r="AG1201">
        <v>33.289473684210527</v>
      </c>
    </row>
    <row r="1202" spans="1:33">
      <c r="A1202" s="1" t="s">
        <v>1204</v>
      </c>
      <c r="B1202" s="1" t="s">
        <v>2466</v>
      </c>
      <c r="C1202" s="2">
        <v>46424</v>
      </c>
      <c r="D1202" s="1" t="s">
        <v>34</v>
      </c>
      <c r="E1202">
        <v>116</v>
      </c>
      <c r="F1202" s="2">
        <v>46081</v>
      </c>
      <c r="G1202" s="1" t="s">
        <v>1205</v>
      </c>
      <c r="H1202" s="1" t="s">
        <v>1110</v>
      </c>
      <c r="I1202" s="1" t="s">
        <v>1111</v>
      </c>
      <c r="J1202" s="1" t="s">
        <v>1111</v>
      </c>
      <c r="K1202" s="1" t="s">
        <v>1081</v>
      </c>
      <c r="L1202">
        <v>50</v>
      </c>
      <c r="M1202">
        <v>58.2</v>
      </c>
      <c r="N1202">
        <v>34.1</v>
      </c>
      <c r="O1202">
        <v>34</v>
      </c>
      <c r="P1202">
        <v>6.7479999999999998E-2</v>
      </c>
      <c r="Q1202">
        <v>6.25</v>
      </c>
      <c r="R1202">
        <v>3.35</v>
      </c>
      <c r="S1202">
        <v>4</v>
      </c>
      <c r="T1202">
        <v>4</v>
      </c>
      <c r="U1202">
        <v>16</v>
      </c>
      <c r="V1202">
        <v>151</v>
      </c>
      <c r="W1202">
        <v>125</v>
      </c>
      <c r="X1202">
        <v>1.07968</v>
      </c>
      <c r="Y1202">
        <v>2.3199999999999998</v>
      </c>
      <c r="Z1202">
        <v>0.15655359999999999</v>
      </c>
      <c r="AA1202">
        <v>0.14499999999999999</v>
      </c>
      <c r="AB1202">
        <v>388.6</v>
      </c>
      <c r="AC1202">
        <v>1</v>
      </c>
      <c r="AD1202" s="1" t="s">
        <v>44</v>
      </c>
      <c r="AE1202">
        <v>0</v>
      </c>
      <c r="AF1202">
        <v>1</v>
      </c>
      <c r="AG1202">
        <v>11.282894736842106</v>
      </c>
    </row>
    <row r="1203" spans="1:33">
      <c r="A1203" s="1" t="s">
        <v>1204</v>
      </c>
      <c r="B1203" s="1" t="s">
        <v>2467</v>
      </c>
      <c r="C1203" s="2">
        <v>46189</v>
      </c>
      <c r="D1203" s="1" t="s">
        <v>34</v>
      </c>
      <c r="E1203">
        <v>27</v>
      </c>
      <c r="F1203" s="2">
        <v>46081</v>
      </c>
      <c r="G1203" s="1" t="s">
        <v>1205</v>
      </c>
      <c r="H1203" s="1" t="s">
        <v>1110</v>
      </c>
      <c r="I1203" s="1" t="s">
        <v>1111</v>
      </c>
      <c r="J1203" s="1" t="s">
        <v>1111</v>
      </c>
      <c r="K1203" s="1" t="s">
        <v>1081</v>
      </c>
      <c r="L1203">
        <v>50</v>
      </c>
      <c r="M1203">
        <v>58.2</v>
      </c>
      <c r="N1203">
        <v>34.1</v>
      </c>
      <c r="O1203">
        <v>34</v>
      </c>
      <c r="P1203">
        <v>6.7479999999999998E-2</v>
      </c>
      <c r="Q1203">
        <v>6.25</v>
      </c>
      <c r="R1203">
        <v>3.35</v>
      </c>
      <c r="S1203">
        <v>4</v>
      </c>
      <c r="T1203">
        <v>4</v>
      </c>
      <c r="U1203">
        <v>16</v>
      </c>
      <c r="V1203">
        <v>151</v>
      </c>
      <c r="W1203">
        <v>125</v>
      </c>
      <c r="X1203">
        <v>1.07968</v>
      </c>
      <c r="Y1203">
        <v>0.54</v>
      </c>
      <c r="Z1203">
        <v>3.6439200000000005E-2</v>
      </c>
      <c r="AA1203">
        <v>3.3750000000000002E-2</v>
      </c>
      <c r="AB1203">
        <v>90.45</v>
      </c>
      <c r="AC1203">
        <v>1</v>
      </c>
      <c r="AD1203" s="1" t="s">
        <v>44</v>
      </c>
      <c r="AE1203">
        <v>0</v>
      </c>
      <c r="AF1203">
        <v>1</v>
      </c>
      <c r="AG1203">
        <v>3.5526315789473686</v>
      </c>
    </row>
    <row r="1204" spans="1:33">
      <c r="A1204" s="1" t="s">
        <v>1204</v>
      </c>
      <c r="B1204" s="1" t="s">
        <v>2468</v>
      </c>
      <c r="C1204" s="2">
        <v>46336</v>
      </c>
      <c r="D1204" s="1" t="s">
        <v>153</v>
      </c>
      <c r="E1204">
        <v>4</v>
      </c>
      <c r="F1204" s="2">
        <v>46081</v>
      </c>
      <c r="G1204" s="1" t="s">
        <v>1205</v>
      </c>
      <c r="H1204" s="1" t="s">
        <v>1110</v>
      </c>
      <c r="I1204" s="1" t="s">
        <v>1111</v>
      </c>
      <c r="J1204" s="1" t="s">
        <v>1111</v>
      </c>
      <c r="K1204" s="1" t="s">
        <v>1081</v>
      </c>
      <c r="L1204">
        <v>50</v>
      </c>
      <c r="M1204">
        <v>58.2</v>
      </c>
      <c r="N1204">
        <v>34.1</v>
      </c>
      <c r="O1204">
        <v>34</v>
      </c>
      <c r="P1204">
        <v>6.7479999999999998E-2</v>
      </c>
      <c r="Q1204">
        <v>6.25</v>
      </c>
      <c r="R1204">
        <v>3.35</v>
      </c>
      <c r="S1204">
        <v>4</v>
      </c>
      <c r="T1204">
        <v>4</v>
      </c>
      <c r="U1204">
        <v>16</v>
      </c>
      <c r="V1204">
        <v>151</v>
      </c>
      <c r="W1204">
        <v>125</v>
      </c>
      <c r="X1204">
        <v>1.07968</v>
      </c>
      <c r="Y1204">
        <v>0.08</v>
      </c>
      <c r="Z1204">
        <v>5.3984000000000002E-3</v>
      </c>
      <c r="AA1204">
        <v>5.0000000000000001E-3</v>
      </c>
      <c r="AB1204">
        <v>13.4</v>
      </c>
      <c r="AC1204">
        <v>1</v>
      </c>
      <c r="AD1204" s="1" t="s">
        <v>74</v>
      </c>
      <c r="AE1204">
        <v>0</v>
      </c>
      <c r="AF1204">
        <v>0</v>
      </c>
      <c r="AG1204">
        <v>8.3881578947368425</v>
      </c>
    </row>
    <row r="1205" spans="1:33">
      <c r="A1205" s="1" t="s">
        <v>1206</v>
      </c>
      <c r="B1205" s="1" t="s">
        <v>2469</v>
      </c>
      <c r="C1205" s="2">
        <v>47027</v>
      </c>
      <c r="D1205" s="1" t="s">
        <v>34</v>
      </c>
      <c r="E1205">
        <v>45</v>
      </c>
      <c r="F1205" s="2">
        <v>46081</v>
      </c>
      <c r="G1205" s="1" t="s">
        <v>1207</v>
      </c>
      <c r="H1205" s="1" t="s">
        <v>1208</v>
      </c>
      <c r="I1205" s="1" t="s">
        <v>1111</v>
      </c>
      <c r="J1205" s="1" t="s">
        <v>1209</v>
      </c>
      <c r="K1205" s="1" t="s">
        <v>834</v>
      </c>
      <c r="L1205">
        <v>5</v>
      </c>
      <c r="M1205">
        <v>34.200000000000003</v>
      </c>
      <c r="N1205">
        <v>23.1</v>
      </c>
      <c r="O1205">
        <v>15.7</v>
      </c>
      <c r="P1205">
        <v>1.24E-2</v>
      </c>
      <c r="Q1205">
        <v>2.83</v>
      </c>
      <c r="R1205">
        <v>274.54000000000002</v>
      </c>
      <c r="S1205">
        <v>12</v>
      </c>
      <c r="T1205">
        <v>9</v>
      </c>
      <c r="U1205">
        <v>108</v>
      </c>
      <c r="V1205">
        <v>156.29999999999998</v>
      </c>
      <c r="W1205">
        <v>330.64</v>
      </c>
      <c r="X1205">
        <v>1.3391999999999999</v>
      </c>
      <c r="Y1205">
        <v>9</v>
      </c>
      <c r="Z1205">
        <v>0.11159999999999999</v>
      </c>
      <c r="AA1205">
        <v>8.3333333333333329E-2</v>
      </c>
      <c r="AB1205">
        <v>12354.300000000001</v>
      </c>
      <c r="AC1205">
        <v>1</v>
      </c>
      <c r="AD1205" s="1" t="s">
        <v>44</v>
      </c>
      <c r="AE1205">
        <v>0</v>
      </c>
      <c r="AF1205">
        <v>1</v>
      </c>
      <c r="AG1205">
        <v>31.118421052631579</v>
      </c>
    </row>
    <row r="1206" spans="1:33">
      <c r="A1206" s="1" t="s">
        <v>1210</v>
      </c>
      <c r="B1206" s="1" t="s">
        <v>2470</v>
      </c>
      <c r="C1206" s="2">
        <v>46403</v>
      </c>
      <c r="D1206" s="1" t="s">
        <v>34</v>
      </c>
      <c r="E1206">
        <v>636</v>
      </c>
      <c r="F1206" s="2">
        <v>46081</v>
      </c>
      <c r="G1206" s="1" t="s">
        <v>1211</v>
      </c>
      <c r="H1206" s="1" t="s">
        <v>1208</v>
      </c>
      <c r="I1206" s="1" t="s">
        <v>1111</v>
      </c>
      <c r="J1206" s="1" t="s">
        <v>1209</v>
      </c>
      <c r="K1206" s="1" t="s">
        <v>834</v>
      </c>
      <c r="L1206">
        <v>1</v>
      </c>
      <c r="M1206">
        <v>24.2</v>
      </c>
      <c r="N1206">
        <v>20</v>
      </c>
      <c r="O1206">
        <v>19.5</v>
      </c>
      <c r="P1206">
        <v>9.4400000000000005E-3</v>
      </c>
      <c r="Q1206">
        <v>1.61</v>
      </c>
      <c r="R1206">
        <v>215.49</v>
      </c>
      <c r="S1206">
        <v>24</v>
      </c>
      <c r="T1206">
        <v>7</v>
      </c>
      <c r="U1206">
        <v>168</v>
      </c>
      <c r="V1206">
        <v>151.5</v>
      </c>
      <c r="W1206">
        <v>295.48</v>
      </c>
      <c r="X1206">
        <v>1.58592</v>
      </c>
      <c r="Y1206">
        <v>636</v>
      </c>
      <c r="Z1206">
        <v>6.0038400000000003</v>
      </c>
      <c r="AA1206">
        <v>3.7857142857142856</v>
      </c>
      <c r="AB1206">
        <v>137051.64000000001</v>
      </c>
      <c r="AC1206">
        <v>4</v>
      </c>
      <c r="AD1206" s="1" t="s">
        <v>40</v>
      </c>
      <c r="AE1206">
        <v>4</v>
      </c>
      <c r="AF1206">
        <v>0</v>
      </c>
      <c r="AG1206">
        <v>10.592105263157896</v>
      </c>
    </row>
    <row r="1207" spans="1:33">
      <c r="A1207" s="1" t="s">
        <v>1210</v>
      </c>
      <c r="B1207" s="1" t="s">
        <v>2471</v>
      </c>
      <c r="C1207" s="2">
        <v>46325</v>
      </c>
      <c r="D1207" s="1" t="s">
        <v>34</v>
      </c>
      <c r="E1207">
        <v>308</v>
      </c>
      <c r="F1207" s="2">
        <v>46081</v>
      </c>
      <c r="G1207" s="1" t="s">
        <v>1211</v>
      </c>
      <c r="H1207" s="1" t="s">
        <v>1208</v>
      </c>
      <c r="I1207" s="1" t="s">
        <v>1111</v>
      </c>
      <c r="J1207" s="1" t="s">
        <v>1209</v>
      </c>
      <c r="K1207" s="1" t="s">
        <v>834</v>
      </c>
      <c r="L1207">
        <v>1</v>
      </c>
      <c r="M1207">
        <v>24.2</v>
      </c>
      <c r="N1207">
        <v>20</v>
      </c>
      <c r="O1207">
        <v>19.5</v>
      </c>
      <c r="P1207">
        <v>9.4400000000000005E-3</v>
      </c>
      <c r="Q1207">
        <v>1.61</v>
      </c>
      <c r="R1207">
        <v>215.49</v>
      </c>
      <c r="S1207">
        <v>24</v>
      </c>
      <c r="T1207">
        <v>7</v>
      </c>
      <c r="U1207">
        <v>168</v>
      </c>
      <c r="V1207">
        <v>151.5</v>
      </c>
      <c r="W1207">
        <v>295.48</v>
      </c>
      <c r="X1207">
        <v>1.58592</v>
      </c>
      <c r="Y1207">
        <v>308</v>
      </c>
      <c r="Z1207">
        <v>2.9075200000000003</v>
      </c>
      <c r="AA1207">
        <v>1.8333333333333333</v>
      </c>
      <c r="AB1207">
        <v>66370.92</v>
      </c>
      <c r="AC1207">
        <v>2</v>
      </c>
      <c r="AD1207" s="1" t="s">
        <v>40</v>
      </c>
      <c r="AE1207">
        <v>2</v>
      </c>
      <c r="AF1207">
        <v>0</v>
      </c>
      <c r="AG1207">
        <v>8.026315789473685</v>
      </c>
    </row>
    <row r="1208" spans="1:33">
      <c r="A1208" s="1" t="s">
        <v>1212</v>
      </c>
      <c r="B1208" s="1" t="s">
        <v>2472</v>
      </c>
      <c r="C1208" s="2">
        <v>47125</v>
      </c>
      <c r="D1208" s="1" t="s">
        <v>34</v>
      </c>
      <c r="E1208">
        <v>1019</v>
      </c>
      <c r="F1208" s="2">
        <v>46081</v>
      </c>
      <c r="G1208" s="1" t="s">
        <v>1213</v>
      </c>
      <c r="H1208" s="1" t="s">
        <v>1208</v>
      </c>
      <c r="I1208" s="1" t="s">
        <v>1111</v>
      </c>
      <c r="J1208" s="1" t="s">
        <v>1209</v>
      </c>
      <c r="K1208" s="1" t="s">
        <v>834</v>
      </c>
      <c r="L1208">
        <v>10</v>
      </c>
      <c r="M1208">
        <v>28.3</v>
      </c>
      <c r="N1208">
        <v>20.5</v>
      </c>
      <c r="O1208">
        <v>12.6</v>
      </c>
      <c r="P1208">
        <v>7.3099999999999997E-3</v>
      </c>
      <c r="Q1208">
        <v>1.19</v>
      </c>
      <c r="R1208">
        <v>80.680000000000007</v>
      </c>
      <c r="S1208">
        <v>16</v>
      </c>
      <c r="T1208">
        <v>10</v>
      </c>
      <c r="U1208">
        <v>160</v>
      </c>
      <c r="V1208">
        <v>141</v>
      </c>
      <c r="W1208">
        <v>215.4</v>
      </c>
      <c r="X1208">
        <v>1.1696</v>
      </c>
      <c r="Y1208">
        <v>101.9</v>
      </c>
      <c r="Z1208">
        <v>0.74488900000000002</v>
      </c>
      <c r="AA1208">
        <v>0.63687500000000008</v>
      </c>
      <c r="AB1208">
        <v>82212.920000000013</v>
      </c>
      <c r="AC1208">
        <v>1</v>
      </c>
      <c r="AD1208" s="1" t="s">
        <v>40</v>
      </c>
      <c r="AE1208">
        <v>1</v>
      </c>
      <c r="AF1208">
        <v>0</v>
      </c>
      <c r="AG1208">
        <v>34.342105263157897</v>
      </c>
    </row>
    <row r="1209" spans="1:33">
      <c r="A1209" s="1" t="s">
        <v>1214</v>
      </c>
      <c r="B1209" s="1" t="s">
        <v>2473</v>
      </c>
      <c r="C1209" s="2">
        <v>46226</v>
      </c>
      <c r="D1209" s="1" t="s">
        <v>34</v>
      </c>
      <c r="E1209">
        <v>1452</v>
      </c>
      <c r="F1209" s="2">
        <v>46081</v>
      </c>
      <c r="G1209" s="1" t="s">
        <v>1215</v>
      </c>
      <c r="H1209" s="1" t="s">
        <v>1208</v>
      </c>
      <c r="I1209" s="1" t="s">
        <v>1111</v>
      </c>
      <c r="J1209" s="1" t="s">
        <v>1209</v>
      </c>
      <c r="K1209" s="1" t="s">
        <v>1081</v>
      </c>
      <c r="L1209">
        <v>10</v>
      </c>
      <c r="M1209">
        <v>31.8</v>
      </c>
      <c r="N1209">
        <v>24</v>
      </c>
      <c r="O1209">
        <v>14.1</v>
      </c>
      <c r="P1209">
        <v>1.076E-2</v>
      </c>
      <c r="Q1209">
        <v>2.57</v>
      </c>
      <c r="R1209">
        <v>270.48</v>
      </c>
      <c r="S1209">
        <v>15</v>
      </c>
      <c r="T1209">
        <v>6</v>
      </c>
      <c r="U1209">
        <v>90</v>
      </c>
      <c r="V1209">
        <v>99.6</v>
      </c>
      <c r="W1209">
        <v>256.29999999999995</v>
      </c>
      <c r="X1209">
        <v>0.96840000000000004</v>
      </c>
      <c r="Y1209">
        <v>145.19999999999999</v>
      </c>
      <c r="Z1209">
        <v>1.562352</v>
      </c>
      <c r="AA1209">
        <v>1.6133333333333333</v>
      </c>
      <c r="AB1209">
        <v>392736.96</v>
      </c>
      <c r="AC1209">
        <v>2</v>
      </c>
      <c r="AD1209" s="1" t="s">
        <v>40</v>
      </c>
      <c r="AE1209">
        <v>2</v>
      </c>
      <c r="AF1209">
        <v>0</v>
      </c>
      <c r="AG1209">
        <v>4.7697368421052637</v>
      </c>
    </row>
    <row r="1210" spans="1:33">
      <c r="A1210" s="1" t="s">
        <v>1216</v>
      </c>
      <c r="B1210" s="1" t="s">
        <v>2474</v>
      </c>
      <c r="C1210" s="2">
        <v>46536</v>
      </c>
      <c r="D1210" s="1" t="s">
        <v>34</v>
      </c>
      <c r="E1210">
        <v>2471</v>
      </c>
      <c r="F1210" s="2">
        <v>46081</v>
      </c>
      <c r="G1210" s="1" t="s">
        <v>1217</v>
      </c>
      <c r="H1210" s="1" t="s">
        <v>1208</v>
      </c>
      <c r="I1210" s="1" t="s">
        <v>1111</v>
      </c>
      <c r="J1210" s="1" t="s">
        <v>1209</v>
      </c>
      <c r="K1210" s="1" t="s">
        <v>834</v>
      </c>
      <c r="L1210">
        <v>5</v>
      </c>
      <c r="M1210">
        <v>21.4</v>
      </c>
      <c r="N1210">
        <v>20.7</v>
      </c>
      <c r="O1210">
        <v>19.3</v>
      </c>
      <c r="P1210">
        <v>8.5500000000000003E-3</v>
      </c>
      <c r="Q1210">
        <v>1.67</v>
      </c>
      <c r="R1210">
        <v>143.06</v>
      </c>
      <c r="S1210">
        <v>20</v>
      </c>
      <c r="T1210">
        <v>5</v>
      </c>
      <c r="U1210">
        <v>100</v>
      </c>
      <c r="V1210">
        <v>111.5</v>
      </c>
      <c r="W1210">
        <v>192</v>
      </c>
      <c r="X1210">
        <v>0.85499999999999998</v>
      </c>
      <c r="Y1210">
        <v>494.2</v>
      </c>
      <c r="Z1210">
        <v>4.2254100000000001</v>
      </c>
      <c r="AA1210">
        <v>4.9420000000000002</v>
      </c>
      <c r="AB1210">
        <v>353501.26</v>
      </c>
      <c r="AC1210">
        <v>5</v>
      </c>
      <c r="AD1210" s="1" t="s">
        <v>40</v>
      </c>
      <c r="AE1210">
        <v>5</v>
      </c>
      <c r="AF1210">
        <v>0</v>
      </c>
      <c r="AG1210">
        <v>14.967105263157896</v>
      </c>
    </row>
    <row r="1211" spans="1:33">
      <c r="A1211" s="1" t="s">
        <v>1218</v>
      </c>
      <c r="B1211" s="1" t="s">
        <v>2475</v>
      </c>
      <c r="C1211" s="2">
        <v>47081</v>
      </c>
      <c r="D1211" s="1" t="s">
        <v>34</v>
      </c>
      <c r="E1211">
        <v>2864</v>
      </c>
      <c r="F1211" s="2">
        <v>46081</v>
      </c>
      <c r="G1211" s="1" t="s">
        <v>1219</v>
      </c>
      <c r="H1211" s="1" t="s">
        <v>1208</v>
      </c>
      <c r="I1211" s="1" t="s">
        <v>1111</v>
      </c>
      <c r="J1211" s="1" t="s">
        <v>1209</v>
      </c>
      <c r="K1211" s="1" t="s">
        <v>834</v>
      </c>
      <c r="L1211">
        <v>10</v>
      </c>
      <c r="M1211">
        <v>24</v>
      </c>
      <c r="N1211">
        <v>22.5</v>
      </c>
      <c r="O1211">
        <v>11.7</v>
      </c>
      <c r="P1211">
        <v>6.3200000000000001E-3</v>
      </c>
      <c r="Q1211">
        <v>0.85</v>
      </c>
      <c r="R1211">
        <v>151.9</v>
      </c>
      <c r="S1211">
        <v>20</v>
      </c>
      <c r="T1211">
        <v>11</v>
      </c>
      <c r="U1211">
        <v>220</v>
      </c>
      <c r="V1211">
        <v>143.69999999999999</v>
      </c>
      <c r="W1211">
        <v>212</v>
      </c>
      <c r="X1211">
        <v>1.3904000000000001</v>
      </c>
      <c r="Y1211">
        <v>286.39999999999998</v>
      </c>
      <c r="Z1211">
        <v>1.8100479999999999</v>
      </c>
      <c r="AA1211">
        <v>1.3018181818181818</v>
      </c>
      <c r="AB1211">
        <v>435041.60000000003</v>
      </c>
      <c r="AC1211">
        <v>2</v>
      </c>
      <c r="AD1211" s="1" t="s">
        <v>40</v>
      </c>
      <c r="AE1211">
        <v>2</v>
      </c>
      <c r="AF1211">
        <v>0</v>
      </c>
      <c r="AG1211">
        <v>32.894736842105267</v>
      </c>
    </row>
    <row r="1212" spans="1:33">
      <c r="A1212" s="1" t="s">
        <v>1220</v>
      </c>
      <c r="B1212" s="1" t="s">
        <v>2476</v>
      </c>
      <c r="C1212" s="2">
        <v>46986</v>
      </c>
      <c r="D1212" s="1" t="s">
        <v>34</v>
      </c>
      <c r="E1212">
        <v>988</v>
      </c>
      <c r="F1212" s="2">
        <v>46081</v>
      </c>
      <c r="G1212" s="1" t="s">
        <v>1221</v>
      </c>
      <c r="H1212" s="1" t="s">
        <v>1208</v>
      </c>
      <c r="I1212" s="1" t="s">
        <v>1111</v>
      </c>
      <c r="J1212" s="1" t="s">
        <v>1209</v>
      </c>
      <c r="K1212" s="1" t="s">
        <v>1081</v>
      </c>
      <c r="L1212">
        <v>5</v>
      </c>
      <c r="M1212">
        <v>34.9</v>
      </c>
      <c r="N1212">
        <v>21.5</v>
      </c>
      <c r="O1212">
        <v>18.8</v>
      </c>
      <c r="P1212">
        <v>1.4109999999999999E-2</v>
      </c>
      <c r="Q1212">
        <v>1.66</v>
      </c>
      <c r="R1212">
        <v>232.91</v>
      </c>
      <c r="S1212">
        <v>12</v>
      </c>
      <c r="T1212">
        <v>3</v>
      </c>
      <c r="U1212">
        <v>36</v>
      </c>
      <c r="V1212">
        <v>71.400000000000006</v>
      </c>
      <c r="W1212">
        <v>84.759999999999991</v>
      </c>
      <c r="X1212">
        <v>0.50795999999999997</v>
      </c>
      <c r="Y1212">
        <v>197.6</v>
      </c>
      <c r="Z1212">
        <v>2.7881359999999997</v>
      </c>
      <c r="AA1212">
        <v>5.4888888888888889</v>
      </c>
      <c r="AB1212">
        <v>230115.08</v>
      </c>
      <c r="AC1212">
        <v>6</v>
      </c>
      <c r="AD1212" s="1" t="s">
        <v>40</v>
      </c>
      <c r="AE1212">
        <v>6</v>
      </c>
      <c r="AF1212">
        <v>0</v>
      </c>
      <c r="AG1212">
        <v>29.769736842105264</v>
      </c>
    </row>
    <row r="1213" spans="1:33">
      <c r="A1213" s="1" t="s">
        <v>1220</v>
      </c>
      <c r="B1213" s="1" t="s">
        <v>2477</v>
      </c>
      <c r="C1213" s="2">
        <v>46200</v>
      </c>
      <c r="D1213" s="1" t="s">
        <v>34</v>
      </c>
      <c r="E1213">
        <v>49</v>
      </c>
      <c r="F1213" s="2">
        <v>46081</v>
      </c>
      <c r="G1213" s="1" t="s">
        <v>1221</v>
      </c>
      <c r="H1213" s="1" t="s">
        <v>1208</v>
      </c>
      <c r="I1213" s="1" t="s">
        <v>1111</v>
      </c>
      <c r="J1213" s="1" t="s">
        <v>1209</v>
      </c>
      <c r="K1213" s="1" t="s">
        <v>1081</v>
      </c>
      <c r="L1213">
        <v>5</v>
      </c>
      <c r="M1213">
        <v>34.9</v>
      </c>
      <c r="N1213">
        <v>21.5</v>
      </c>
      <c r="O1213">
        <v>18.8</v>
      </c>
      <c r="P1213">
        <v>1.4109999999999999E-2</v>
      </c>
      <c r="Q1213">
        <v>1.66</v>
      </c>
      <c r="R1213">
        <v>232.91</v>
      </c>
      <c r="S1213">
        <v>12</v>
      </c>
      <c r="T1213">
        <v>3</v>
      </c>
      <c r="U1213">
        <v>36</v>
      </c>
      <c r="V1213">
        <v>71.400000000000006</v>
      </c>
      <c r="W1213">
        <v>84.759999999999991</v>
      </c>
      <c r="X1213">
        <v>0.50795999999999997</v>
      </c>
      <c r="Y1213">
        <v>9.8000000000000007</v>
      </c>
      <c r="Z1213">
        <v>0.13827800000000001</v>
      </c>
      <c r="AA1213">
        <v>0.27222222222222225</v>
      </c>
      <c r="AB1213">
        <v>11412.59</v>
      </c>
      <c r="AC1213">
        <v>1</v>
      </c>
      <c r="AD1213" s="1" t="s">
        <v>44</v>
      </c>
      <c r="AE1213">
        <v>0</v>
      </c>
      <c r="AF1213">
        <v>1</v>
      </c>
      <c r="AG1213">
        <v>3.9144736842105265</v>
      </c>
    </row>
    <row r="1214" spans="1:33">
      <c r="A1214" s="1" t="s">
        <v>1220</v>
      </c>
      <c r="B1214" s="1" t="s">
        <v>2478</v>
      </c>
      <c r="C1214" s="2">
        <v>46875</v>
      </c>
      <c r="D1214" s="1" t="s">
        <v>34</v>
      </c>
      <c r="E1214">
        <v>456</v>
      </c>
      <c r="F1214" s="2">
        <v>46081</v>
      </c>
      <c r="G1214" s="1" t="s">
        <v>1221</v>
      </c>
      <c r="H1214" s="1" t="s">
        <v>1208</v>
      </c>
      <c r="I1214" s="1" t="s">
        <v>1111</v>
      </c>
      <c r="J1214" s="1" t="s">
        <v>1209</v>
      </c>
      <c r="K1214" s="1" t="s">
        <v>1081</v>
      </c>
      <c r="L1214">
        <v>5</v>
      </c>
      <c r="M1214">
        <v>34.9</v>
      </c>
      <c r="N1214">
        <v>21.5</v>
      </c>
      <c r="O1214">
        <v>18.8</v>
      </c>
      <c r="P1214">
        <v>1.4109999999999999E-2</v>
      </c>
      <c r="Q1214">
        <v>1.66</v>
      </c>
      <c r="R1214">
        <v>232.91</v>
      </c>
      <c r="S1214">
        <v>12</v>
      </c>
      <c r="T1214">
        <v>3</v>
      </c>
      <c r="U1214">
        <v>36</v>
      </c>
      <c r="V1214">
        <v>71.400000000000006</v>
      </c>
      <c r="W1214">
        <v>84.759999999999991</v>
      </c>
      <c r="X1214">
        <v>0.50795999999999997</v>
      </c>
      <c r="Y1214">
        <v>91.2</v>
      </c>
      <c r="Z1214">
        <v>1.286832</v>
      </c>
      <c r="AA1214">
        <v>2.5333333333333332</v>
      </c>
      <c r="AB1214">
        <v>106206.95999999999</v>
      </c>
      <c r="AC1214">
        <v>3</v>
      </c>
      <c r="AD1214" s="1" t="s">
        <v>40</v>
      </c>
      <c r="AE1214">
        <v>3</v>
      </c>
      <c r="AF1214">
        <v>0</v>
      </c>
      <c r="AG1214">
        <v>26.118421052631579</v>
      </c>
    </row>
    <row r="1215" spans="1:33">
      <c r="A1215" s="1" t="s">
        <v>1220</v>
      </c>
      <c r="B1215" s="1" t="s">
        <v>2479</v>
      </c>
      <c r="C1215" s="2">
        <v>46302</v>
      </c>
      <c r="D1215" s="1" t="s">
        <v>34</v>
      </c>
      <c r="E1215">
        <v>325</v>
      </c>
      <c r="F1215" s="2">
        <v>46081</v>
      </c>
      <c r="G1215" s="1" t="s">
        <v>1221</v>
      </c>
      <c r="H1215" s="1" t="s">
        <v>1208</v>
      </c>
      <c r="I1215" s="1" t="s">
        <v>1111</v>
      </c>
      <c r="J1215" s="1" t="s">
        <v>1209</v>
      </c>
      <c r="K1215" s="1" t="s">
        <v>1081</v>
      </c>
      <c r="L1215">
        <v>5</v>
      </c>
      <c r="M1215">
        <v>34.9</v>
      </c>
      <c r="N1215">
        <v>21.5</v>
      </c>
      <c r="O1215">
        <v>18.8</v>
      </c>
      <c r="P1215">
        <v>1.4109999999999999E-2</v>
      </c>
      <c r="Q1215">
        <v>1.66</v>
      </c>
      <c r="R1215">
        <v>232.91</v>
      </c>
      <c r="S1215">
        <v>12</v>
      </c>
      <c r="T1215">
        <v>3</v>
      </c>
      <c r="U1215">
        <v>36</v>
      </c>
      <c r="V1215">
        <v>71.400000000000006</v>
      </c>
      <c r="W1215">
        <v>84.759999999999991</v>
      </c>
      <c r="X1215">
        <v>0.50795999999999997</v>
      </c>
      <c r="Y1215">
        <v>65</v>
      </c>
      <c r="Z1215">
        <v>0.91714999999999991</v>
      </c>
      <c r="AA1215">
        <v>1.8055555555555556</v>
      </c>
      <c r="AB1215">
        <v>75695.75</v>
      </c>
      <c r="AC1215">
        <v>2</v>
      </c>
      <c r="AD1215" s="1" t="s">
        <v>40</v>
      </c>
      <c r="AE1215">
        <v>2</v>
      </c>
      <c r="AF1215">
        <v>0</v>
      </c>
      <c r="AG1215">
        <v>7.2697368421052637</v>
      </c>
    </row>
    <row r="1216" spans="1:33">
      <c r="A1216" s="1" t="s">
        <v>1222</v>
      </c>
      <c r="B1216" s="1" t="s">
        <v>2480</v>
      </c>
      <c r="C1216" s="2">
        <v>46763</v>
      </c>
      <c r="D1216" s="1" t="s">
        <v>34</v>
      </c>
      <c r="E1216">
        <v>3</v>
      </c>
      <c r="F1216" s="2">
        <v>46081</v>
      </c>
      <c r="G1216" s="1" t="s">
        <v>1223</v>
      </c>
      <c r="H1216" s="1" t="s">
        <v>1208</v>
      </c>
      <c r="I1216" s="1" t="s">
        <v>1111</v>
      </c>
      <c r="J1216" s="1" t="s">
        <v>1209</v>
      </c>
      <c r="K1216" s="1" t="s">
        <v>834</v>
      </c>
      <c r="L1216">
        <v>10</v>
      </c>
      <c r="M1216">
        <v>26.8</v>
      </c>
      <c r="N1216">
        <v>23</v>
      </c>
      <c r="O1216">
        <v>15.4</v>
      </c>
      <c r="P1216">
        <v>9.4900000000000002E-3</v>
      </c>
      <c r="Q1216">
        <v>2.06</v>
      </c>
      <c r="R1216">
        <v>160.1</v>
      </c>
      <c r="S1216">
        <v>14</v>
      </c>
      <c r="T1216">
        <v>5</v>
      </c>
      <c r="U1216">
        <v>70</v>
      </c>
      <c r="V1216">
        <v>92</v>
      </c>
      <c r="W1216">
        <v>169.20000000000002</v>
      </c>
      <c r="X1216">
        <v>0.6643</v>
      </c>
      <c r="Y1216">
        <v>0.3</v>
      </c>
      <c r="Z1216">
        <v>2.8470000000000001E-3</v>
      </c>
      <c r="AA1216">
        <v>4.2857142857142859E-3</v>
      </c>
      <c r="AB1216">
        <v>480.29999999999995</v>
      </c>
      <c r="AC1216">
        <v>1</v>
      </c>
      <c r="AD1216" s="1" t="s">
        <v>44</v>
      </c>
      <c r="AE1216">
        <v>0</v>
      </c>
      <c r="AF1216">
        <v>1</v>
      </c>
      <c r="AG1216">
        <v>22.434210526315791</v>
      </c>
    </row>
    <row r="1217" spans="1:33">
      <c r="A1217" s="1" t="s">
        <v>1222</v>
      </c>
      <c r="B1217" s="1" t="s">
        <v>2481</v>
      </c>
      <c r="C1217" s="2">
        <v>46360</v>
      </c>
      <c r="D1217" s="1" t="s">
        <v>34</v>
      </c>
      <c r="E1217">
        <v>9</v>
      </c>
      <c r="F1217" s="2">
        <v>46081</v>
      </c>
      <c r="G1217" s="1" t="s">
        <v>1223</v>
      </c>
      <c r="H1217" s="1" t="s">
        <v>1208</v>
      </c>
      <c r="I1217" s="1" t="s">
        <v>1111</v>
      </c>
      <c r="J1217" s="1" t="s">
        <v>1209</v>
      </c>
      <c r="K1217" s="1" t="s">
        <v>834</v>
      </c>
      <c r="L1217">
        <v>10</v>
      </c>
      <c r="M1217">
        <v>26.8</v>
      </c>
      <c r="N1217">
        <v>23</v>
      </c>
      <c r="O1217">
        <v>15.4</v>
      </c>
      <c r="P1217">
        <v>9.4900000000000002E-3</v>
      </c>
      <c r="Q1217">
        <v>2.06</v>
      </c>
      <c r="R1217">
        <v>160.1</v>
      </c>
      <c r="S1217">
        <v>14</v>
      </c>
      <c r="T1217">
        <v>5</v>
      </c>
      <c r="U1217">
        <v>70</v>
      </c>
      <c r="V1217">
        <v>92</v>
      </c>
      <c r="W1217">
        <v>169.20000000000002</v>
      </c>
      <c r="X1217">
        <v>0.6643</v>
      </c>
      <c r="Y1217">
        <v>0.9</v>
      </c>
      <c r="Z1217">
        <v>8.541E-3</v>
      </c>
      <c r="AA1217">
        <v>1.2857142857142857E-2</v>
      </c>
      <c r="AB1217">
        <v>1440.8999999999999</v>
      </c>
      <c r="AC1217">
        <v>1</v>
      </c>
      <c r="AD1217" s="1" t="s">
        <v>44</v>
      </c>
      <c r="AE1217">
        <v>0</v>
      </c>
      <c r="AF1217">
        <v>1</v>
      </c>
      <c r="AG1217">
        <v>9.1776315789473681</v>
      </c>
    </row>
    <row r="1218" spans="1:33">
      <c r="A1218" s="1" t="s">
        <v>1222</v>
      </c>
      <c r="B1218" s="1" t="s">
        <v>2482</v>
      </c>
      <c r="C1218" s="2">
        <v>47101</v>
      </c>
      <c r="D1218" s="1" t="s">
        <v>34</v>
      </c>
      <c r="E1218">
        <v>7</v>
      </c>
      <c r="F1218" s="2">
        <v>46081</v>
      </c>
      <c r="G1218" s="1" t="s">
        <v>1223</v>
      </c>
      <c r="H1218" s="1" t="s">
        <v>1208</v>
      </c>
      <c r="I1218" s="1" t="s">
        <v>1111</v>
      </c>
      <c r="J1218" s="1" t="s">
        <v>1209</v>
      </c>
      <c r="K1218" s="1" t="s">
        <v>834</v>
      </c>
      <c r="L1218">
        <v>10</v>
      </c>
      <c r="M1218">
        <v>26.8</v>
      </c>
      <c r="N1218">
        <v>23</v>
      </c>
      <c r="O1218">
        <v>15.4</v>
      </c>
      <c r="P1218">
        <v>9.4900000000000002E-3</v>
      </c>
      <c r="Q1218">
        <v>2.06</v>
      </c>
      <c r="R1218">
        <v>160.1</v>
      </c>
      <c r="S1218">
        <v>14</v>
      </c>
      <c r="T1218">
        <v>5</v>
      </c>
      <c r="U1218">
        <v>70</v>
      </c>
      <c r="V1218">
        <v>92</v>
      </c>
      <c r="W1218">
        <v>169.20000000000002</v>
      </c>
      <c r="X1218">
        <v>0.6643</v>
      </c>
      <c r="Y1218">
        <v>0.7</v>
      </c>
      <c r="Z1218">
        <v>6.6429999999999996E-3</v>
      </c>
      <c r="AA1218">
        <v>0.01</v>
      </c>
      <c r="AB1218">
        <v>1120.7</v>
      </c>
      <c r="AC1218">
        <v>1</v>
      </c>
      <c r="AD1218" s="1" t="s">
        <v>44</v>
      </c>
      <c r="AE1218">
        <v>0</v>
      </c>
      <c r="AF1218">
        <v>1</v>
      </c>
      <c r="AG1218">
        <v>33.55263157894737</v>
      </c>
    </row>
    <row r="1219" spans="1:33">
      <c r="A1219" s="1" t="s">
        <v>1224</v>
      </c>
      <c r="B1219" s="1" t="s">
        <v>2483</v>
      </c>
      <c r="C1219" s="2">
        <v>46535</v>
      </c>
      <c r="D1219" s="1" t="s">
        <v>34</v>
      </c>
      <c r="E1219">
        <v>1008</v>
      </c>
      <c r="F1219" s="2">
        <v>46081</v>
      </c>
      <c r="G1219" s="1" t="s">
        <v>1225</v>
      </c>
      <c r="H1219" s="1" t="s">
        <v>1208</v>
      </c>
      <c r="I1219" s="1" t="s">
        <v>1111</v>
      </c>
      <c r="J1219" s="1" t="s">
        <v>1209</v>
      </c>
      <c r="K1219" s="1" t="s">
        <v>834</v>
      </c>
      <c r="L1219">
        <v>1</v>
      </c>
      <c r="M1219">
        <v>33.700000000000003</v>
      </c>
      <c r="N1219">
        <v>16.5</v>
      </c>
      <c r="O1219">
        <v>13.9</v>
      </c>
      <c r="P1219">
        <v>7.7299999999999999E-3</v>
      </c>
      <c r="Q1219">
        <v>1.01</v>
      </c>
      <c r="R1219">
        <v>47.73</v>
      </c>
      <c r="S1219">
        <v>18</v>
      </c>
      <c r="T1219">
        <v>7</v>
      </c>
      <c r="U1219">
        <v>126</v>
      </c>
      <c r="V1219">
        <v>112.3</v>
      </c>
      <c r="W1219">
        <v>152.26</v>
      </c>
      <c r="X1219">
        <v>0.97397999999999996</v>
      </c>
      <c r="Y1219">
        <v>1008</v>
      </c>
      <c r="Z1219">
        <v>7.7918399999999997</v>
      </c>
      <c r="AA1219">
        <v>8</v>
      </c>
      <c r="AB1219">
        <v>48111.839999999997</v>
      </c>
      <c r="AC1219">
        <v>8</v>
      </c>
      <c r="AD1219" s="1" t="s">
        <v>40</v>
      </c>
      <c r="AE1219">
        <v>8</v>
      </c>
      <c r="AF1219">
        <v>0</v>
      </c>
      <c r="AG1219">
        <v>14.934210526315789</v>
      </c>
    </row>
    <row r="1220" spans="1:33">
      <c r="A1220" s="1" t="s">
        <v>1226</v>
      </c>
      <c r="B1220" s="1" t="s">
        <v>2484</v>
      </c>
      <c r="C1220" s="2">
        <v>46825</v>
      </c>
      <c r="D1220" s="1" t="s">
        <v>34</v>
      </c>
      <c r="E1220">
        <v>676</v>
      </c>
      <c r="F1220" s="2">
        <v>46081</v>
      </c>
      <c r="G1220" s="1" t="s">
        <v>1227</v>
      </c>
      <c r="H1220" s="1" t="s">
        <v>1208</v>
      </c>
      <c r="I1220" s="1" t="s">
        <v>1111</v>
      </c>
      <c r="J1220" s="1" t="s">
        <v>1209</v>
      </c>
      <c r="K1220" s="1" t="s">
        <v>834</v>
      </c>
      <c r="L1220">
        <v>10</v>
      </c>
      <c r="M1220">
        <v>23.2</v>
      </c>
      <c r="N1220">
        <v>20.7</v>
      </c>
      <c r="O1220">
        <v>14.4</v>
      </c>
      <c r="P1220">
        <v>6.9199999999999999E-3</v>
      </c>
      <c r="Q1220">
        <v>1.42</v>
      </c>
      <c r="R1220">
        <v>111.26</v>
      </c>
      <c r="S1220">
        <v>20</v>
      </c>
      <c r="T1220">
        <v>4</v>
      </c>
      <c r="U1220">
        <v>80</v>
      </c>
      <c r="V1220">
        <v>72.599999999999994</v>
      </c>
      <c r="W1220">
        <v>138.6</v>
      </c>
      <c r="X1220">
        <v>0.55359999999999998</v>
      </c>
      <c r="Y1220">
        <v>67.599999999999994</v>
      </c>
      <c r="Z1220">
        <v>0.46779199999999993</v>
      </c>
      <c r="AA1220">
        <v>0.84499999999999997</v>
      </c>
      <c r="AB1220">
        <v>75211.760000000009</v>
      </c>
      <c r="AC1220">
        <v>1</v>
      </c>
      <c r="AD1220" s="1" t="s">
        <v>40</v>
      </c>
      <c r="AE1220">
        <v>1</v>
      </c>
      <c r="AF1220">
        <v>0</v>
      </c>
      <c r="AG1220">
        <v>24.473684210526319</v>
      </c>
    </row>
    <row r="1221" spans="1:33">
      <c r="A1221" s="1" t="s">
        <v>1228</v>
      </c>
      <c r="B1221" s="1" t="s">
        <v>2485</v>
      </c>
      <c r="C1221" s="2">
        <v>46798</v>
      </c>
      <c r="D1221" s="1" t="s">
        <v>34</v>
      </c>
      <c r="E1221">
        <v>732</v>
      </c>
      <c r="F1221" s="2">
        <v>46081</v>
      </c>
      <c r="G1221" s="1" t="s">
        <v>1229</v>
      </c>
      <c r="H1221" s="1" t="s">
        <v>1208</v>
      </c>
      <c r="I1221" s="1" t="s">
        <v>1111</v>
      </c>
      <c r="J1221" s="1" t="s">
        <v>1209</v>
      </c>
      <c r="K1221" s="1" t="s">
        <v>1081</v>
      </c>
      <c r="L1221">
        <v>1</v>
      </c>
      <c r="M1221">
        <v>32.5</v>
      </c>
      <c r="N1221">
        <v>18.899999999999999</v>
      </c>
      <c r="O1221">
        <v>16.7</v>
      </c>
      <c r="P1221">
        <v>1.026E-2</v>
      </c>
      <c r="Q1221">
        <v>1.9</v>
      </c>
      <c r="R1221">
        <v>130.86000000000001</v>
      </c>
      <c r="S1221">
        <v>18</v>
      </c>
      <c r="T1221">
        <v>8</v>
      </c>
      <c r="U1221">
        <v>144</v>
      </c>
      <c r="V1221">
        <v>148.6</v>
      </c>
      <c r="W1221">
        <v>298.60000000000002</v>
      </c>
      <c r="X1221">
        <v>1.4774400000000001</v>
      </c>
      <c r="Y1221">
        <v>732</v>
      </c>
      <c r="Z1221">
        <v>7.5103200000000001</v>
      </c>
      <c r="AA1221">
        <v>5.083333333333333</v>
      </c>
      <c r="AB1221">
        <v>95789.52</v>
      </c>
      <c r="AC1221">
        <v>6</v>
      </c>
      <c r="AD1221" s="1" t="s">
        <v>40</v>
      </c>
      <c r="AE1221">
        <v>6</v>
      </c>
      <c r="AF1221">
        <v>0</v>
      </c>
      <c r="AG1221">
        <v>23.585526315789476</v>
      </c>
    </row>
    <row r="1222" spans="1:33">
      <c r="A1222" s="1" t="s">
        <v>1228</v>
      </c>
      <c r="B1222" s="1" t="s">
        <v>2486</v>
      </c>
      <c r="C1222" s="2">
        <v>46303</v>
      </c>
      <c r="D1222" s="1" t="s">
        <v>34</v>
      </c>
      <c r="E1222">
        <v>514</v>
      </c>
      <c r="F1222" s="2">
        <v>46081</v>
      </c>
      <c r="G1222" s="1" t="s">
        <v>1229</v>
      </c>
      <c r="H1222" s="1" t="s">
        <v>1208</v>
      </c>
      <c r="I1222" s="1" t="s">
        <v>1111</v>
      </c>
      <c r="J1222" s="1" t="s">
        <v>1209</v>
      </c>
      <c r="K1222" s="1" t="s">
        <v>1081</v>
      </c>
      <c r="L1222">
        <v>1</v>
      </c>
      <c r="M1222">
        <v>32.5</v>
      </c>
      <c r="N1222">
        <v>18.899999999999999</v>
      </c>
      <c r="O1222">
        <v>16.7</v>
      </c>
      <c r="P1222">
        <v>1.026E-2</v>
      </c>
      <c r="Q1222">
        <v>1.9</v>
      </c>
      <c r="R1222">
        <v>130.86000000000001</v>
      </c>
      <c r="S1222">
        <v>18</v>
      </c>
      <c r="T1222">
        <v>8</v>
      </c>
      <c r="U1222">
        <v>144</v>
      </c>
      <c r="V1222">
        <v>148.6</v>
      </c>
      <c r="W1222">
        <v>298.60000000000002</v>
      </c>
      <c r="X1222">
        <v>1.4774400000000001</v>
      </c>
      <c r="Y1222">
        <v>514</v>
      </c>
      <c r="Z1222">
        <v>5.2736400000000003</v>
      </c>
      <c r="AA1222">
        <v>3.5694444444444446</v>
      </c>
      <c r="AB1222">
        <v>67262.040000000008</v>
      </c>
      <c r="AC1222">
        <v>4</v>
      </c>
      <c r="AD1222" s="1" t="s">
        <v>40</v>
      </c>
      <c r="AE1222">
        <v>4</v>
      </c>
      <c r="AF1222">
        <v>0</v>
      </c>
      <c r="AG1222">
        <v>7.302631578947369</v>
      </c>
    </row>
    <row r="1223" spans="1:33">
      <c r="A1223" s="1" t="s">
        <v>1230</v>
      </c>
      <c r="B1223" s="1" t="s">
        <v>2487</v>
      </c>
      <c r="C1223" s="2">
        <v>46475</v>
      </c>
      <c r="D1223" s="1" t="s">
        <v>34</v>
      </c>
      <c r="E1223">
        <v>10</v>
      </c>
      <c r="F1223" s="2">
        <v>46081</v>
      </c>
      <c r="G1223" s="1" t="s">
        <v>1231</v>
      </c>
      <c r="H1223" s="1" t="s">
        <v>1208</v>
      </c>
      <c r="I1223" s="1" t="s">
        <v>1111</v>
      </c>
      <c r="J1223" s="1" t="s">
        <v>1209</v>
      </c>
      <c r="K1223" s="1" t="s">
        <v>834</v>
      </c>
      <c r="L1223">
        <v>10</v>
      </c>
      <c r="M1223">
        <v>21.1</v>
      </c>
      <c r="N1223">
        <v>15.5</v>
      </c>
      <c r="O1223">
        <v>15.1</v>
      </c>
      <c r="P1223">
        <v>4.9399999999999999E-3</v>
      </c>
      <c r="Q1223">
        <v>0.75</v>
      </c>
      <c r="R1223">
        <v>292.54000000000002</v>
      </c>
      <c r="S1223">
        <v>30</v>
      </c>
      <c r="T1223">
        <v>5</v>
      </c>
      <c r="U1223">
        <v>150</v>
      </c>
      <c r="V1223">
        <v>90.5</v>
      </c>
      <c r="W1223">
        <v>137.5</v>
      </c>
      <c r="X1223">
        <v>0.74099999999999999</v>
      </c>
      <c r="Y1223">
        <v>1</v>
      </c>
      <c r="Z1223">
        <v>4.9399999999999999E-3</v>
      </c>
      <c r="AA1223">
        <v>6.6666666666666671E-3</v>
      </c>
      <c r="AB1223">
        <v>2925.4</v>
      </c>
      <c r="AC1223">
        <v>1</v>
      </c>
      <c r="AD1223" s="1" t="s">
        <v>44</v>
      </c>
      <c r="AE1223">
        <v>0</v>
      </c>
      <c r="AF1223">
        <v>1</v>
      </c>
      <c r="AG1223">
        <v>12.960526315789474</v>
      </c>
    </row>
    <row r="1224" spans="1:33">
      <c r="A1224" s="1" t="s">
        <v>1232</v>
      </c>
      <c r="B1224" s="1" t="s">
        <v>2488</v>
      </c>
      <c r="C1224" s="2">
        <v>46661</v>
      </c>
      <c r="D1224" s="1" t="s">
        <v>34</v>
      </c>
      <c r="E1224">
        <v>2054</v>
      </c>
      <c r="F1224" s="2">
        <v>46081</v>
      </c>
      <c r="G1224" s="1" t="s">
        <v>1233</v>
      </c>
      <c r="H1224" s="1" t="s">
        <v>1208</v>
      </c>
      <c r="I1224" s="1" t="s">
        <v>1111</v>
      </c>
      <c r="J1224" s="1" t="s">
        <v>1209</v>
      </c>
      <c r="K1224" s="1" t="s">
        <v>834</v>
      </c>
      <c r="L1224">
        <v>10</v>
      </c>
      <c r="M1224">
        <v>32.700000000000003</v>
      </c>
      <c r="N1224">
        <v>15.9</v>
      </c>
      <c r="O1224">
        <v>16.600000000000001</v>
      </c>
      <c r="P1224">
        <v>8.6300000000000005E-3</v>
      </c>
      <c r="Q1224">
        <v>1.53</v>
      </c>
      <c r="R1224">
        <v>250.14</v>
      </c>
      <c r="S1224">
        <v>21</v>
      </c>
      <c r="T1224">
        <v>4</v>
      </c>
      <c r="U1224">
        <v>84</v>
      </c>
      <c r="V1224">
        <v>81.400000000000006</v>
      </c>
      <c r="W1224">
        <v>153.52000000000001</v>
      </c>
      <c r="X1224">
        <v>0.72492000000000001</v>
      </c>
      <c r="Y1224">
        <v>205.4</v>
      </c>
      <c r="Z1224">
        <v>1.7726020000000002</v>
      </c>
      <c r="AA1224">
        <v>2.4452380952380954</v>
      </c>
      <c r="AB1224">
        <v>513787.56</v>
      </c>
      <c r="AC1224">
        <v>3</v>
      </c>
      <c r="AD1224" s="1" t="s">
        <v>40</v>
      </c>
      <c r="AE1224">
        <v>3</v>
      </c>
      <c r="AF1224">
        <v>0</v>
      </c>
      <c r="AG1224">
        <v>19.078947368421055</v>
      </c>
    </row>
    <row r="1225" spans="1:33">
      <c r="A1225" s="1" t="s">
        <v>1234</v>
      </c>
      <c r="B1225" s="1" t="s">
        <v>2489</v>
      </c>
      <c r="C1225" s="2">
        <v>46683</v>
      </c>
      <c r="D1225" s="1" t="s">
        <v>34</v>
      </c>
      <c r="E1225">
        <v>172</v>
      </c>
      <c r="F1225" s="2">
        <v>46081</v>
      </c>
      <c r="G1225" s="1" t="s">
        <v>1235</v>
      </c>
      <c r="H1225" s="1" t="s">
        <v>1208</v>
      </c>
      <c r="I1225" s="1" t="s">
        <v>1111</v>
      </c>
      <c r="J1225" s="1" t="s">
        <v>1209</v>
      </c>
      <c r="K1225" s="1" t="s">
        <v>834</v>
      </c>
      <c r="L1225">
        <v>5</v>
      </c>
      <c r="M1225">
        <v>28.4</v>
      </c>
      <c r="N1225">
        <v>22.8</v>
      </c>
      <c r="O1225">
        <v>11.4</v>
      </c>
      <c r="P1225">
        <v>7.3800000000000003E-3</v>
      </c>
      <c r="Q1225">
        <v>1.5</v>
      </c>
      <c r="R1225">
        <v>129.77000000000001</v>
      </c>
      <c r="S1225">
        <v>16</v>
      </c>
      <c r="T1225">
        <v>13</v>
      </c>
      <c r="U1225">
        <v>208</v>
      </c>
      <c r="V1225">
        <v>163.20000000000002</v>
      </c>
      <c r="W1225">
        <v>337</v>
      </c>
      <c r="X1225">
        <v>1.53504</v>
      </c>
      <c r="Y1225">
        <v>34.4</v>
      </c>
      <c r="Z1225">
        <v>0.25387199999999999</v>
      </c>
      <c r="AA1225">
        <v>0.16538461538461538</v>
      </c>
      <c r="AB1225">
        <v>22320.440000000002</v>
      </c>
      <c r="AC1225">
        <v>1</v>
      </c>
      <c r="AD1225" s="1" t="s">
        <v>40</v>
      </c>
      <c r="AE1225">
        <v>1</v>
      </c>
      <c r="AF1225">
        <v>0</v>
      </c>
      <c r="AG1225">
        <v>19.80263157894737</v>
      </c>
    </row>
    <row r="1226" spans="1:33">
      <c r="A1226" s="1" t="s">
        <v>1236</v>
      </c>
      <c r="B1226" s="1" t="s">
        <v>2490</v>
      </c>
      <c r="C1226" s="2">
        <v>46921</v>
      </c>
      <c r="D1226" s="1" t="s">
        <v>34</v>
      </c>
      <c r="E1226">
        <v>2107</v>
      </c>
      <c r="F1226" s="2">
        <v>46081</v>
      </c>
      <c r="G1226" s="1" t="s">
        <v>1237</v>
      </c>
      <c r="H1226" s="1" t="s">
        <v>1208</v>
      </c>
      <c r="I1226" s="1" t="s">
        <v>1111</v>
      </c>
      <c r="J1226" s="1" t="s">
        <v>1209</v>
      </c>
      <c r="K1226" s="1" t="s">
        <v>834</v>
      </c>
      <c r="L1226">
        <v>1</v>
      </c>
      <c r="M1226">
        <v>33.9</v>
      </c>
      <c r="N1226">
        <v>18.2</v>
      </c>
      <c r="O1226">
        <v>12.7</v>
      </c>
      <c r="P1226">
        <v>7.8399999999999997E-3</v>
      </c>
      <c r="Q1226">
        <v>1.1200000000000001</v>
      </c>
      <c r="R1226">
        <v>56.09</v>
      </c>
      <c r="S1226">
        <v>15</v>
      </c>
      <c r="T1226">
        <v>5</v>
      </c>
      <c r="U1226">
        <v>75</v>
      </c>
      <c r="V1226">
        <v>78.5</v>
      </c>
      <c r="W1226">
        <v>109</v>
      </c>
      <c r="X1226">
        <v>0.58799999999999997</v>
      </c>
      <c r="Y1226">
        <v>2107</v>
      </c>
      <c r="Z1226">
        <v>16.518879999999999</v>
      </c>
      <c r="AA1226">
        <v>28.093333333333334</v>
      </c>
      <c r="AB1226">
        <v>118181.63</v>
      </c>
      <c r="AC1226">
        <v>29</v>
      </c>
      <c r="AD1226" s="1" t="s">
        <v>40</v>
      </c>
      <c r="AE1226">
        <v>29</v>
      </c>
      <c r="AF1226">
        <v>0</v>
      </c>
      <c r="AG1226">
        <v>27.631578947368421</v>
      </c>
    </row>
    <row r="1227" spans="1:33">
      <c r="A1227" s="1" t="s">
        <v>1236</v>
      </c>
      <c r="B1227" s="1" t="s">
        <v>2491</v>
      </c>
      <c r="C1227" s="2">
        <v>46560</v>
      </c>
      <c r="D1227" s="1" t="s">
        <v>45</v>
      </c>
      <c r="E1227">
        <v>42</v>
      </c>
      <c r="F1227" s="2">
        <v>46081</v>
      </c>
      <c r="G1227" s="1" t="s">
        <v>1237</v>
      </c>
      <c r="H1227" s="1" t="s">
        <v>1208</v>
      </c>
      <c r="I1227" s="1" t="s">
        <v>1111</v>
      </c>
      <c r="J1227" s="1" t="s">
        <v>1209</v>
      </c>
      <c r="K1227" s="1" t="s">
        <v>834</v>
      </c>
      <c r="L1227">
        <v>1</v>
      </c>
      <c r="M1227">
        <v>33.9</v>
      </c>
      <c r="N1227">
        <v>18.2</v>
      </c>
      <c r="O1227">
        <v>12.7</v>
      </c>
      <c r="P1227">
        <v>7.8399999999999997E-3</v>
      </c>
      <c r="Q1227">
        <v>1.1200000000000001</v>
      </c>
      <c r="R1227">
        <v>56.09</v>
      </c>
      <c r="S1227">
        <v>15</v>
      </c>
      <c r="T1227">
        <v>5</v>
      </c>
      <c r="U1227">
        <v>75</v>
      </c>
      <c r="V1227">
        <v>78.5</v>
      </c>
      <c r="W1227">
        <v>109</v>
      </c>
      <c r="X1227">
        <v>0.58799999999999997</v>
      </c>
      <c r="Y1227">
        <v>42</v>
      </c>
      <c r="Z1227">
        <v>0.32928000000000002</v>
      </c>
      <c r="AA1227">
        <v>0.56000000000000005</v>
      </c>
      <c r="AB1227">
        <v>2355.7800000000002</v>
      </c>
      <c r="AC1227">
        <v>1</v>
      </c>
      <c r="AD1227" s="1" t="s">
        <v>40</v>
      </c>
      <c r="AE1227">
        <v>1</v>
      </c>
      <c r="AF1227">
        <v>0</v>
      </c>
      <c r="AG1227">
        <v>15.756578947368421</v>
      </c>
    </row>
    <row r="1228" spans="1:33">
      <c r="A1228" s="1" t="s">
        <v>1238</v>
      </c>
      <c r="B1228" s="1" t="s">
        <v>2492</v>
      </c>
      <c r="C1228" s="2">
        <v>46673</v>
      </c>
      <c r="D1228" s="1" t="s">
        <v>34</v>
      </c>
      <c r="E1228">
        <v>315</v>
      </c>
      <c r="F1228" s="2">
        <v>46081</v>
      </c>
      <c r="G1228" s="1" t="s">
        <v>1239</v>
      </c>
      <c r="H1228" s="1" t="s">
        <v>1208</v>
      </c>
      <c r="I1228" s="1" t="s">
        <v>1111</v>
      </c>
      <c r="J1228" s="1" t="s">
        <v>1209</v>
      </c>
      <c r="K1228" s="1" t="s">
        <v>834</v>
      </c>
      <c r="L1228">
        <v>10</v>
      </c>
      <c r="M1228">
        <v>26.2</v>
      </c>
      <c r="N1228">
        <v>18.5</v>
      </c>
      <c r="O1228">
        <v>18.8</v>
      </c>
      <c r="P1228">
        <v>9.11E-3</v>
      </c>
      <c r="Q1228">
        <v>1.36</v>
      </c>
      <c r="R1228">
        <v>200.23</v>
      </c>
      <c r="S1228">
        <v>20</v>
      </c>
      <c r="T1228">
        <v>6</v>
      </c>
      <c r="U1228">
        <v>120</v>
      </c>
      <c r="V1228">
        <v>127.8</v>
      </c>
      <c r="W1228">
        <v>188.2</v>
      </c>
      <c r="X1228">
        <v>1.0931999999999999</v>
      </c>
      <c r="Y1228">
        <v>31.5</v>
      </c>
      <c r="Z1228">
        <v>0.28696500000000003</v>
      </c>
      <c r="AA1228">
        <v>0.26250000000000001</v>
      </c>
      <c r="AB1228">
        <v>63072.45</v>
      </c>
      <c r="AC1228">
        <v>1</v>
      </c>
      <c r="AD1228" s="1" t="s">
        <v>40</v>
      </c>
      <c r="AE1228">
        <v>1</v>
      </c>
      <c r="AF1228">
        <v>0</v>
      </c>
      <c r="AG1228">
        <v>19.473684210526315</v>
      </c>
    </row>
    <row r="1229" spans="1:33">
      <c r="A1229" s="1" t="s">
        <v>1238</v>
      </c>
      <c r="B1229" s="1" t="s">
        <v>2493</v>
      </c>
      <c r="C1229" s="2">
        <v>47029</v>
      </c>
      <c r="D1229" s="1" t="s">
        <v>34</v>
      </c>
      <c r="E1229">
        <v>85</v>
      </c>
      <c r="F1229" s="2">
        <v>46081</v>
      </c>
      <c r="G1229" s="1" t="s">
        <v>1239</v>
      </c>
      <c r="H1229" s="1" t="s">
        <v>1208</v>
      </c>
      <c r="I1229" s="1" t="s">
        <v>1111</v>
      </c>
      <c r="J1229" s="1" t="s">
        <v>1209</v>
      </c>
      <c r="K1229" s="1" t="s">
        <v>834</v>
      </c>
      <c r="L1229">
        <v>10</v>
      </c>
      <c r="M1229">
        <v>26.2</v>
      </c>
      <c r="N1229">
        <v>18.5</v>
      </c>
      <c r="O1229">
        <v>18.8</v>
      </c>
      <c r="P1229">
        <v>9.11E-3</v>
      </c>
      <c r="Q1229">
        <v>1.36</v>
      </c>
      <c r="R1229">
        <v>200.23</v>
      </c>
      <c r="S1229">
        <v>20</v>
      </c>
      <c r="T1229">
        <v>6</v>
      </c>
      <c r="U1229">
        <v>120</v>
      </c>
      <c r="V1229">
        <v>127.8</v>
      </c>
      <c r="W1229">
        <v>188.2</v>
      </c>
      <c r="X1229">
        <v>1.0931999999999999</v>
      </c>
      <c r="Y1229">
        <v>8.5</v>
      </c>
      <c r="Z1229">
        <v>7.7435000000000004E-2</v>
      </c>
      <c r="AA1229">
        <v>7.0833333333333331E-2</v>
      </c>
      <c r="AB1229">
        <v>17019.55</v>
      </c>
      <c r="AC1229">
        <v>1</v>
      </c>
      <c r="AD1229" s="1" t="s">
        <v>44</v>
      </c>
      <c r="AE1229">
        <v>0</v>
      </c>
      <c r="AF1229">
        <v>1</v>
      </c>
      <c r="AG1229">
        <v>31.184210526315791</v>
      </c>
    </row>
    <row r="1230" spans="1:33">
      <c r="A1230" s="1" t="s">
        <v>1240</v>
      </c>
      <c r="B1230" s="1" t="s">
        <v>2494</v>
      </c>
      <c r="C1230" s="2">
        <v>46213</v>
      </c>
      <c r="D1230" s="1" t="s">
        <v>34</v>
      </c>
      <c r="E1230">
        <v>464</v>
      </c>
      <c r="F1230" s="2">
        <v>46081</v>
      </c>
      <c r="G1230" s="1" t="s">
        <v>1241</v>
      </c>
      <c r="H1230" s="1" t="s">
        <v>1208</v>
      </c>
      <c r="I1230" s="1" t="s">
        <v>1111</v>
      </c>
      <c r="J1230" s="1" t="s">
        <v>1209</v>
      </c>
      <c r="K1230" s="1" t="s">
        <v>834</v>
      </c>
      <c r="L1230">
        <v>10</v>
      </c>
      <c r="M1230">
        <v>24.4</v>
      </c>
      <c r="N1230">
        <v>15.5</v>
      </c>
      <c r="O1230">
        <v>11</v>
      </c>
      <c r="P1230">
        <v>4.1599999999999996E-3</v>
      </c>
      <c r="Q1230">
        <v>1.04</v>
      </c>
      <c r="R1230">
        <v>62.51</v>
      </c>
      <c r="S1230">
        <v>28</v>
      </c>
      <c r="T1230">
        <v>10</v>
      </c>
      <c r="U1230">
        <v>280</v>
      </c>
      <c r="V1230">
        <v>125</v>
      </c>
      <c r="W1230">
        <v>316.2</v>
      </c>
      <c r="X1230">
        <v>1.1647999999999998</v>
      </c>
      <c r="Y1230">
        <v>46.4</v>
      </c>
      <c r="Z1230">
        <v>0.19302399999999997</v>
      </c>
      <c r="AA1230">
        <v>0.1657142857142857</v>
      </c>
      <c r="AB1230">
        <v>29004.639999999999</v>
      </c>
      <c r="AC1230">
        <v>1</v>
      </c>
      <c r="AD1230" s="1" t="s">
        <v>44</v>
      </c>
      <c r="AE1230">
        <v>0</v>
      </c>
      <c r="AF1230">
        <v>1</v>
      </c>
      <c r="AG1230">
        <v>4.3421052631578947</v>
      </c>
    </row>
    <row r="1231" spans="1:33">
      <c r="A1231" s="1" t="s">
        <v>1240</v>
      </c>
      <c r="B1231" s="1" t="s">
        <v>2495</v>
      </c>
      <c r="C1231" s="2">
        <v>46709</v>
      </c>
      <c r="D1231" s="1" t="s">
        <v>34</v>
      </c>
      <c r="E1231">
        <v>558</v>
      </c>
      <c r="F1231" s="2">
        <v>46081</v>
      </c>
      <c r="G1231" s="1" t="s">
        <v>1241</v>
      </c>
      <c r="H1231" s="1" t="s">
        <v>1208</v>
      </c>
      <c r="I1231" s="1" t="s">
        <v>1111</v>
      </c>
      <c r="J1231" s="1" t="s">
        <v>1209</v>
      </c>
      <c r="K1231" s="1" t="s">
        <v>834</v>
      </c>
      <c r="L1231">
        <v>10</v>
      </c>
      <c r="M1231">
        <v>24.4</v>
      </c>
      <c r="N1231">
        <v>15.5</v>
      </c>
      <c r="O1231">
        <v>11</v>
      </c>
      <c r="P1231">
        <v>4.1599999999999996E-3</v>
      </c>
      <c r="Q1231">
        <v>1.04</v>
      </c>
      <c r="R1231">
        <v>62.51</v>
      </c>
      <c r="S1231">
        <v>28</v>
      </c>
      <c r="T1231">
        <v>10</v>
      </c>
      <c r="U1231">
        <v>280</v>
      </c>
      <c r="V1231">
        <v>125</v>
      </c>
      <c r="W1231">
        <v>316.2</v>
      </c>
      <c r="X1231">
        <v>1.1647999999999998</v>
      </c>
      <c r="Y1231">
        <v>55.8</v>
      </c>
      <c r="Z1231">
        <v>0.23212799999999997</v>
      </c>
      <c r="AA1231">
        <v>0.19928571428571429</v>
      </c>
      <c r="AB1231">
        <v>34880.58</v>
      </c>
      <c r="AC1231">
        <v>1</v>
      </c>
      <c r="AD1231" s="1" t="s">
        <v>44</v>
      </c>
      <c r="AE1231">
        <v>0</v>
      </c>
      <c r="AF1231">
        <v>1</v>
      </c>
      <c r="AG1231">
        <v>20.657894736842106</v>
      </c>
    </row>
    <row r="1232" spans="1:33">
      <c r="A1232" s="1" t="s">
        <v>1242</v>
      </c>
      <c r="B1232" s="1" t="s">
        <v>2496</v>
      </c>
      <c r="C1232" s="2">
        <v>46354</v>
      </c>
      <c r="D1232" s="1" t="s">
        <v>34</v>
      </c>
      <c r="E1232">
        <v>1517</v>
      </c>
      <c r="F1232" s="2">
        <v>46081</v>
      </c>
      <c r="G1232" s="1" t="s">
        <v>1243</v>
      </c>
      <c r="H1232" s="1" t="s">
        <v>1208</v>
      </c>
      <c r="I1232" s="1" t="s">
        <v>1111</v>
      </c>
      <c r="J1232" s="1" t="s">
        <v>1209</v>
      </c>
      <c r="K1232" s="1" t="s">
        <v>834</v>
      </c>
      <c r="L1232">
        <v>10</v>
      </c>
      <c r="M1232">
        <v>33.1</v>
      </c>
      <c r="N1232">
        <v>24</v>
      </c>
      <c r="O1232">
        <v>15.3</v>
      </c>
      <c r="P1232">
        <v>1.2149999999999999E-2</v>
      </c>
      <c r="Q1232">
        <v>1.74</v>
      </c>
      <c r="R1232">
        <v>42.82</v>
      </c>
      <c r="S1232">
        <v>15</v>
      </c>
      <c r="T1232">
        <v>7</v>
      </c>
      <c r="U1232">
        <v>105</v>
      </c>
      <c r="V1232">
        <v>122.1</v>
      </c>
      <c r="W1232">
        <v>207.7</v>
      </c>
      <c r="X1232">
        <v>1.2757499999999999</v>
      </c>
      <c r="Y1232">
        <v>151.69999999999999</v>
      </c>
      <c r="Z1232">
        <v>1.8431549999999997</v>
      </c>
      <c r="AA1232">
        <v>1.4447619047619047</v>
      </c>
      <c r="AB1232">
        <v>64957.94</v>
      </c>
      <c r="AC1232">
        <v>2</v>
      </c>
      <c r="AD1232" s="1" t="s">
        <v>40</v>
      </c>
      <c r="AE1232">
        <v>2</v>
      </c>
      <c r="AF1232">
        <v>0</v>
      </c>
      <c r="AG1232">
        <v>8.9802631578947381</v>
      </c>
    </row>
    <row r="1233" spans="1:33">
      <c r="A1233" s="1" t="s">
        <v>1242</v>
      </c>
      <c r="B1233" s="1" t="s">
        <v>2497</v>
      </c>
      <c r="C1233" s="2">
        <v>46413</v>
      </c>
      <c r="D1233" s="1" t="s">
        <v>34</v>
      </c>
      <c r="E1233">
        <v>782</v>
      </c>
      <c r="F1233" s="2">
        <v>46081</v>
      </c>
      <c r="G1233" s="1" t="s">
        <v>1243</v>
      </c>
      <c r="H1233" s="1" t="s">
        <v>1208</v>
      </c>
      <c r="I1233" s="1" t="s">
        <v>1111</v>
      </c>
      <c r="J1233" s="1" t="s">
        <v>1209</v>
      </c>
      <c r="K1233" s="1" t="s">
        <v>834</v>
      </c>
      <c r="L1233">
        <v>10</v>
      </c>
      <c r="M1233">
        <v>33.1</v>
      </c>
      <c r="N1233">
        <v>24</v>
      </c>
      <c r="O1233">
        <v>15.3</v>
      </c>
      <c r="P1233">
        <v>1.2149999999999999E-2</v>
      </c>
      <c r="Q1233">
        <v>1.74</v>
      </c>
      <c r="R1233">
        <v>42.82</v>
      </c>
      <c r="S1233">
        <v>15</v>
      </c>
      <c r="T1233">
        <v>7</v>
      </c>
      <c r="U1233">
        <v>105</v>
      </c>
      <c r="V1233">
        <v>122.1</v>
      </c>
      <c r="W1233">
        <v>207.7</v>
      </c>
      <c r="X1233">
        <v>1.2757499999999999</v>
      </c>
      <c r="Y1233">
        <v>78.2</v>
      </c>
      <c r="Z1233">
        <v>0.95013000000000003</v>
      </c>
      <c r="AA1233">
        <v>0.74476190476190474</v>
      </c>
      <c r="AB1233">
        <v>33485.24</v>
      </c>
      <c r="AC1233">
        <v>1</v>
      </c>
      <c r="AD1233" s="1" t="s">
        <v>40</v>
      </c>
      <c r="AE1233">
        <v>1</v>
      </c>
      <c r="AF1233">
        <v>0</v>
      </c>
      <c r="AG1233">
        <v>10.921052631578949</v>
      </c>
    </row>
    <row r="1234" spans="1:33">
      <c r="A1234" s="1" t="s">
        <v>1244</v>
      </c>
      <c r="B1234" s="1" t="s">
        <v>2498</v>
      </c>
      <c r="C1234" s="2">
        <v>46367</v>
      </c>
      <c r="D1234" s="1" t="s">
        <v>34</v>
      </c>
      <c r="E1234">
        <v>1352</v>
      </c>
      <c r="F1234" s="2">
        <v>46081</v>
      </c>
      <c r="G1234" s="1" t="s">
        <v>1245</v>
      </c>
      <c r="H1234" s="1" t="s">
        <v>1208</v>
      </c>
      <c r="I1234" s="1" t="s">
        <v>1111</v>
      </c>
      <c r="J1234" s="1" t="s">
        <v>1209</v>
      </c>
      <c r="K1234" s="1" t="s">
        <v>1081</v>
      </c>
      <c r="L1234">
        <v>1</v>
      </c>
      <c r="M1234">
        <v>22.6</v>
      </c>
      <c r="N1234">
        <v>20.5</v>
      </c>
      <c r="O1234">
        <v>13.1</v>
      </c>
      <c r="P1234">
        <v>6.0699999999999999E-3</v>
      </c>
      <c r="Q1234">
        <v>0.97</v>
      </c>
      <c r="R1234">
        <v>225.85</v>
      </c>
      <c r="S1234">
        <v>20</v>
      </c>
      <c r="T1234">
        <v>8</v>
      </c>
      <c r="U1234">
        <v>160</v>
      </c>
      <c r="V1234">
        <v>119.8</v>
      </c>
      <c r="W1234">
        <v>180.2</v>
      </c>
      <c r="X1234">
        <v>0.97119999999999995</v>
      </c>
      <c r="Y1234">
        <v>1352</v>
      </c>
      <c r="Z1234">
        <v>8.2066400000000002</v>
      </c>
      <c r="AA1234">
        <v>8.4499999999999993</v>
      </c>
      <c r="AB1234">
        <v>305349.2</v>
      </c>
      <c r="AC1234">
        <v>9</v>
      </c>
      <c r="AD1234" s="1" t="s">
        <v>40</v>
      </c>
      <c r="AE1234">
        <v>9</v>
      </c>
      <c r="AF1234">
        <v>0</v>
      </c>
      <c r="AG1234">
        <v>9.4078947368421062</v>
      </c>
    </row>
    <row r="1235" spans="1:33">
      <c r="A1235" s="1" t="s">
        <v>1244</v>
      </c>
      <c r="B1235" s="1" t="s">
        <v>2499</v>
      </c>
      <c r="C1235" s="2">
        <v>46615</v>
      </c>
      <c r="D1235" s="1" t="s">
        <v>45</v>
      </c>
      <c r="E1235">
        <v>27</v>
      </c>
      <c r="F1235" s="2">
        <v>46081</v>
      </c>
      <c r="G1235" s="1" t="s">
        <v>1245</v>
      </c>
      <c r="H1235" s="1" t="s">
        <v>1208</v>
      </c>
      <c r="I1235" s="1" t="s">
        <v>1111</v>
      </c>
      <c r="J1235" s="1" t="s">
        <v>1209</v>
      </c>
      <c r="K1235" s="1" t="s">
        <v>1081</v>
      </c>
      <c r="L1235">
        <v>1</v>
      </c>
      <c r="M1235">
        <v>22.6</v>
      </c>
      <c r="N1235">
        <v>20.5</v>
      </c>
      <c r="O1235">
        <v>13.1</v>
      </c>
      <c r="P1235">
        <v>6.0699999999999999E-3</v>
      </c>
      <c r="Q1235">
        <v>0.97</v>
      </c>
      <c r="R1235">
        <v>225.85</v>
      </c>
      <c r="S1235">
        <v>20</v>
      </c>
      <c r="T1235">
        <v>8</v>
      </c>
      <c r="U1235">
        <v>160</v>
      </c>
      <c r="V1235">
        <v>119.8</v>
      </c>
      <c r="W1235">
        <v>180.2</v>
      </c>
      <c r="X1235">
        <v>0.97119999999999995</v>
      </c>
      <c r="Y1235">
        <v>27</v>
      </c>
      <c r="Z1235">
        <v>0.16389000000000001</v>
      </c>
      <c r="AA1235">
        <v>0.16875000000000001</v>
      </c>
      <c r="AB1235">
        <v>6097.95</v>
      </c>
      <c r="AC1235">
        <v>1</v>
      </c>
      <c r="AD1235" s="1" t="s">
        <v>44</v>
      </c>
      <c r="AE1235">
        <v>0</v>
      </c>
      <c r="AF1235">
        <v>1</v>
      </c>
      <c r="AG1235">
        <v>17.565789473684212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BD38B-D75C-4467-BE02-D76BA31CF2BB}">
  <sheetPr>
    <tabColor theme="2" tint="-0.499984740745262"/>
  </sheetPr>
  <dimension ref="A1:S17"/>
  <sheetViews>
    <sheetView workbookViewId="0"/>
  </sheetViews>
  <sheetFormatPr defaultRowHeight="16.5"/>
  <cols>
    <col min="1" max="1" width="11.9140625" bestFit="1" customWidth="1"/>
    <col min="2" max="2" width="10.25" bestFit="1" customWidth="1"/>
    <col min="6" max="6" width="21.08203125" bestFit="1" customWidth="1"/>
    <col min="9" max="9" width="9.58203125" bestFit="1" customWidth="1"/>
    <col min="12" max="12" width="21.08203125" bestFit="1" customWidth="1"/>
    <col min="13" max="13" width="11.75" bestFit="1" customWidth="1"/>
    <col min="15" max="15" width="21.08203125" bestFit="1" customWidth="1"/>
    <col min="18" max="18" width="10.1640625" bestFit="1" customWidth="1"/>
    <col min="19" max="19" width="11.75" bestFit="1" customWidth="1"/>
  </cols>
  <sheetData>
    <row r="1" spans="1:19">
      <c r="A1" t="s">
        <v>2500</v>
      </c>
      <c r="B1" s="2">
        <f>MAX(tblStock[snapshot_date])</f>
        <v>46081</v>
      </c>
      <c r="D1" t="s">
        <v>2514</v>
      </c>
      <c r="F1" t="s">
        <v>2541</v>
      </c>
      <c r="H1" t="s">
        <v>2542</v>
      </c>
      <c r="I1" t="s">
        <v>2543</v>
      </c>
      <c r="J1" t="str">
        <f>IF(Dashboard!B6="All","*",Dashboard!B6)</f>
        <v>*</v>
      </c>
      <c r="L1" t="s">
        <v>2512</v>
      </c>
      <c r="M1" t="s">
        <v>2550</v>
      </c>
      <c r="O1" t="s">
        <v>2551</v>
      </c>
      <c r="R1" t="s">
        <v>2552</v>
      </c>
      <c r="S1" t="s">
        <v>2550</v>
      </c>
    </row>
    <row r="2" spans="1:19">
      <c r="D2" t="s">
        <v>2540</v>
      </c>
      <c r="F2" t="str" cm="1">
        <f t="array" ref="F2:F15">_xlfn.VSTACK("All",_xlfn._xlws.SORT(_xlfn.UNIQUE(tblSKU[principal])))</f>
        <v>All</v>
      </c>
      <c r="H2" t="s">
        <v>2540</v>
      </c>
      <c r="I2" t="s">
        <v>2544</v>
      </c>
      <c r="J2" t="str">
        <f>IF(Dashboard!D6="All","*",Dashboard!D6)</f>
        <v>*</v>
      </c>
      <c r="L2" t="str" cm="1">
        <f t="array" ref="L2:L14">_xlfn._xlws.SORT(_xlfn.UNIQUE(tblSKU[principal]))</f>
        <v>Aldermoor Medical</v>
      </c>
      <c r="M2" cm="1">
        <f t="array" ref="M2:M14">SUMIFS(tblSKU[stock_value_nzd],tblSKU[principal],_xlfn.ANCHORARRAY(L2),tblSKU[storage_condition],critStorage,tblSKU[abc_velocity],critVelocity)</f>
        <v>907430.69</v>
      </c>
      <c r="O2" t="str" cm="1">
        <f t="array" ref="O2:P14">_xlfn.SORTBY(_xlfn.HSTACK(_xlfn.ANCHORARRAY(L2),_xlfn.ANCHORARRAY(M2)),_xlfn.ANCHORARRAY(M2),-1)</f>
        <v>Corvane Pharma</v>
      </c>
      <c r="P2">
        <v>17655442.410000004</v>
      </c>
      <c r="R2" t="s">
        <v>2553</v>
      </c>
      <c r="S2">
        <f>SUMIFS(tblSKU[stock_value_nzd],tblSKU[months_cover],"&lt;3",tblSKU[storage_condition],critStorage,tblSKU[principal],critPrincipal,tblSKU[abc_velocity],critVelocity)</f>
        <v>3893477.0799999987</v>
      </c>
    </row>
    <row r="3" spans="1:19">
      <c r="D3" t="s">
        <v>39</v>
      </c>
      <c r="F3" t="str">
        <v>Aldermoor Medical</v>
      </c>
      <c r="H3" t="s">
        <v>1264</v>
      </c>
      <c r="I3" t="s">
        <v>2545</v>
      </c>
      <c r="J3" t="str">
        <f>IF(Dashboard!F6="All","*",Dashboard!F6)</f>
        <v>*</v>
      </c>
      <c r="L3" t="str">
        <v>Arcadine Pharma</v>
      </c>
      <c r="M3">
        <v>4920583.9000000013</v>
      </c>
      <c r="O3" t="str">
        <v>Halvora Healthcare</v>
      </c>
      <c r="P3">
        <v>11643784.970000001</v>
      </c>
      <c r="R3" s="15" t="s">
        <v>2554</v>
      </c>
      <c r="S3">
        <f>SUMIFS(tblSKU[stock_value_nzd],tblSKU[months_cover],"&gt;=3",tblSKU[months_cover],"&lt;6",tblSKU[storage_condition],critStorage,tblSKU[principal],critPrincipal,tblSKU[abc_velocity],critVelocity)</f>
        <v>32743515.309999995</v>
      </c>
    </row>
    <row r="4" spans="1:19">
      <c r="D4" t="s">
        <v>834</v>
      </c>
      <c r="F4" t="str">
        <v>Arcadine Pharma</v>
      </c>
      <c r="H4" t="s">
        <v>1258</v>
      </c>
      <c r="L4" t="str">
        <v>Clearford Infusions</v>
      </c>
      <c r="M4">
        <v>1003877.8600000001</v>
      </c>
      <c r="O4" t="str">
        <v>Marwick Pharmaceuticals</v>
      </c>
      <c r="P4">
        <v>10030842.160000004</v>
      </c>
      <c r="R4" s="15" t="s">
        <v>2555</v>
      </c>
      <c r="S4">
        <f>SUMIFS(tblSKU[stock_value_nzd],tblSKU[months_cover],"&gt;=6",tblSKU[months_cover],"&lt;12",tblSKU[storage_condition],critStorage,tblSKU[principal],critPrincipal,tblSKU[abc_velocity],critVelocity)</f>
        <v>25938267.939999994</v>
      </c>
    </row>
    <row r="5" spans="1:19">
      <c r="D5" t="s">
        <v>1081</v>
      </c>
      <c r="F5" t="str">
        <v>Clearford Infusions</v>
      </c>
      <c r="H5" t="s">
        <v>1262</v>
      </c>
      <c r="L5" t="str">
        <v>Corvane Pharma</v>
      </c>
      <c r="M5">
        <v>17655442.410000004</v>
      </c>
      <c r="O5" t="str">
        <v>Venrick Laboratories</v>
      </c>
      <c r="P5">
        <v>7235729.79</v>
      </c>
      <c r="R5" t="s">
        <v>2556</v>
      </c>
      <c r="S5">
        <f>SUMIFS(tblSKU[stock_value_nzd],tblSKU[months_cover],"&gt;=12",tblSKU[storage_condition],critStorage,tblSKU[principal],critPrincipal,tblSKU[abc_velocity],critVelocity)</f>
        <v>9699476.120000001</v>
      </c>
    </row>
    <row r="6" spans="1:19">
      <c r="F6" t="str">
        <v>Corvane Pharma</v>
      </c>
      <c r="H6" t="s">
        <v>1260</v>
      </c>
      <c r="L6" t="str">
        <v>Dunmore Therapeutics</v>
      </c>
      <c r="M6">
        <v>5784441.169999999</v>
      </c>
      <c r="O6" t="str">
        <v>Dunmore Therapeutics</v>
      </c>
      <c r="P6">
        <v>5784441.169999999</v>
      </c>
      <c r="R6" t="s">
        <v>2557</v>
      </c>
      <c r="S6">
        <f>SUMIFS(tblSKU[stock_value_nzd],tblSKU[months_cover],"",tblSKU[storage_condition],critStorage,tblSKU[principal],critPrincipal,tblSKU[abc_velocity],critVelocity)</f>
        <v>94911.65</v>
      </c>
    </row>
    <row r="7" spans="1:19">
      <c r="F7" t="str">
        <v>Dunmore Therapeutics</v>
      </c>
      <c r="L7" t="str">
        <v>Halvora Healthcare</v>
      </c>
      <c r="M7">
        <v>11643784.970000001</v>
      </c>
      <c r="O7" t="str">
        <v>Arcadine Pharma</v>
      </c>
      <c r="P7">
        <v>4920583.9000000013</v>
      </c>
    </row>
    <row r="8" spans="1:19">
      <c r="F8" t="str">
        <v>Halvora Healthcare</v>
      </c>
      <c r="L8" t="str">
        <v>Kinloch Nutrition</v>
      </c>
      <c r="M8">
        <v>1107405.75</v>
      </c>
      <c r="O8" t="str">
        <v>Tessaline Biologics</v>
      </c>
      <c r="P8">
        <v>4596206.05</v>
      </c>
    </row>
    <row r="9" spans="1:19">
      <c r="F9" t="str">
        <v>Kinloch Nutrition</v>
      </c>
      <c r="L9" t="str">
        <v>Marwick Pharmaceuticals</v>
      </c>
      <c r="M9">
        <v>10030842.160000004</v>
      </c>
      <c r="O9" t="str">
        <v>Quintessa Diagnostics</v>
      </c>
      <c r="P9">
        <v>3405555.4000000004</v>
      </c>
    </row>
    <row r="10" spans="1:19">
      <c r="F10" t="str">
        <v>Marwick Pharmaceuticals</v>
      </c>
      <c r="L10" t="str">
        <v>Pellaro Eye &amp; Skin</v>
      </c>
      <c r="M10">
        <v>1768680.8499999999</v>
      </c>
      <c r="O10" t="str">
        <v>Solandra Health</v>
      </c>
      <c r="P10">
        <v>2309667.1000000006</v>
      </c>
    </row>
    <row r="11" spans="1:19">
      <c r="F11" t="str">
        <v>Pellaro Eye &amp; Skin</v>
      </c>
      <c r="L11" t="str">
        <v>Quintessa Diagnostics</v>
      </c>
      <c r="M11">
        <v>3405555.4000000004</v>
      </c>
      <c r="O11" t="str">
        <v>Pellaro Eye &amp; Skin</v>
      </c>
      <c r="P11">
        <v>1768680.8499999999</v>
      </c>
    </row>
    <row r="12" spans="1:19">
      <c r="F12" t="str">
        <v>Quintessa Diagnostics</v>
      </c>
      <c r="L12" t="str">
        <v>Solandra Health</v>
      </c>
      <c r="M12">
        <v>2309667.1000000006</v>
      </c>
      <c r="O12" t="str">
        <v>Kinloch Nutrition</v>
      </c>
      <c r="P12">
        <v>1107405.75</v>
      </c>
    </row>
    <row r="13" spans="1:19">
      <c r="F13" t="str">
        <v>Solandra Health</v>
      </c>
      <c r="L13" t="str">
        <v>Tessaline Biologics</v>
      </c>
      <c r="M13">
        <v>4596206.05</v>
      </c>
      <c r="O13" t="str">
        <v>Clearford Infusions</v>
      </c>
      <c r="P13">
        <v>1003877.8600000001</v>
      </c>
    </row>
    <row r="14" spans="1:19">
      <c r="F14" t="str">
        <v>Tessaline Biologics</v>
      </c>
      <c r="L14" t="str">
        <v>Venrick Laboratories</v>
      </c>
      <c r="M14">
        <v>7235729.79</v>
      </c>
      <c r="O14" t="str">
        <v>Aldermoor Medical</v>
      </c>
      <c r="P14">
        <v>907430.69</v>
      </c>
    </row>
    <row r="15" spans="1:19">
      <c r="F15" t="str">
        <v>Venrick Laboratories</v>
      </c>
    </row>
    <row r="17" spans="2:10">
      <c r="B17" s="32" t="s">
        <v>2637</v>
      </c>
      <c r="J17" s="18" t="s">
        <v>2572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C52290-2432-426B-888B-A9822853DF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Dashboard</vt:lpstr>
      <vt:lpstr>SKU Lookup</vt:lpstr>
      <vt:lpstr>Rack Scenario</vt:lpstr>
      <vt:lpstr>Cycle Count</vt:lpstr>
      <vt:lpstr>About</vt:lpstr>
      <vt:lpstr>SKU Data</vt:lpstr>
      <vt:lpstr>Stock Data</vt:lpstr>
      <vt:lpstr>Notes</vt:lpstr>
      <vt:lpstr>critPrincipal</vt:lpstr>
      <vt:lpstr>critStorage</vt:lpstr>
      <vt:lpstr>critVelocity</vt:lpstr>
      <vt:lpstr>SKUList</vt:lpstr>
      <vt:lpstr>SnapshotDate</vt:lpstr>
      <vt:lpstr>StorageList</vt:lpstr>
      <vt:lpstr>VelocityList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Lasika Warakapitiya</dc:creator>
  <cp:lastModifiedBy>Lasika Warakapitiya</cp:lastModifiedBy>
  <dcterms:created xsi:type="dcterms:W3CDTF">2026-09-21T10:51:29Z</dcterms:created>
  <dcterms:modified xsi:type="dcterms:W3CDTF">2026-09-22T02:12:49Z</dcterms:modified>
</cp:coreProperties>
</file>